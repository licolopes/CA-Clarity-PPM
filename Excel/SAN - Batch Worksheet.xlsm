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b9c8aa7c4a1844bd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linsilva\Desktop\"/>
    </mc:Choice>
  </mc:AlternateContent>
  <bookViews>
    <workbookView xWindow="-5250" yWindow="690" windowWidth="20490" windowHeight="7725" tabRatio="658"/>
  </bookViews>
  <sheets>
    <sheet name="CONFIGURAÇÕES" sheetId="1" r:id="rId1"/>
    <sheet name="ResourceInformation" sheetId="5" r:id="rId2"/>
    <sheet name="LookupInformation" sheetId="6" r:id="rId3"/>
    <sheet name="Project Overview" sheetId="8" r:id="rId4"/>
    <sheet name="Sales" sheetId="12" r:id="rId5"/>
    <sheet name="PnL" sheetId="7" r:id="rId6"/>
    <sheet name="Investments" sheetId="16" r:id="rId7"/>
    <sheet name="Sheet1" sheetId="14" r:id="rId8"/>
    <sheet name="APOIO" sheetId="3" r:id="rId9"/>
    <sheet name="APOIO2" sheetId="13" r:id="rId10"/>
    <sheet name="DEBUG" sheetId="4" r:id="rId11"/>
  </sheets>
  <functionGroups builtInGroupCount="18"/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_123Graph_X" hidden="1">'[1]5MG'!#REF!</definedName>
    <definedName name="__a98">'[2]F3-C'!#REF!</definedName>
    <definedName name="__b2000">[3]C!$BE$16:$BE$41</definedName>
    <definedName name="__b2001">[3]C!$BU$16:$BU$41</definedName>
    <definedName name="__b2002">'[2]F3-C'!#REF!</definedName>
    <definedName name="__bud02">'[4]F3-C'!$AT$16:$AT$41</definedName>
    <definedName name="__p2000">'[2]F3-C'!#REF!</definedName>
    <definedName name="__p2001">'[2]F3-C'!#REF!</definedName>
    <definedName name="__p2002">'[2]F3-C'!#REF!</definedName>
    <definedName name="__p98">'[2]F3-C'!#REF!</definedName>
    <definedName name="__p99">'[2]F3-C'!#REF!</definedName>
    <definedName name="__pe02">[3]C!$BD$16:$BD$41</definedName>
    <definedName name="__pe1">[3]C!$BD$16:$BD$41</definedName>
    <definedName name="__po5">[3]C!$AT$16:$AT$41</definedName>
    <definedName name="__Pop2002">#REF!</definedName>
    <definedName name="__Pop2004">#REF!</definedName>
    <definedName name="__Pop2005">#REF!</definedName>
    <definedName name="__Pop2006">#REF!</definedName>
    <definedName name="__q2000">[3]C!$BD$16:$BD$41</definedName>
    <definedName name="__q2001">[3]C!$BS$16:$BS$41</definedName>
    <definedName name="__q2002">'[2]F3-C'!#REF!</definedName>
    <definedName name="__q98">[3]C!$J$16:$J$41</definedName>
    <definedName name="__q99">[3]C!$S$16:$S$41</definedName>
    <definedName name="__T399">[3]C!$V$16:$V$41</definedName>
    <definedName name="__txD20">#REF!</definedName>
    <definedName name="__txe60">#REF!</definedName>
    <definedName name="__ve01">'[4]F3-C'!$BJ$16:$BJ$41</definedName>
    <definedName name="__ve02">[3]C!$BI$16:$BI$41</definedName>
    <definedName name="__ve03">'[4]F3-C'!#REF!</definedName>
    <definedName name="__ve2000">'[2]F3-C'!#REF!</definedName>
    <definedName name="__ve2001">'[5]F3-C'!#REF!</definedName>
    <definedName name="__ve2002">'[5]F3-C'!#REF!</definedName>
    <definedName name="__ve4">[3]C!$BK$16:$BK$41</definedName>
    <definedName name="__ve5">[3]C!$BL$16:$BL$41</definedName>
    <definedName name="__ve99">'[2]F3-C'!#REF!</definedName>
    <definedName name="__vet2">[3]C!$BJ$16:$BJ$41</definedName>
    <definedName name="__ye07">[3]C!$CA$2:$CA$12</definedName>
    <definedName name="_a98">'[6]F3-C'!#REF!</definedName>
    <definedName name="_b2000">[7]C!$BE$16:$BE$41</definedName>
    <definedName name="_b2001">[7]C!$BU$16:$BU$41</definedName>
    <definedName name="_b2002">'[6]F3-C'!#REF!</definedName>
    <definedName name="_bud02">'[8]F3-C'!$AT$16:$AT$41</definedName>
    <definedName name="_xlnm._FilterDatabase" localSheetId="9" hidden="1">APOIO2!$AH$1:$AI$57</definedName>
    <definedName name="_xlnm._FilterDatabase" localSheetId="2" hidden="1">LookupInformation!$A$1:$F$76</definedName>
    <definedName name="_xlnm._FilterDatabase" localSheetId="1" hidden="1">ResourceInformation!$A$2:$O$77</definedName>
    <definedName name="_p2000">'[6]F3-C'!#REF!</definedName>
    <definedName name="_p2001">'[6]F3-C'!#REF!</definedName>
    <definedName name="_p2002">'[6]F3-C'!#REF!</definedName>
    <definedName name="_p98">'[6]F3-C'!#REF!</definedName>
    <definedName name="_p99">'[6]F3-C'!#REF!</definedName>
    <definedName name="_pe02">[7]C!$BD$16:$BD$41</definedName>
    <definedName name="_pe1">[7]C!$BD$16:$BD$41</definedName>
    <definedName name="_po5">[7]C!$AT$16:$AT$41</definedName>
    <definedName name="_Pop2002">#REF!</definedName>
    <definedName name="_Pop2004">#REF!</definedName>
    <definedName name="_Pop2005">#REF!</definedName>
    <definedName name="_Pop2006">#REF!</definedName>
    <definedName name="_q2000">[7]C!$BD$16:$BD$41</definedName>
    <definedName name="_q2001">[7]C!$BS$16:$BS$41</definedName>
    <definedName name="_q2002">'[6]F3-C'!#REF!</definedName>
    <definedName name="_q98">[7]C!$J$16:$J$41</definedName>
    <definedName name="_q99">[7]C!$S$16:$S$41</definedName>
    <definedName name="_T399">[7]C!$V$16:$V$41</definedName>
    <definedName name="_txD20">#REF!</definedName>
    <definedName name="_txe60">#REF!</definedName>
    <definedName name="_ve01">'[8]F3-C'!$BJ$16:$BJ$41</definedName>
    <definedName name="_ve02">[7]C!$BI$16:$BI$41</definedName>
    <definedName name="_ve03">'[8]F3-C'!#REF!</definedName>
    <definedName name="_ve2000">'[6]F3-C'!#REF!</definedName>
    <definedName name="_ve2001">'[9]F3-C'!#REF!</definedName>
    <definedName name="_ve2002">'[9]F3-C'!#REF!</definedName>
    <definedName name="_ve4">[7]C!$BK$16:$BK$41</definedName>
    <definedName name="_ve5">[7]C!$BL$16:$BL$41</definedName>
    <definedName name="_ve99">'[6]F3-C'!#REF!</definedName>
    <definedName name="_vet2">[7]C!$BJ$16:$BJ$41</definedName>
    <definedName name="_ye07">[7]C!$CA$2:$CA$12</definedName>
    <definedName name="a00">'[4]F3-C'!$J$16:$J$41</definedName>
    <definedName name="ActCum">[10]ActCum01!$A$1:'[10]ActCum01'!$M$490</definedName>
    <definedName name="actual01">[3]C!$J$16:$J$41</definedName>
    <definedName name="actual98">[11]A02!$A$3:$AW$53</definedName>
    <definedName name="africa" localSheetId="4" hidden="1">{"'TYPE (2)'!$A$1:$Q$76"}</definedName>
    <definedName name="africa" hidden="1">{"'TYPE (2)'!$A$1:$Q$76"}</definedName>
    <definedName name="APP">#REF!</definedName>
    <definedName name="appli">#REF!</definedName>
    <definedName name="b00">#REF!</definedName>
    <definedName name="bg" localSheetId="4" hidden="1">{"'TYPE (2)'!$A$1:$Q$76"}</definedName>
    <definedName name="bg" hidden="1">{"'TYPE (2)'!$A$1:$Q$76"}</definedName>
    <definedName name="budget02">[3]C!$S$16:$S$41</definedName>
    <definedName name="BUSINESS">[12]elements!$I$17:$I$24</definedName>
    <definedName name="CAGR">[12]elements!$E$17:$E$182</definedName>
    <definedName name="cat">#REF!</definedName>
    <definedName name="categ">#REF!</definedName>
    <definedName name="category">#REF!</definedName>
    <definedName name="CBWorkbookPriority" hidden="1">-947439694</definedName>
    <definedName name="Cible">#REF!</definedName>
    <definedName name="clinik1">#REF!</definedName>
    <definedName name="CLOSING">[12]elements!$B$17:$B$65</definedName>
    <definedName name="CLOSING_DATE">[12]STRUCTURE!$G$7</definedName>
    <definedName name="codefam">'[4]F3-C'!$BX$16:$BX$41</definedName>
    <definedName name="Codefam1">[3]C!$BX$16:$BX$41</definedName>
    <definedName name="Codefam2">'[4]F3-C'!$BX$44:$BX$60</definedName>
    <definedName name="Codfam2">[3]C!$BX$44:$BX$60</definedName>
    <definedName name="Codfam3">'[4]F3-C'!$BX$63:$BX$73</definedName>
    <definedName name="codfam4">'[4]F3-C'!$BX$76:$BX$86</definedName>
    <definedName name="Codigo_do_Projeto" localSheetId="2">APOIO!#REF!</definedName>
    <definedName name="Codigo_do_Projeto">APOIO!#REF!</definedName>
    <definedName name="conditional_payments">SUM([12]STRUCTURE!$F$22:$U$22)</definedName>
    <definedName name="conditional_payments_discounted">SUM([12]STRUCTURE!$F$75:$U$75)</definedName>
    <definedName name="COUNTRY">[12]elements!$H$17:$H$172</definedName>
    <definedName name="CountryExportCell1">[13]Assumptions!$G$6</definedName>
    <definedName name="CountryList">[14]Input!$H$42:$H$66</definedName>
    <definedName name="currency_presentation">[12]elements!$Q$17:$Q$21</definedName>
    <definedName name="currencypresentation">[12]STRUCTURE!$E$30</definedName>
    <definedName name="dat">#REF!</definedName>
    <definedName name="DataZone">#REF!</definedName>
    <definedName name="date">#REF!</definedName>
    <definedName name="dd" localSheetId="4" hidden="1">{"'TYPE (2)'!$A$1:$Q$76"}</definedName>
    <definedName name="dd" hidden="1">{"'TYPE (2)'!$A$1:$Q$76"}</definedName>
    <definedName name="de" localSheetId="4" hidden="1">{"'TYPE (2)'!$A$1:$Q$76"}</definedName>
    <definedName name="de" hidden="1">{"'TYPE (2)'!$A$1:$Q$76"}</definedName>
    <definedName name="DEAL">[12]elements!$D$17:$D$22</definedName>
    <definedName name="décroissance">[12]ACCOUNTS_IMPACT!$B$151:$B$155</definedName>
    <definedName name="DISCOUNT">[12]elements!$L$17:$L$78</definedName>
    <definedName name="English_Account">'[15]P&amp;L account'!$A$6:$C$145</definedName>
    <definedName name="ex1b2">[3]C!$BN$16:$BN$41</definedName>
    <definedName name="fre">#REF!</definedName>
    <definedName name="freq">#REF!</definedName>
    <definedName name="FULLCALL">#REF!</definedName>
    <definedName name="GPE_GEN">[16]GERS_REP_UN!$B$2:$B$620</definedName>
    <definedName name="Horizon_End">[12]elements!$A$2</definedName>
    <definedName name="HTML_CodePage" hidden="1">1252</definedName>
    <definedName name="HTML_Control" localSheetId="4" hidden="1">{"'TYPE (2)'!$A$1:$Q$76"}</definedName>
    <definedName name="HTML_Control" hidden="1">{"'TYPE (2)'!$A$1:$Q$76"}</definedName>
    <definedName name="HTML_Description" hidden="1">""</definedName>
    <definedName name="HTML_Email" hidden="1">""</definedName>
    <definedName name="HTML_Header" hidden="1">"Project File"</definedName>
    <definedName name="HTML_LastUpdate" hidden="1">"24/06/2001"</definedName>
    <definedName name="HTML_LineAfter" hidden="1">FALSE</definedName>
    <definedName name="HTML_LineBefore" hidden="1">FALSE</definedName>
    <definedName name="HTML_Name" hidden="1">"CSO - DSI"</definedName>
    <definedName name="HTML_OBDlg2" hidden="1">TRUE</definedName>
    <definedName name="HTML_OBDlg4" hidden="1">TRUE</definedName>
    <definedName name="HTML_OS" hidden="1">0</definedName>
    <definedName name="HTML_PathFile" hidden="1">"C:\Mes documents\budget\budget 2002\MonHTML.htm"</definedName>
    <definedName name="HTML_Title" hidden="1">"budget-file-ref"</definedName>
    <definedName name="INCREMENT">[12]NPV_for_sa_sensitivity!$D$10</definedName>
    <definedName name="ju" localSheetId="4" hidden="1">{"'TYPE (2)'!$A$1:$Q$76"}</definedName>
    <definedName name="ju" hidden="1">{"'TYPE (2)'!$A$1:$Q$76"}</definedName>
    <definedName name="lAreaComp">[17]APOIO!$D$1:$D$1000</definedName>
    <definedName name="lCategoria">[17]APOIO!$G$1:$G$1000</definedName>
    <definedName name="lFase">[17]APOIO!$A$1:$A$1000</definedName>
    <definedName name="Ligne_detail">#REF!</definedName>
    <definedName name="Ligne_détail">#REF!</definedName>
    <definedName name="lImpacto">[17]APOIO!$S$1:$S$1000</definedName>
    <definedName name="LOCAL_CURRENCY">[12]elements!$O$17:$O$177</definedName>
    <definedName name="lPrioridade">[17]APOIO!$Y$1:$Y$1000</definedName>
    <definedName name="lProbabilidade">[17]APOIO!$P$1:$P$1000</definedName>
    <definedName name="lResposta">[17]APOIO!$V$1:$V$1000</definedName>
    <definedName name="lStatus">[17]APOIO!$J$1:$J$1000</definedName>
    <definedName name="lUsuario">[17]APOIO!$M$1:$M$1000</definedName>
    <definedName name="Multiplegraph">[18]Template!$I$318:$AA$318,[18]Template!$I$319:$AA$328</definedName>
    <definedName name="nomrep">#REF!</definedName>
    <definedName name="nomterrb">#REF!</definedName>
    <definedName name="NPV_SA">#REF!</definedName>
    <definedName name="ol" hidden="1">'[19]ALFUZOSINE 10MG'!$B$5:$B$27</definedName>
    <definedName name="p1b2">[3]C!$S$16:$S$41</definedName>
    <definedName name="p1b3">'[4]F3-C'!$AT$16:$AT$41</definedName>
    <definedName name="P1P3">[3]C!$AK$16:$AK$41</definedName>
    <definedName name="P1R1">[3]C!$J$16:$J$41</definedName>
    <definedName name="P1T1">'[4]F3-C'!$BC$16:$BC$41</definedName>
    <definedName name="P1T2">[3]C!$AB$16:$AB$41</definedName>
    <definedName name="p2b2">[3]C!$S$44:$S$60</definedName>
    <definedName name="p2b22">[3]C!$AB$44:$AB$60</definedName>
    <definedName name="p2b3">'[4]F3-C'!$AT$44:$AT$60</definedName>
    <definedName name="p2p3">[3]C!$AK$44:$AK$60</definedName>
    <definedName name="p2r1">[3]C!$J$44:$J$60</definedName>
    <definedName name="P2T1">'[4]F3-C'!$BC$44:$BC$60</definedName>
    <definedName name="p2t2">[3]C!$S$44:$S$60</definedName>
    <definedName name="p3b2">[3]C!$S$63:$S$73</definedName>
    <definedName name="p3b3">'[4]F3-C'!$AT$63:$AT$73</definedName>
    <definedName name="p3p3">'[4]F3-C'!$AK$63:$AK$73</definedName>
    <definedName name="p3r1">[3]C!$J$63:$J$73</definedName>
    <definedName name="P3T1">'[4]F3-C'!$BC$63:$BC$73</definedName>
    <definedName name="p3t2">[3]C!$AB$63:$AB$73</definedName>
    <definedName name="p4b2">[3]C!$S$76:$S$86</definedName>
    <definedName name="p4b3">'[4]F3-C'!$AT$76:$AT$86</definedName>
    <definedName name="p4p3">'[4]F3-C'!$AK$76:$AK$86</definedName>
    <definedName name="p4r1">[3]C!$J$76:$J$85</definedName>
    <definedName name="p4r12">[3]C!$J$76:$J$86</definedName>
    <definedName name="P4T1">'[4]F3-C'!$BC$76:$BC$86</definedName>
    <definedName name="p4t2">[3]C!$AB$76:$AB$86</definedName>
    <definedName name="pc" localSheetId="4" hidden="1">{"'TYPE (2)'!$A$1:$Q$76"}</definedName>
    <definedName name="pc" hidden="1">{"'TYPE (2)'!$A$1:$Q$76"}</definedName>
    <definedName name="pe">[3]C!$BD$16:$BD$41</definedName>
    <definedName name="pe1b2">[3]C!$BD$16:$BD$41</definedName>
    <definedName name="pe1b3">[3]C!$BG$16:$BG$41</definedName>
    <definedName name="pe1p3">[3]C!$BF$16:$BF$41</definedName>
    <definedName name="pe1t2">[3]C!$BE$16:$BE$41</definedName>
    <definedName name="pe2b2">[3]C!$BD$44:$BD$60</definedName>
    <definedName name="pe2b3">[3]C!$BG$44:$BG$60</definedName>
    <definedName name="pe2p3">[3]C!$BF$44:$BF$60</definedName>
    <definedName name="pe2t2">[3]C!$BE$44:$BE$60</definedName>
    <definedName name="pe3b2">[3]C!$BD$63:$BD$73</definedName>
    <definedName name="pe3b3">[3]C!$BG$63:$BG$73</definedName>
    <definedName name="pe3p3">[3]C!$BF$63:$BF$73</definedName>
    <definedName name="pe3t2">[3]C!$BE$63:$BE$73</definedName>
    <definedName name="pe4b2">[3]C!$BD$76:$BD$86</definedName>
    <definedName name="pe4b3">[3]C!$BL$76:$BL$86</definedName>
    <definedName name="pe4b34">[3]C!$BG$76:$BG$86</definedName>
    <definedName name="pe4p3">[3]C!$BK$76:$BK$86</definedName>
    <definedName name="pe4p34">[3]C!$BF$76:$BF$86</definedName>
    <definedName name="pe4t2">[3]C!$BE$76:$BE$86</definedName>
    <definedName name="pippo" localSheetId="4" hidden="1">{"'TYPE (2)'!$A$1:$Q$76"}</definedName>
    <definedName name="pippo" hidden="1">{"'TYPE (2)'!$A$1:$Q$76"}</definedName>
    <definedName name="plan03">'[4]F3-C'!#REF!</definedName>
    <definedName name="plan04">[3]C!$AK$16:$AK$41</definedName>
    <definedName name="plan05">[3]C!$AT$16:$AT$41</definedName>
    <definedName name="plan5">[3]C!$AT$16:$AT$41</definedName>
    <definedName name="PopB03">#REF!</definedName>
    <definedName name="PopT203">#REF!</definedName>
    <definedName name="presentation">[3]C!$A$16:$BV$41</definedName>
    <definedName name="Project_Name">[12]STRUCTURE!$H$2</definedName>
    <definedName name="Purchase__Increment">[12]elements!$R$17</definedName>
    <definedName name="Purchase_Increment">[12]elements!$R$17:$R$36</definedName>
    <definedName name="REGION">[12]elements!$J$17:$J$183</definedName>
    <definedName name="Relief_01">'[20]ACTES MOIS HISTO'!$A$5:$AM$5,'[20]ACTES MOIS HISTO'!$B$7:$AM$7,'[20]ACTES MOIS HISTO'!$B$29:$AM$29</definedName>
    <definedName name="Relief_02">'[20]ACTES MOIS HISTO'!$B$9:$AM$25,'[20]ACTES MOIS HISTO'!$B$31:$AM$40,'[20]ACTES MOIS HISTO'!$B$44:$AM$46,'[20]ACTES MOIS HISTO'!$B$62:$AM$68</definedName>
    <definedName name="Relief_04">'[20]ACTES MOIS HISTO'!$B$8:$AM$8,'[20]ACTES MOIS HISTO'!$B$61:$AM$61</definedName>
    <definedName name="Relief_08">'[20]ACTES MOIS HISTO'!$B$6:$AM$6,'[20]ACTES MOIS HISTO'!$B$49:$AM$49,'[20]ACTES MOIS HISTO'!$B$60:$AM$60,'[20]ACTES MOIS HISTO'!$B$74:$AM$74</definedName>
    <definedName name="REP">#REF!</definedName>
    <definedName name="rmcAccount">"FDMPHA"</definedName>
    <definedName name="rmcCategory">"BUDGET"</definedName>
    <definedName name="RMCOptions">"*000000000000000"</definedName>
    <definedName name="s" hidden="1">'[1]5MG'!#REF!</definedName>
    <definedName name="salesbu">#REF!</definedName>
    <definedName name="SItes">"Bouton 4"</definedName>
    <definedName name="Summary" localSheetId="4" hidden="1">{"'TYPE (2)'!$A$1:$Q$76"}</definedName>
    <definedName name="Summary" hidden="1">{"'TYPE (2)'!$A$1:$Q$76"}</definedName>
    <definedName name="t3O1">[3]C!$S$16:$S$41</definedName>
    <definedName name="Taiwan">'[2]F3-C'!#REF!</definedName>
    <definedName name="Tarefa" localSheetId="2">[17]APOIO!#REF!</definedName>
    <definedName name="Tarefa" localSheetId="1">[17]APOIO!#REF!</definedName>
    <definedName name="Tarefa">APOIO!#REF!</definedName>
    <definedName name="TAUX">#REF!</definedName>
    <definedName name="tend2">[3]C!$AB$16:$AB$41</definedName>
    <definedName name="tend3">'[4]F3-C'!$S$16:$S$41</definedName>
    <definedName name="TERRB">#REF!</definedName>
    <definedName name="Titre_colonnes">#REF!</definedName>
    <definedName name="Titre_lignes">#REF!</definedName>
    <definedName name="Total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Total_discounted">[12]STRUCTURE!$U$24</definedName>
    <definedName name="TU" localSheetId="4" hidden="1">{"'TYPE (2)'!$A$1:$Q$76"}</definedName>
    <definedName name="TU" hidden="1">{"'TYPE (2)'!$A$1:$Q$76"}</definedName>
    <definedName name="TVGR">[12]elements!$M$17:$M$58</definedName>
    <definedName name="TX">#REF!</definedName>
    <definedName name="upfront_payment">[12]STRUCTURE!$E$22</definedName>
    <definedName name="VB">#REF!</definedName>
    <definedName name="ve00">'[4]F3-C'!$BI$16:$BI$41</definedName>
    <definedName name="ve1b2">[3]C!$BI$16:$BI$41</definedName>
    <definedName name="ve1b3">[3]C!$BL$16:$BL$41</definedName>
    <definedName name="ve1p3">[3]C!$BK$16:$BK$41</definedName>
    <definedName name="ve1t2">[3]C!$BJ$16:$BJ$41</definedName>
    <definedName name="ve2b2">[3]C!$BI$44:$BI$60</definedName>
    <definedName name="ve2b3">[3]C!$BL$44:$BL$60</definedName>
    <definedName name="ve2p3">[3]C!$BK$44:$BK$60</definedName>
    <definedName name="ve2t2">[3]C!$BJ$44:$BJ$60</definedName>
    <definedName name="ve3b2">[3]C!$BI$63:$BI$73</definedName>
    <definedName name="ve3b3">[3]C!$BL$63:$BL$73</definedName>
    <definedName name="ve3p3">[3]C!$BK$63:$BK$73</definedName>
    <definedName name="ve3t2">[3]C!$BJ$63:$BJ$73</definedName>
    <definedName name="ve4b2">[3]C!$BI$76:$BI$86</definedName>
    <definedName name="ve4b3">[3]C!$BL$76:$BL$86</definedName>
    <definedName name="ve4p3">[3]C!$BK$76:$BK$86</definedName>
    <definedName name="ve4t2">[3]C!$BJ$76:$BJ$86</definedName>
    <definedName name="WACCTVSIMU">[12]elements!$P$17:$P$26</definedName>
    <definedName name="WCRATE">[12]elements!$N$17:$N$27</definedName>
    <definedName name="YEAR">[12]elements!$C$17:$C$34</definedName>
    <definedName name="year05">[3]C!$U$5</definedName>
    <definedName name="YESNO">[12]elements!$A$17:$A$19</definedName>
    <definedName name="Zone_impres_MI">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2" l="1"/>
  <c r="E5" i="12"/>
  <c r="E6" i="12"/>
  <c r="E22" i="12"/>
  <c r="E23" i="12"/>
  <c r="E24" i="12"/>
  <c r="E25" i="12"/>
  <c r="AH1" i="7" l="1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G1" i="7"/>
  <c r="F1" i="7"/>
  <c r="I21" i="12" l="1"/>
  <c r="H21" i="12"/>
  <c r="I20" i="12"/>
  <c r="H20" i="12"/>
  <c r="I19" i="12"/>
  <c r="H19" i="12"/>
  <c r="I18" i="12"/>
  <c r="H18" i="12"/>
  <c r="I17" i="12"/>
  <c r="H17" i="12"/>
  <c r="I16" i="12"/>
  <c r="H16" i="12"/>
  <c r="I15" i="12"/>
  <c r="H15" i="12"/>
  <c r="I14" i="12"/>
  <c r="H14" i="12"/>
  <c r="I13" i="12"/>
  <c r="H13" i="12"/>
  <c r="I12" i="12"/>
  <c r="H12" i="12"/>
  <c r="I11" i="12"/>
  <c r="H11" i="12"/>
  <c r="I10" i="12"/>
  <c r="H10" i="12"/>
  <c r="I9" i="12"/>
  <c r="H9" i="12"/>
  <c r="I8" i="12"/>
  <c r="H8" i="12"/>
  <c r="I7" i="12"/>
  <c r="H7" i="12"/>
  <c r="K2" i="16" l="1"/>
  <c r="J2" i="16"/>
  <c r="I2" i="16"/>
  <c r="H2" i="16"/>
  <c r="G2" i="16"/>
  <c r="AI2" i="16"/>
  <c r="AH2" i="16"/>
  <c r="AG2" i="16"/>
  <c r="AF2" i="16"/>
  <c r="AE2" i="16"/>
  <c r="AD2" i="16"/>
  <c r="AC2" i="16"/>
  <c r="AB2" i="16"/>
  <c r="AA2" i="16"/>
  <c r="Z2" i="16"/>
  <c r="Y2" i="16"/>
  <c r="X2" i="16"/>
  <c r="W2" i="16"/>
  <c r="V2" i="16"/>
  <c r="U2" i="16"/>
  <c r="T2" i="16"/>
  <c r="S2" i="16"/>
  <c r="R2" i="16"/>
  <c r="Q2" i="16"/>
  <c r="P2" i="16"/>
  <c r="O2" i="16"/>
  <c r="N2" i="16"/>
  <c r="M2" i="16"/>
  <c r="L2" i="16"/>
  <c r="D19" i="1" l="1"/>
  <c r="D18" i="1"/>
  <c r="A29" i="7" l="1"/>
  <c r="AJ51" i="13" l="1"/>
  <c r="AI51" i="13"/>
  <c r="AH51" i="13"/>
</calcChain>
</file>

<file path=xl/comments1.xml><?xml version="1.0" encoding="utf-8"?>
<comments xmlns="http://schemas.openxmlformats.org/spreadsheetml/2006/main">
  <authors>
    <author>Silva, Lincoln Lopes da (BR - Sao Paulo)</author>
  </authors>
  <commentList>
    <comment ref="K2" authorId="0" shapeId="0">
      <text>
        <r>
          <rPr>
            <b/>
            <sz val="9"/>
            <color indexed="81"/>
            <rFont val="Tahoma"/>
            <family val="2"/>
          </rPr>
          <t>Silva, Lincoln Lopes da (BR - Sao Paulo):</t>
        </r>
        <r>
          <rPr>
            <sz val="9"/>
            <color indexed="81"/>
            <rFont val="Tahoma"/>
            <family val="2"/>
          </rPr>
          <t xml:space="preserve">
Nome de Usuário ou ID do Gerente do Recurso
</t>
        </r>
      </text>
    </comment>
  </commentList>
</comments>
</file>

<file path=xl/sharedStrings.xml><?xml version="1.0" encoding="utf-8"?>
<sst xmlns="http://schemas.openxmlformats.org/spreadsheetml/2006/main" count="10176" uniqueCount="5050">
  <si>
    <t>Proxy?</t>
  </si>
  <si>
    <t>Porta:</t>
  </si>
  <si>
    <t>Debug</t>
  </si>
  <si>
    <t>QUERY CODE</t>
  </si>
  <si>
    <t>QUERY FILTER</t>
  </si>
  <si>
    <t>First row</t>
  </si>
  <si>
    <t>First Column</t>
  </si>
  <si>
    <t>Last Column</t>
  </si>
  <si>
    <t>2015-03-30_16:22 - Ambiente selecionado: PROD</t>
  </si>
  <si>
    <t>2015-03-30_16:22 - Escrevendo tarefas...</t>
  </si>
  <si>
    <t>2015-03-30_16:23 - Ambiente selecionado: PROD</t>
  </si>
  <si>
    <t>2015-03-30_16:23 - Escrevendo tarefas...</t>
  </si>
  <si>
    <t>2015-03-30_16:25 - Ambiente selecionado: PROD</t>
  </si>
  <si>
    <t>2015-03-30_16:25 - Escrevendo tarefas...</t>
  </si>
  <si>
    <t>2015-03-30_16:38 - -------------Início da exportação transações de projeto-------------</t>
  </si>
  <si>
    <t>2015-03-30_16:38 - Arquivo xog sendo gravado em: C:\xog_movimentacao_proj\xog_20150330_1638.xml</t>
  </si>
  <si>
    <t>2015-03-30_16:40 - -------------Início da exportação transações de projeto-------------</t>
  </si>
  <si>
    <t>2015-03-30_16:40 - Arquivo xog sendo gravado em: C:\xog_movimentacao_proj\xog_20150330_1640.xml</t>
  </si>
  <si>
    <t>2015-03-30_16:42 - -------------Início da exportação transações de projeto-------------</t>
  </si>
  <si>
    <t>2015-03-30_16:42 - Arquivo xog sendo gravado em: C:\xog_movimentacao_proj\xog_20150330_1642.xml</t>
  </si>
  <si>
    <t>2015-03-30_16:44 - -------------Início da exportação transações de projeto-------------</t>
  </si>
  <si>
    <t>2015-03-30_16:44 - Arquivo xog sendo gravado em: C:\xog_movimentacao_proj\xog_20150330_1644.xml</t>
  </si>
  <si>
    <t>2015-03-30_16:45 - -------------Início da exportação transações de projeto-------------</t>
  </si>
  <si>
    <t>2015-03-30_16:45 - Arquivo xog sendo gravado em: C:\xog_movimentacao_proj\xog_20150330_1645.xml</t>
  </si>
  <si>
    <t>2015-03-30_16:47 - -------------Início da exportação transações de projeto-------------</t>
  </si>
  <si>
    <t>2015-03-30_16:47 - Arquivo xog sendo gravado em: C:\xog_movimentacao_proj\xog_20150330_1647.xml</t>
  </si>
  <si>
    <t>2015-03-30_16:49 - -------------Início da exportação transações de projeto-------------</t>
  </si>
  <si>
    <t>2015-03-30_16:49 - Arquivo xog sendo gravado em: C:\xog_movimentacao_proj\xog_20150330_1649.xml</t>
  </si>
  <si>
    <t>2015-03-30_16:59 - -------------Início da exportação transações de projeto-------------</t>
  </si>
  <si>
    <t>2015-03-30_16:59 - Arquivo xog sendo gravado em: C:\xog_movimentacao_proj\xog_20150330_1659.xml</t>
  </si>
  <si>
    <t>2015-03-30_17:01 - -------------Início da exportação transações de projeto-------------</t>
  </si>
  <si>
    <t>2015-03-30_17:01 - Arquivo xog sendo gravado em: C:\xog_movimentacao_proj\xog_20150330_1701.xml</t>
  </si>
  <si>
    <t>2015-03-30_17:03 - -------------Início da exportação transações de projeto-------------</t>
  </si>
  <si>
    <t>2015-03-30_17:03 - Arquivo xog sendo gravado em: C:\xog_movimentacao_proj\xog_20150330_1703.xml</t>
  </si>
  <si>
    <t>2015-03-30_17:03 - Ambiente selecionado: PROD</t>
  </si>
  <si>
    <t>2015-03-30_17:03 -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</si>
  <si>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2015-03-30_17:03 - Enviando requisição de login</t>
  </si>
  <si>
    <t>2015-03-30_17:03 - Login realizado. SessionID capturado: 5668579__86365094-8EA7-454F-81C0-D6592718FCC7</t>
  </si>
  <si>
    <t>2015-03-30_17:03 - Chamando mensagem de requisição</t>
  </si>
  <si>
    <t>2015-03-30_17:03 - Capturando resultado final</t>
  </si>
  <si>
    <t>2015-03-30_17:03 - Número de Registros enviados: 1
Registros com falha: 0
Registros inseridos: 1
Registros atualizados: 0</t>
  </si>
  <si>
    <t>2015-03-30_17:03 - Efetuando logout</t>
  </si>
  <si>
    <t>2015-03-30_17:03 - Logout realizado</t>
  </si>
  <si>
    <t>2015-03-30_17:03 - -------------Fim da exportação transações de projeto-------------</t>
  </si>
  <si>
    <t>2015-03-30_17:06 - -------------Início da exportação transações de projeto-------------</t>
  </si>
  <si>
    <t>2015-03-30_17:06 - Arquivo xog sendo gravado em: C:\xog_movimentacao_proj\xog_20150330_1706.xml</t>
  </si>
  <si>
    <t>2015-03-30_17:06 - Ambiente selecionado: PROD</t>
  </si>
  <si>
    <t>2015-03-30_17:06 -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</si>
  <si>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2015-03-30_17:06 - Enviando requisição de login</t>
  </si>
  <si>
    <t>2015-03-30_17:06 - Login realizado. SessionID capturado: 5668584__8759144D-EB7D-4614-A824-F30EC862FEA1</t>
  </si>
  <si>
    <t>2015-03-30_17:06 - Chamando mensagem de requisição</t>
  </si>
  <si>
    <t>2015-03-30_17:06 - Capturando resultado final</t>
  </si>
  <si>
    <t>2015-03-30_17:06 - Número de Registros enviados: 0
Registros com falha: 0
Registros inseridos: 0
Registros atualizados: 0</t>
  </si>
  <si>
    <t>2015-03-30_17:06 - Efetuando logout</t>
  </si>
  <si>
    <t>2015-03-30_17:06 - Logout realizado</t>
  </si>
  <si>
    <t>2015-03-30_17:06 - -------------Fim da exportação transações de projeto-------------</t>
  </si>
  <si>
    <t>2015-03-30_17:24 - -------------Início da exportação transações de projeto-------------</t>
  </si>
  <si>
    <t>2015-03-30_17:24 - Arquivo xog sendo gravado em: C:\xog_movimentacao_proj\xog_20150330_1724.xml</t>
  </si>
  <si>
    <t>2015-03-30_17:25 - -------------Início da exportação transações de projeto-------------</t>
  </si>
  <si>
    <t>2015-03-30_17:25 - Arquivo xog sendo gravado em: C:\xog_movimentacao_proj\xog_20150330_1725.xml</t>
  </si>
  <si>
    <t>2015-03-30_17:26 - -------------Início da exportação transações de projeto-------------</t>
  </si>
  <si>
    <t>2015-03-30_17:26 - Arquivo xog sendo gravado em: C:\xog_movimentacao_proj\xog_20150330_1726.xml</t>
  </si>
  <si>
    <t>2015-03-30_17:26 - Ambiente selecionado: PROD</t>
  </si>
  <si>
    <t>2015-03-30_17:26 -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</si>
  <si>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2015-03-30_17:26 - Enviando requisição de login</t>
  </si>
  <si>
    <t>2015-03-30_17:26 - Login realizado. SessionID capturado: 5672191__A8DCBE5D-66DC-4D31-A73F-9DE46A51BE24</t>
  </si>
  <si>
    <t>2015-03-30_17:26 - Chamando mensagem de requisição</t>
  </si>
  <si>
    <t>2015-03-30_17:26 - Capturando resultado final</t>
  </si>
  <si>
    <t>2015-03-30_17:26 - Número de Registros enviados: 1
Registros com falha: 0
Registros inseridos: 1
Registros atualizados: 0</t>
  </si>
  <si>
    <t>2015-03-30_17:26 - Efetuando logout</t>
  </si>
  <si>
    <t>2015-03-30_17:26 - Logout realizado</t>
  </si>
  <si>
    <t>2015-03-30_17:26 - -------------Fim da exportação transações de projeto-------------</t>
  </si>
  <si>
    <t>2015-03-30_17:29 - -------------Início da exportação transações de projeto-------------</t>
  </si>
  <si>
    <t>2015-03-30_17:29 - Arquivo xog sendo gravado em: C:\xog_movimentacao_proj\xog_20150330_1729.xml</t>
  </si>
  <si>
    <t>2015-03-30_17:29 - Ambiente selecionado: PROD</t>
  </si>
  <si>
    <t>2015-03-30_17:29 -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</si>
  <si>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2015-03-30_17:29 - Enviando requisição de login</t>
  </si>
  <si>
    <t>2015-03-30_17:29 - Login realizado. SessionID capturado: 5672194__245E7995-64D0-4D35-BDCB-9FB1E0BB3C27</t>
  </si>
  <si>
    <t>2015-03-30_17:29 - Chamando mensagem de requisição</t>
  </si>
  <si>
    <t>2015-03-30_17:29 - Capturando resultado final</t>
  </si>
  <si>
    <t>2015-03-30_17:29 - Número de Registros enviados: 1
Registros com falha: 0
Registros inseridos: 1
Registros atualizados: 0</t>
  </si>
  <si>
    <t>2015-03-30_17:29 - Efetuando logout</t>
  </si>
  <si>
    <t>2015-03-30_17:29 - Logout realizado</t>
  </si>
  <si>
    <t>2015-03-30_17:29 - -------------Fim da exportação transações de projeto-------------</t>
  </si>
  <si>
    <t>2015-03-30_18:19 - Ambiente selecionado: PROD</t>
  </si>
  <si>
    <t>2015-03-30_18:19 - Escrevendo tarefas...</t>
  </si>
  <si>
    <t>2015-03-30_18:23 - Ambiente selecionado: PROD</t>
  </si>
  <si>
    <t>2015-03-30_18:23 - Escrevendo tarefas...</t>
  </si>
  <si>
    <t>2015-03-30_18:25 - Ambiente selecionado: PROD</t>
  </si>
  <si>
    <t>2015-03-30_18:25 - Escrevendo tarefas...</t>
  </si>
  <si>
    <t>2015-03-31_09:52 - Ambiente selecionado: PROD</t>
  </si>
  <si>
    <t>2015-03-31_09:52 - Escrevendo tarefas...</t>
  </si>
  <si>
    <t>2015-03-31_09:53 - -------------Início da exportação transações de projeto-------------</t>
  </si>
  <si>
    <t>2015-03-31_09:53 - Arquivo xog sendo gravado em: C:\xog_movimentacao_proj\xog_20150331_0953.xml</t>
  </si>
  <si>
    <t>2015-03-31_09:53 - Ambiente selecionado: PROD</t>
  </si>
  <si>
    <t>2015-03-31_09:53 -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</si>
  <si>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2015-03-31_09:53 - Enviando requisição de login</t>
  </si>
  <si>
    <t>2015-03-31_09:53 - Login realizado. SessionID capturado: 5676207__6E859382-CFD1-4F12-84CD-8A8D92D3A0D1</t>
  </si>
  <si>
    <t>2015-03-31_09:53 - Chamando mensagem de requisição</t>
  </si>
  <si>
    <t>2015-03-31_09:53 - Capturando resultado final</t>
  </si>
  <si>
    <t>2015-03-31_09:53 - Número de Registros enviados: 2
Registros com falha: 2
Registros inseridos: 0
Registros atualizados: 0</t>
  </si>
  <si>
    <t>2015-03-31_09:53 - Efetuando logout</t>
  </si>
  <si>
    <t>2015-03-31_09:53 - Logout realizado</t>
  </si>
  <si>
    <t>2015-03-31_09:53 - -------------Fim da exportação transações de projeto-------------</t>
  </si>
  <si>
    <t>2015-03-31_09:57 - -------------Início da exportação transações de projeto-------------</t>
  </si>
  <si>
    <t>2015-03-31_09:57 - Arquivo xog sendo gravado em: C:\xog_movimentacao_proj\xog_20150331_0957.xml</t>
  </si>
  <si>
    <t>2015-03-31_09:57 - Ambiente selecionado: PROD</t>
  </si>
  <si>
    <t>2015-03-31_09:57 -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</si>
  <si>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2015-03-31_09:57 - Enviando requisição de login</t>
  </si>
  <si>
    <t>2015-03-31_09:57 - Login realizado. SessionID capturado: 5676211__28FA8572-5F54-4D77-8B6A-F244287322C6</t>
  </si>
  <si>
    <t>2015-03-31_09:57 - Chamando mensagem de requisição</t>
  </si>
  <si>
    <t>2015-03-31_09:57 - Capturando resultado final</t>
  </si>
  <si>
    <t>2015-03-31_09:57 - Número de Registros enviados: 0
Registros com falha: 0
Registros inseridos: 0
Registros atualizados: 0</t>
  </si>
  <si>
    <t>2015-03-31_09:57 - Efetuando logout</t>
  </si>
  <si>
    <t>2015-03-31_09:57 - Logout realizado</t>
  </si>
  <si>
    <t>2015-03-31_09:57 - -------------Fim da exportação transações de projeto-------------</t>
  </si>
  <si>
    <t>2015-03-31_10:02 - -------------Início da exportação transações de projeto-------------</t>
  </si>
  <si>
    <t>2015-03-31_10:02 - Arquivo xog sendo gravado em: C:\xog_movimentacao_proj\xog_20150331_1002.xml</t>
  </si>
  <si>
    <t>2015-03-31_10:02 - Ambiente selecionado: PROD</t>
  </si>
  <si>
    <t>2015-03-31_10:02 -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</si>
  <si>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2015-03-31_10:02 - Enviando requisição de login</t>
  </si>
  <si>
    <t>2015-03-31_10:02 - Login realizado. SessionID capturado: 5676213__D9F75A37-2255-42F8-BACD-7A6AA7F185E9</t>
  </si>
  <si>
    <t>2015-03-31_10:02 - Chamando mensagem de requisição</t>
  </si>
  <si>
    <t>2015-03-31_10:02 - Capturando resultado final</t>
  </si>
  <si>
    <t>2015-03-31_10:02 - Número de Registros enviados: 2
Registros com falha: 0
Registros inseridos: 2
Registros atualizados: 0</t>
  </si>
  <si>
    <t>2015-03-31_10:02 - Efetuando logout</t>
  </si>
  <si>
    <t>2015-03-31_10:02 - Logout realizado</t>
  </si>
  <si>
    <t>2015-03-31_10:02 - -------------Fim da exportação transações de projeto-------------</t>
  </si>
  <si>
    <t>2015-03-31_10:02 - Login realizado. SessionID capturado: 5676214__C2EACEAF-580B-4EF1-A5DA-8BC535EFFCCC</t>
  </si>
  <si>
    <t>2015-03-31_11:00 - Ambiente selecionado: PROD</t>
  </si>
  <si>
    <t>2015-03-31_11:00 - Escrevendo tarefas...</t>
  </si>
  <si>
    <t>2015-03-31_11:07 - -------------Início da exportação transações de projeto-------------</t>
  </si>
  <si>
    <t>2015-03-31_11:07 - Arquivo xog sendo gravado em: C:\xog_movimentacao_proj\xog_20150331_1107.xml</t>
  </si>
  <si>
    <t>2015-03-31_11:07 - Ambiente selecionado: PROD</t>
  </si>
  <si>
    <t>2015-03-31_11:07 -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</si>
  <si>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2015-03-31_11:07 - Enviando requisição de login</t>
  </si>
  <si>
    <t>2015-03-31_11:07 - Login realizado. SessionID capturado: 5676251__58CCE5D9-07A1-4786-B106-FE643C6D3D8C</t>
  </si>
  <si>
    <t>2015-03-31_11:07 - Chamando mensagem de requisição</t>
  </si>
  <si>
    <t>2015-03-31_11:07 - Capturando resultado final</t>
  </si>
  <si>
    <t>2015-03-31_11:07 - Número de Registros enviados: 3
Registros com falha: 0
Registros inseridos: 3
Registros atualizados: 0</t>
  </si>
  <si>
    <t>2015-03-31_11:07 - Efetuando logout</t>
  </si>
  <si>
    <t>2015-03-31_11:07 - Logout realizado</t>
  </si>
  <si>
    <t>2015-03-31_11:07 - -------------Fim da exportação transações de projeto-------------</t>
  </si>
  <si>
    <t>2015-03-31_11:44 - Ambiente selecionado: PROD</t>
  </si>
  <si>
    <t>2015-03-31_11:44 - Escrevendo tarefas...</t>
  </si>
  <si>
    <t>2015-03-31_11:44 - -------------Início da exportação transações de projeto-------------</t>
  </si>
  <si>
    <t>2015-03-31_11:44 - Arquivo xog sendo gravado em: C:\xog_movimentacao_proj\xog_20150331_1144.xml</t>
  </si>
  <si>
    <t>2015-03-31_11:44 -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</si>
  <si>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2015-03-31_11:44 - Enviando requisição de login</t>
  </si>
  <si>
    <t>2015-03-31_11:44 - Login realizado. SessionID capturado: 5676276__798742FD-0674-4B57-9740-5168BBBEAAE3</t>
  </si>
  <si>
    <t>2015-03-31_11:44 - Chamando mensagem de requisição</t>
  </si>
  <si>
    <t>2015-03-31_11:44 - Capturando resultado final</t>
  </si>
  <si>
    <t>2015-03-31_11:44 - Número de Registros enviados: 0
Registros com falha: 0
Registros inseridos: 0
Registros atualizados: 0</t>
  </si>
  <si>
    <t>2015-03-31_11:44 - Efetuando logout</t>
  </si>
  <si>
    <t>2015-03-31_11:44 - Logout realizado</t>
  </si>
  <si>
    <t>2015-03-31_11:44 - -------------Fim da exportação transações de projeto-------------</t>
  </si>
  <si>
    <t>2015-03-31_11:45 - -------------Início da exportação transações de projeto-------------</t>
  </si>
  <si>
    <t>2015-03-31_11:45 - Arquivo xog sendo gravado em: C:\xog_movimentacao_proj\xog_20150331_1145.xml</t>
  </si>
  <si>
    <t>2015-03-31_11:45 - Ambiente selecionado: PROD</t>
  </si>
  <si>
    <t>2015-03-31_11:45 -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</si>
  <si>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2015-03-31_11:45 - Enviando requisição de login</t>
  </si>
  <si>
    <t>2015-03-31_11:45 - Login realizado. SessionID capturado: 5676277__2E6876BA-88D7-44EF-A7A9-E7BCD15D4D83</t>
  </si>
  <si>
    <t>2015-03-31_11:45 - Chamando mensagem de requisição</t>
  </si>
  <si>
    <t>2015-03-31_11:45 - Capturando resultado final</t>
  </si>
  <si>
    <t>2015-03-31_11:45 - Número de Registros enviados: 0
Registros com falha: 0
Registros inseridos: 0
Registros atualizados: 0</t>
  </si>
  <si>
    <t>2015-03-31_11:45 - Efetuando logout</t>
  </si>
  <si>
    <t>2015-03-31_11:45 - Logout realizado</t>
  </si>
  <si>
    <t>2015-03-31_11:45 - -------------Fim da exportação transações de projeto-------------</t>
  </si>
  <si>
    <t>2015-03-31_11:46 - -------------Início da exportação transações de projeto-------------</t>
  </si>
  <si>
    <t>2015-03-31_11:46 - Arquivo xog sendo gravado em: C:\xog_movimentacao_proj\xog_20150331_1146.xml</t>
  </si>
  <si>
    <t>2015-03-31_11:46 - Ambiente selecionado: PROD</t>
  </si>
  <si>
    <t>2015-03-31_11:46 -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</si>
  <si>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2015-03-31_11:46 - Enviando requisição de login</t>
  </si>
  <si>
    <t>2015-03-31_11:48 - -------------Início da exportação transações de projeto-------------</t>
  </si>
  <si>
    <t>2015-03-31_11:48 - Arquivo xog sendo gravado em: C:\xog_movimentacao_proj\xog_20150331_1148.xml</t>
  </si>
  <si>
    <t>2015-03-31_11:48 - Ambiente selecionado: PROD</t>
  </si>
  <si>
    <t>2015-03-31_11:48 -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</si>
  <si>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2015-03-31_11:48 - Enviando requisição de login</t>
  </si>
  <si>
    <t>2015-03-31_11:48 - Login realizado. SessionID capturado: 5676278__C1DE4B33-0C50-48AB-9BF3-0E460BC5BB0B</t>
  </si>
  <si>
    <t>2015-03-31_11:48 - Chamando mensagem de requisição</t>
  </si>
  <si>
    <t>2015-03-31_11:48 - Capturando resultado final</t>
  </si>
  <si>
    <t>2015-03-31_11:48 - Número de Registros enviados: 1
Registros com falha: 0
Registros inseridos: 1
Registros atualizados: 0</t>
  </si>
  <si>
    <t>2015-03-31_11:48 - Efetuando logout</t>
  </si>
  <si>
    <t>2015-03-31_11:48 - Logout realizado</t>
  </si>
  <si>
    <t>2015-03-31_11:48 - -------------Fim da exportação transações de projeto-------------</t>
  </si>
  <si>
    <t>2015-03-31_11:58 - Ambiente selecionado: PROD</t>
  </si>
  <si>
    <t>2015-03-31_11:58 - Escrevendo tarefas...</t>
  </si>
  <si>
    <t>2015-03-31_11:59 - Escrevendo tarefas...</t>
  </si>
  <si>
    <t>2015-03-31_11:59 - Ambiente selecionado: PROD</t>
  </si>
  <si>
    <t>2015-03-31_11:59 - -------------Início da exportação transações de projeto-------------</t>
  </si>
  <si>
    <t>2015-03-31_11:59 - Arquivo xog sendo gravado em: C:\xog_movimentacao_proj\xog_20150331_1159.xml</t>
  </si>
  <si>
    <t>2015-03-31_11:59 -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</si>
  <si>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2015-03-31_11:59 - Enviando requisição de login</t>
  </si>
  <si>
    <t>2015-03-31_11:59 - Login realizado. SessionID capturado: 5672889__B9B1E992-9AE4-4979-8298-C0D661FE05CE</t>
  </si>
  <si>
    <t>2015-03-31_11:59 - Chamando mensagem de requisição</t>
  </si>
  <si>
    <t>2015-03-31_11:59 - Capturando resultado final</t>
  </si>
  <si>
    <t>2015-03-31_11:59 - Número de Registros enviados: 94
Registros com falha: 2
Registros inseridos: 92
Registros atualizados: 0</t>
  </si>
  <si>
    <t>2015-03-31_11:59 - Efetuando logout</t>
  </si>
  <si>
    <t>2015-03-31_11:59 - Logout realizado</t>
  </si>
  <si>
    <t>2015-03-31_11:59 - -------------Fim da exportação transações de projeto-------------</t>
  </si>
  <si>
    <t>2015-03-31_12:06 - -------------Início da exportação transações de projeto-------------</t>
  </si>
  <si>
    <t>2015-03-31_12:06 - Arquivo xog sendo gravado em: C:\xog_movimentacao_proj\xog_20150331_1206.xml</t>
  </si>
  <si>
    <t>2015-03-31_12:06 - Ambiente selecionado: PROD</t>
  </si>
  <si>
    <t>2015-03-31_12:06 -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</si>
  <si>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2015-03-31_12:06 - Enviando requisição de login</t>
  </si>
  <si>
    <t>2015-03-31_12:06 - Login realizado. SessionID capturado: 5676290__68F951DB-23D8-42C2-AB62-0D53893298BB</t>
  </si>
  <si>
    <t>2015-03-31_12:06 - Chamando mensagem de requisição</t>
  </si>
  <si>
    <t>2015-03-31_12:06 - Capturando resultado final</t>
  </si>
  <si>
    <t>2015-03-31_12:06 - Número de Registros enviados: 94
Registros com falha: 0
Registros inseridos: 94
Registros atualizados: 0</t>
  </si>
  <si>
    <t>2015-03-31_12:06 - Efetuando logout</t>
  </si>
  <si>
    <t>2015-03-31_12:06 - Logout realizado</t>
  </si>
  <si>
    <t>2015-03-31_12:06 - -------------Fim da exportação transações de projeto-------------</t>
  </si>
  <si>
    <t>2015-03-31_12:43 - Ambiente selecionado: PROD</t>
  </si>
  <si>
    <t>2015-03-31_12:43 - Escrevendo tarefas...</t>
  </si>
  <si>
    <t>2015-03-31_12:43 - Escrevendo charge code...</t>
  </si>
  <si>
    <t>2015-03-31_12:43 - Escrevendo centro de custo...</t>
  </si>
  <si>
    <t>2015-03-31_12:43 - Escrevendo negócio...</t>
  </si>
  <si>
    <t>2015-03-31_12:43 - Escrevendo usuários...</t>
  </si>
  <si>
    <t>2015-03-31_12:44 - Escrevendo tarefas...</t>
  </si>
  <si>
    <t>2015-03-31_12:44 - Escrevendo charge code...</t>
  </si>
  <si>
    <t>2015-03-31_12:44 - Escrevendo centro de custo...</t>
  </si>
  <si>
    <t>2015-03-31_12:44 - Escrevendo negócio...</t>
  </si>
  <si>
    <t>2015-03-31_12:44 - Escrevendo usuários...</t>
  </si>
  <si>
    <t>2015-03-31_12:44 - Ambiente selecionado: PROD</t>
  </si>
  <si>
    <t>2015-03-31_13:07 - Ambiente selecionado: PROD</t>
  </si>
  <si>
    <t>2015-03-31_13:07 - Escrevendo tarefas...</t>
  </si>
  <si>
    <t>2015-03-31_13:07 - Escrevendo charge code...</t>
  </si>
  <si>
    <t>2015-03-31_13:07 - Escrevendo centro de custo...</t>
  </si>
  <si>
    <t>2015-03-31_13:07 - Escrevendo negócio...</t>
  </si>
  <si>
    <t>2015-03-31_13:07 - Escrevendo usuários...</t>
  </si>
  <si>
    <t>2015-03-31_13:08 - Escrevendo negócio...</t>
  </si>
  <si>
    <t>2015-03-31_13:08 - Escrevendo usuários...</t>
  </si>
  <si>
    <t>2015-03-31_13:08 - Ambiente selecionado: PROD</t>
  </si>
  <si>
    <t>2015-03-31_13:08 - Escrevendo tarefas...</t>
  </si>
  <si>
    <t>2015-03-31_13:08 - Escrevendo charge code...</t>
  </si>
  <si>
    <t>2015-03-31_13:08 - Escrevendo centro de custo...</t>
  </si>
  <si>
    <t>2015-03-31_13:09 - Ambiente selecionado: PROD</t>
  </si>
  <si>
    <t>2015-03-31_13:09 - Escrevendo tarefas...</t>
  </si>
  <si>
    <t>2015-03-31_13:09 - Escrevendo charge code...</t>
  </si>
  <si>
    <t>2015-03-31_13:09 - Escrevendo centro de custo...</t>
  </si>
  <si>
    <t>2015-03-31_13:09 - Escrevendo negócio...</t>
  </si>
  <si>
    <t>2015-03-31_13:09 - Escrevendo usuários...</t>
  </si>
  <si>
    <t>2015-03-31_13:10 - Ambiente selecionado: PROD</t>
  </si>
  <si>
    <t>2015-03-31_13:10 - Escrevendo tarefas...</t>
  </si>
  <si>
    <t>2015-03-31_13:10 - Escrevendo charge code...</t>
  </si>
  <si>
    <t>2015-03-31_13:10 - Escrevendo centro de custo...</t>
  </si>
  <si>
    <t>2015-03-31_13:10 - Escrevendo negócio...</t>
  </si>
  <si>
    <t>2015-03-31_13:10 - Escrevendo usuários...</t>
  </si>
  <si>
    <t>2015-03-31_14:40 - Ambiente selecionado: PROD</t>
  </si>
  <si>
    <t>2015-03-31_14:40 - Escrevendo tarefas...</t>
  </si>
  <si>
    <t>2015-03-31_14:40 - Escrevendo charge code...</t>
  </si>
  <si>
    <t>2015-03-31_14:40 - Escrevendo centro de custo...</t>
  </si>
  <si>
    <t>2015-03-31_14:40 - Escrevendo negócio...</t>
  </si>
  <si>
    <t>2015-03-31_14:40 - Escrevendo usuários...</t>
  </si>
  <si>
    <t>2015-03-31_14:40 - Escrevendo unidades...</t>
  </si>
  <si>
    <t>2015-03-31_14:44 - Ambiente selecionado: PROD</t>
  </si>
  <si>
    <t>2015-03-31_14:46 - Ambiente selecionado: PROD</t>
  </si>
  <si>
    <t>2015-03-31_14:46 - Escrevendo tarefas...</t>
  </si>
  <si>
    <t>2015-03-31_14:46 - Escrevendo charge code...</t>
  </si>
  <si>
    <t>2015-03-31_14:46 - Escrevendo centro de custo...</t>
  </si>
  <si>
    <t>2015-03-31_14:46 - Escrevendo negócio...</t>
  </si>
  <si>
    <t>2015-03-31_14:46 - Escrevendo usuários...</t>
  </si>
  <si>
    <t>2015-03-31_14:46 - Escrevendo unidades...</t>
  </si>
  <si>
    <t>2015-03-31_14:48 - Ambiente selecionado: PROD</t>
  </si>
  <si>
    <t>2015-03-31_14:48 - Escrevendo tarefas...</t>
  </si>
  <si>
    <t>2015-03-31_14:48 - Escrevendo charge code...</t>
  </si>
  <si>
    <t>2015-03-31_14:48 - Escrevendo centro de custo...</t>
  </si>
  <si>
    <t>2015-03-31_14:48 - Escrevendo negócio...</t>
  </si>
  <si>
    <t>2015-03-31_14:48 - Escrevendo usuários...</t>
  </si>
  <si>
    <t>2015-03-31_14:48 - Escrevendo unidades...</t>
  </si>
  <si>
    <t>2015-03-31_16:26 - -------------Início do plano de custo de ativos-------------</t>
  </si>
  <si>
    <t>2015-03-31_16:26 - Arquivo xog sendo gravado em: C:\xog_plan_cost\xog_20150331_1626.xml</t>
  </si>
  <si>
    <t>2015-03-31_17:19 - -------------Início do plano de custo de ativos-------------</t>
  </si>
  <si>
    <t>2015-03-31_17:19 - Arquivo xog sendo gravado em: C:\xog_plan_cost\xog_20150331_1719.xml</t>
  </si>
  <si>
    <t>2015-03-31_17:21 - -------------Início do plano de custo de ativos-------------</t>
  </si>
  <si>
    <t>2015-03-31_17:21 - Arquivo xog sendo gravado em: C:\xog_plan_cost\xog_20150331_1721.xml</t>
  </si>
  <si>
    <t>2015-03-31_17:21 - Ambiente selecionado: PROD</t>
  </si>
  <si>
    <t>2015-03-31_17:21 -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</si>
  <si>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2015-03-31_17:21 - Enviando requisição de login</t>
  </si>
  <si>
    <t>2015-03-31_17:21 - Login realizado. SessionID capturado: 5679108__1D60A1E5-F38E-4FF2-A917-05C6B3D1D57E</t>
  </si>
  <si>
    <t>2015-03-31_17:21 - Chamando mensagem de requisição</t>
  </si>
  <si>
    <t>2015-03-31_17:21 - Capturando resultado final</t>
  </si>
  <si>
    <t>2015-03-31_17:21 - Efetuando logout</t>
  </si>
  <si>
    <t>2015-03-31_17:21 - Logout realizado</t>
  </si>
  <si>
    <t>2015-03-31_17:21 - -------------Fim da exportação plano de custo de ativos-------------</t>
  </si>
  <si>
    <t>2015-03-31_17:25 - -------------Início do plano de custo de ativos-------------</t>
  </si>
  <si>
    <t>2015-03-31_17:25 - Arquivo xog sendo gravado em: C:\xog_plan_cost\xog_20150331_1725.xml</t>
  </si>
  <si>
    <t>2015-03-31_17:25 - Ambiente selecionado: PROD</t>
  </si>
  <si>
    <t>2015-03-31_17:25 -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</si>
  <si>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2015-03-31_17:25 - Enviando requisição de login</t>
  </si>
  <si>
    <t>2015-03-31_17:25 - Login realizado. SessionID capturado: 5676501__B9764679-9AE6-4612-A43B-75D9C86CD2B7</t>
  </si>
  <si>
    <t>2015-03-31_17:25 - Chamando mensagem de requisição</t>
  </si>
  <si>
    <t>2015-03-31_17:25 - Capturando resultado final</t>
  </si>
  <si>
    <t>2015-03-31_17:25 - Efetuando logout</t>
  </si>
  <si>
    <t>2015-03-31_17:25 - Logout realizado</t>
  </si>
  <si>
    <t>2015-03-31_17:25 - -------------Fim da exportação plano de custo de ativos-------------</t>
  </si>
  <si>
    <t>2015-04-01_08:44 - -------------Início do plano de custo de ativos-------------</t>
  </si>
  <si>
    <t>2015-04-01_08:44 - Arquivo xog sendo gravado em: C:\xog_plan_cost\xog_20150401_0844.xml</t>
  </si>
  <si>
    <t>2015-04-01_08:45 - -------------Início do plano de custo de ativos-------------</t>
  </si>
  <si>
    <t>2015-04-01_08:45 - Arquivo xog sendo gravado em: C:\xog_plan_cost\xog_20150401_0845.xml</t>
  </si>
  <si>
    <t>2015-04-01_08:59 - -------------Início do plano de custo de ativos-------------</t>
  </si>
  <si>
    <t>2015-04-01_08:59 - Arquivo xog sendo gravado em: C:\xog_plan_cost\xog_20150401_0859.xml</t>
  </si>
  <si>
    <t>2015-04-01_08:59 - Ambiente selecionado: PROD</t>
  </si>
  <si>
    <t>2015-04-01_08:59 -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</si>
  <si>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2015-04-01_08:59 - Enviando requisição de login</t>
  </si>
  <si>
    <t>2015-04-01_08:59 - Login realizado. SessionID capturado: 5679676__937350AE-8B01-4740-8F13-F01D073FD068</t>
  </si>
  <si>
    <t>2015-04-01_08:59 - Chamando mensagem de requisição</t>
  </si>
  <si>
    <t>2015-04-01_08:59 - Capturando resultado final</t>
  </si>
  <si>
    <t>2015-04-01_08:59 - Efetuando logout</t>
  </si>
  <si>
    <t>2015-04-01_08:59 - Logout realizado</t>
  </si>
  <si>
    <t>2015-04-01_08:59 - -------------Fim da exportação plano de custo de ativos-------------</t>
  </si>
  <si>
    <t>2015-04-01_09:10 - -------------Início do plano de custo de ativos-------------</t>
  </si>
  <si>
    <t>2015-04-01_09:10 - Arquivo xog sendo gravado em: C:\xog_plan_cost\xog_20150401_0910.xml</t>
  </si>
  <si>
    <t>2015-04-01_09:10 - Ambiente selecionado: PROD</t>
  </si>
  <si>
    <t>2015-04-01_09:10 -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</si>
  <si>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2015-04-01_09:10 - Enviando requisição de login</t>
  </si>
  <si>
    <t>2015-04-01_09:10 - Login realizado. SessionID capturado: 5683064__C883F795-E016-47A7-99DF-AE5FFBCFCB61</t>
  </si>
  <si>
    <t>2015-04-01_09:10 - Chamando mensagem de requisição</t>
  </si>
  <si>
    <t>2015-04-01_09:10 - Capturando resultado final</t>
  </si>
  <si>
    <t>2015-04-01_09:10 - Efetuando logout</t>
  </si>
  <si>
    <t>2015-04-01_09:10 - Logout realizado</t>
  </si>
  <si>
    <t>2015-04-01_09:10 - -------------Fim da exportação plano de custo de ativos-------------</t>
  </si>
  <si>
    <t>2015-04-01_09:11 - -------------Início do plano de custo de ativos-------------</t>
  </si>
  <si>
    <t>2015-04-01_09:11 - Arquivo xog sendo gravado em: C:\xog_plan_cost\xog_20150401_0911.xml</t>
  </si>
  <si>
    <t>2015-04-01_09:11 - Ambiente selecionado: PROD</t>
  </si>
  <si>
    <t>2015-04-01_09:11 -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</si>
  <si>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2015-04-01_09:11 - Enviando requisição de login</t>
  </si>
  <si>
    <t>2015-04-01_09:11 - Login realizado. SessionID capturado: 5679685__4F28122F-EEB0-48EE-8431-43F5A2E1097C</t>
  </si>
  <si>
    <t>2015-04-01_09:11 - Chamando mensagem de requisição</t>
  </si>
  <si>
    <t>2015-04-01_09:11 - Capturando resultado final</t>
  </si>
  <si>
    <t>2015-04-01_09:11 - Efetuando logout</t>
  </si>
  <si>
    <t>2015-04-01_09:11 - Logout realizado</t>
  </si>
  <si>
    <t>2015-04-01_09:11 - -------------Fim da exportação plano de custo de ativos-------------</t>
  </si>
  <si>
    <t>2015-04-01_09:15 - -------------Início do plano de custo de ativos-------------</t>
  </si>
  <si>
    <t>2015-04-01_09:15 - Arquivo xog sendo gravado em: C:\xog_plan_cost\xog_20150401_0915.xml</t>
  </si>
  <si>
    <t>2015-04-01_09:15 - Ambiente selecionado: PROD</t>
  </si>
  <si>
    <t>2015-04-01_09:15 -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</si>
  <si>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2015-04-01_09:15 - Enviando requisição de login</t>
  </si>
  <si>
    <t>2015-04-01_09:15 - Login realizado. SessionID capturado: 5683068__7B28CC8E-6311-41B8-8BAF-E9FCAA20B182</t>
  </si>
  <si>
    <t>2015-04-01_09:15 - Chamando mensagem de requisição</t>
  </si>
  <si>
    <t>2015-04-01_09:15 - Capturando resultado final</t>
  </si>
  <si>
    <t>2015-04-01_09:15 - Efetuando logout</t>
  </si>
  <si>
    <t>2015-04-01_09:15 - Logout realizado</t>
  </si>
  <si>
    <t>2015-04-01_09:15 - -------------Fim da exportação plano de custo de ativos-------------</t>
  </si>
  <si>
    <t>2015-04-01_09:36 - -------------Início do plano de custo de ativos-------------</t>
  </si>
  <si>
    <t>2015-04-01_09:36 - Arquivo xog sendo gravado em: C:\xog_plan_cost\xog_20150401_0936.xml</t>
  </si>
  <si>
    <t>2015-04-01_09:36 - Ambiente selecionado: PROD</t>
  </si>
  <si>
    <t>2015-04-01_09:36 -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</si>
  <si>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2015-04-01_09:36 - Enviando requisição de login</t>
  </si>
  <si>
    <t>2015-04-01_09:36 - Login realizado. SessionID capturado: 5679706__6D0FEC4B-3DEA-4695-9F3C-BD3A566FA730</t>
  </si>
  <si>
    <t>2015-04-01_09:36 - Chamando mensagem de requisição</t>
  </si>
  <si>
    <t>2015-04-01_09:36 - Capturando resultado final</t>
  </si>
  <si>
    <t>2015-04-01_09:36 - Efetuando logout</t>
  </si>
  <si>
    <t>2015-04-01_09:36 - Logout realizado</t>
  </si>
  <si>
    <t>2015-04-01_09:36 - -------------Fim da exportação plano de custo de ativos-------------</t>
  </si>
  <si>
    <t>2015-04-01_09:50 - Ambiente selecionado: PROD</t>
  </si>
  <si>
    <t>2015-04-01_09:50 - Escrevendo tarefas...</t>
  </si>
  <si>
    <t>2015-04-01_09:50 - Escrevendo charge code...</t>
  </si>
  <si>
    <t>2015-04-01_09:50 - Escrevendo centro de custo...</t>
  </si>
  <si>
    <t>2015-04-01_09:50 - Escrevendo negócio...</t>
  </si>
  <si>
    <t>2015-04-01_09:50 - Escrevendo usuários...</t>
  </si>
  <si>
    <t>2015-04-01_09:50 - Escrevendo unidades...</t>
  </si>
  <si>
    <t>2015-04-01_09:50 - -------------Início do plano de custo de ativos-------------</t>
  </si>
  <si>
    <t>2015-04-01_09:50 - Arquivo xog sendo gravado em: C:\xog_plan_cost\xog_20150401_0950.xml</t>
  </si>
  <si>
    <t>2015-04-01_09:50 -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</si>
  <si>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2015-04-01_09:50 - Enviando requisição de login</t>
  </si>
  <si>
    <t>2015-04-01_09:51 - Login realizado. SessionID capturado: 5683095__8D89434F-2CF2-4800-A9C1-095A7553F452</t>
  </si>
  <si>
    <t>2015-04-01_09:51 - Chamando mensagem de requisição</t>
  </si>
  <si>
    <t>2015-04-01_09:51 - Capturando resultado final</t>
  </si>
  <si>
    <t>2015-04-01_09:51 - Efetuando logout</t>
  </si>
  <si>
    <t>2015-04-01_09:51 - Logout realizado</t>
  </si>
  <si>
    <t>2015-04-01_09:51 - -------------Fim da exportação plano de custo de ativos-------------</t>
  </si>
  <si>
    <t>2015-04-01_12:07 - -------------Início do plano de custo de ativos-------------</t>
  </si>
  <si>
    <t>2015-04-01_12:07 - Arquivo xog sendo gravado em: C:\xog_plan_cost\xog_20150401_1207.xml</t>
  </si>
  <si>
    <t>2015-04-01_12:07 - Ambiente selecionado: PROD</t>
  </si>
  <si>
    <t>2015-04-01_12:07 -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</si>
  <si>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2015-04-01_12:07 - Enviando requisição de login</t>
  </si>
  <si>
    <t>2015-04-01_12:07 - Login realizado. SessionID capturado: 5679813__120D6AA1-596A-4762-899F-428F6443FDBA</t>
  </si>
  <si>
    <t>2015-04-01_12:07 - Chamando mensagem de requisição</t>
  </si>
  <si>
    <t>2015-04-01_12:07 - Capturando resultado final</t>
  </si>
  <si>
    <t>2015-04-01_12:07 - Efetuando logout</t>
  </si>
  <si>
    <t>2015-04-01_12:07 - Logout realizado</t>
  </si>
  <si>
    <t>2015-04-01_12:07 - -------------Fim da exportação plano de custo de ativos-------------</t>
  </si>
  <si>
    <t>2015-04-01_13:44 - Ambiente selecionado: PROD</t>
  </si>
  <si>
    <t>2015-04-01_13:44 - Escrevendo tarefas...</t>
  </si>
  <si>
    <t>2015-04-01_13:44 - Escrevendo charge code...</t>
  </si>
  <si>
    <t>2015-04-01_13:44 - Escrevendo centro de custo...</t>
  </si>
  <si>
    <t>2015-04-01_13:44 - Escrevendo negócio...</t>
  </si>
  <si>
    <t>2015-04-01_13:44 - Escrevendo usuários...</t>
  </si>
  <si>
    <t>2015-04-01_13:44 - Escrevendo unidades...</t>
  </si>
  <si>
    <t>2015-04-01_13:59 - -------------Início do plano de custo de ativos-------------</t>
  </si>
  <si>
    <t>2015-04-01_13:59 - Arquivo xog sendo gravado em: C:\xog_plan_cost\xog_20150401_1359.xml</t>
  </si>
  <si>
    <t>2015-04-01_14:09 - -------------Início do plano de custo de ativos-------------</t>
  </si>
  <si>
    <t>2015-04-01_14:09 - Arquivo xog sendo gravado em: C:\xog_plan_cost\xog_20150401_1409.xml</t>
  </si>
  <si>
    <t>2015-05-25_10:26 - -------------Início do plano de custo de ativos-------------</t>
  </si>
  <si>
    <t>2015-05-25_10:26 - Arquivo xog sendo gravado em: C:\xog_plan_cost\xog_20150525_1026.xml</t>
  </si>
  <si>
    <t>2015-05-25_10:26 - Ambiente selecionado: PROD</t>
  </si>
  <si>
    <t>2015-05-25_10:26 -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</si>
  <si>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2015-05-25_10:26 - Enviando requisição de login</t>
  </si>
  <si>
    <t>2015-05-25_10:26 - Login realizado. SessionID capturado: 6033486__98A38BFB-E130-46D0-97E4-85034CE1858B</t>
  </si>
  <si>
    <t>2015-05-25_10:26 - Chamando mensagem de requisição</t>
  </si>
  <si>
    <t>2015-05-25_10:26 - Capturando resultado final</t>
  </si>
  <si>
    <t>2015-05-25_10:26 - Efetuando logout</t>
  </si>
  <si>
    <t>2015-05-25_10:26 - Logout realizado</t>
  </si>
  <si>
    <t>2015-05-25_10:26 - -------------Fim da exportação plano de custo de ativos-------------</t>
  </si>
  <si>
    <t>2015-05-25_11:27 - -------------Início do plano de custo de ativos-------------</t>
  </si>
  <si>
    <t>2015-05-25_11:27 - Arquivo xog sendo gravado em: C:\xog_plan_cost\xog_20150525_1127.xml</t>
  </si>
  <si>
    <t>2015-05-25_11:27 - -------------Fim da exportação plano de custo de ativos-------------</t>
  </si>
  <si>
    <t>2015-05-25_11:30 - Ambiente selecionado: PROD</t>
  </si>
  <si>
    <t>2015-05-25_11:30 - Escrevendo tarefas...</t>
  </si>
  <si>
    <t>2015-05-25_11:30 - Escrevendo charge code...</t>
  </si>
  <si>
    <t>2015-05-25_11:30 - Escrevendo centro de custo...</t>
  </si>
  <si>
    <t>2015-05-25_11:30 - Escrevendo negócio...</t>
  </si>
  <si>
    <t>2015-05-25_11:30 - Escrevendo usuários...</t>
  </si>
  <si>
    <t>2015-05-25_11:30 - Escrevendo unidades...</t>
  </si>
  <si>
    <t>2015-05-25_11:31 - Escrevendo negócio...</t>
  </si>
  <si>
    <t>2015-05-25_11:31 - Escrevendo usuários...</t>
  </si>
  <si>
    <t>2015-05-25_11:31 - Escrevendo unidades...</t>
  </si>
  <si>
    <t>2015-05-25_11:31 - Ambiente selecionado: PROD</t>
  </si>
  <si>
    <t>2015-05-25_11:31 - Escrevendo tarefas...</t>
  </si>
  <si>
    <t>2015-05-25_11:31 - Escrevendo charge code...</t>
  </si>
  <si>
    <t>2015-05-25_11:31 - Escrevendo centro de custo...</t>
  </si>
  <si>
    <t>2015-05-25_11:32 - -------------Início do plano de custo de ativos-------------</t>
  </si>
  <si>
    <t>2015-05-25_11:32 - Arquivo xog sendo gravado em: C:\xog_plan_cost\xog_20150525_1132.xml</t>
  </si>
  <si>
    <t>2015-05-25_11:32 - -------------Fim da exportação plano de custo de ativos-------------</t>
  </si>
  <si>
    <t>2015-05-25_11:33 - Ambiente selecionado: PROD</t>
  </si>
  <si>
    <t>2015-05-25_11:33 - Escrevendo tarefas...</t>
  </si>
  <si>
    <t>2015-05-25_11:33 - Escrevendo charge code...</t>
  </si>
  <si>
    <t>2015-05-25_11:33 - Escrevendo centro de custo...</t>
  </si>
  <si>
    <t>2015-05-25_11:33 - Escrevendo negócio...</t>
  </si>
  <si>
    <t>2015-05-25_11:33 - Escrevendo usuários...</t>
  </si>
  <si>
    <t>2015-05-25_11:33 - Escrevendo unidades...</t>
  </si>
  <si>
    <t>2015-05-25_11:34 - Escrevendo tarefas...</t>
  </si>
  <si>
    <t>2015-05-25_11:34 - Escrevendo charge code...</t>
  </si>
  <si>
    <t>2015-05-25_11:34 - Escrevendo centro de custo...</t>
  </si>
  <si>
    <t>2015-05-25_11:34 - Escrevendo negócio...</t>
  </si>
  <si>
    <t>2015-05-25_11:34 - Escrevendo usuários...</t>
  </si>
  <si>
    <t>2015-05-25_11:34 - Escrevendo unidades...</t>
  </si>
  <si>
    <t>2015-05-25_11:34 - Ambiente selecionado: PROD</t>
  </si>
  <si>
    <t>2015-05-25_11:57 - Ambiente selecionado: PROD</t>
  </si>
  <si>
    <t>2015-05-25_11:57 - Escrevendo tarefas...</t>
  </si>
  <si>
    <t>2015-05-25_11:57 - Escrevendo charge code...</t>
  </si>
  <si>
    <t>2015-05-25_11:57 - Escrevendo centro de custo...</t>
  </si>
  <si>
    <t>2015-05-25_11:57 - Escrevendo negócio...</t>
  </si>
  <si>
    <t>2015-05-25_11:57 - Escrevendo usuários...</t>
  </si>
  <si>
    <t>2015-05-25_11:57 - Escrevendo unidades...</t>
  </si>
  <si>
    <t>2015-05-25_11:59 - Ambiente selecionado: PROD</t>
  </si>
  <si>
    <t>2015-05-25_12:00 - Escrevendo tarefas...</t>
  </si>
  <si>
    <t>2015-05-25_12:00 - Escrevendo charge code...</t>
  </si>
  <si>
    <t>2015-05-25_12:00 - Escrevendo centro de custo...</t>
  </si>
  <si>
    <t>2015-05-25_12:00 - Escrevendo negócio...</t>
  </si>
  <si>
    <t>2015-05-25_12:00 - Escrevendo usuários...</t>
  </si>
  <si>
    <t>2015-05-25_12:00 - Escrevendo unidades...</t>
  </si>
  <si>
    <t>2015-05-25_12:00 - Ambiente selecionado: PROD</t>
  </si>
  <si>
    <t>2015-05-25_12:02 - -------------Início do plano de custo de ativos-------------</t>
  </si>
  <si>
    <t>2015-05-25_12:02 - Arquivo xog sendo gravado em: C:\xog_plan_cost\xog_20150525_1202.xml</t>
  </si>
  <si>
    <t>2015-05-25_12:02 - -------------Fim da exportação plano de custo de ativos-------------</t>
  </si>
  <si>
    <t>2015-05-25_12:04 - -------------Início do plano de custo de ativos-------------</t>
  </si>
  <si>
    <t>2015-05-25_12:04 - Arquivo xog sendo gravado em: C:\xog_plan_cost\xog_20150525_1204.xml</t>
  </si>
  <si>
    <t>2015-05-25_12:04 - -------------Fim da exportação plano de custo de ativos-------------</t>
  </si>
  <si>
    <t>2015-05-25_13:49 - Ambiente selecionado: PROD</t>
  </si>
  <si>
    <t>2015-05-25_13:49 - Escrevendo tarefas...</t>
  </si>
  <si>
    <t>2015-05-25_13:49 - Escrevendo charge code...</t>
  </si>
  <si>
    <t>2015-05-25_13:49 - Escrevendo centro de custo...</t>
  </si>
  <si>
    <t>2015-05-25_13:49 - Escrevendo negócio...</t>
  </si>
  <si>
    <t>2015-05-25_13:49 - Escrevendo usuários...</t>
  </si>
  <si>
    <t>2015-05-25_13:49 - Escrevendo unidades...</t>
  </si>
  <si>
    <t>2015-05-25_13:50 - Escrevendo negócio...</t>
  </si>
  <si>
    <t>2015-05-25_13:50 - Escrevendo usuários...</t>
  </si>
  <si>
    <t>2015-05-25_13:50 - Escrevendo unidades...</t>
  </si>
  <si>
    <t>2015-05-25_13:50 - Ambiente selecionado: PROD</t>
  </si>
  <si>
    <t>2015-05-25_13:50 - Escrevendo tarefas...</t>
  </si>
  <si>
    <t>2015-05-25_13:50 - Escrevendo charge code...</t>
  </si>
  <si>
    <t>2015-05-25_13:50 - Escrevendo centro de custo...</t>
  </si>
  <si>
    <t>2015-05-25_13:57 - -------------Início do plano de custo de ativos-------------</t>
  </si>
  <si>
    <t>2015-05-25_13:57 - Arquivo xog sendo gravado em: C:\xog_plan_cost\xog_20150525_1357.xml</t>
  </si>
  <si>
    <t>2015-05-25_13:57 - -------------Fim da exportação plano de custo de ativos-------------</t>
  </si>
  <si>
    <t>2015-05-25_13:57 - Ambiente selecionado: PROD</t>
  </si>
  <si>
    <t>2015-05-25_13:57 - Escrevendo tarefas...</t>
  </si>
  <si>
    <t>2015-05-25_13:57 - Escrevendo charge code...</t>
  </si>
  <si>
    <t>2015-05-25_13:57 - Escrevendo centro de custo...</t>
  </si>
  <si>
    <t>2015-05-25_13:57 - Escrevendo negócio...</t>
  </si>
  <si>
    <t>2015-05-25_13:57 - Escrevendo usuários...</t>
  </si>
  <si>
    <t>2015-05-25_13:57 - Escrevendo unidades...</t>
  </si>
  <si>
    <t>2015-05-25_13:57 - Escrevendo períodos...</t>
  </si>
  <si>
    <t>2015-05-25_13:58 - Escrevendo tarefas...</t>
  </si>
  <si>
    <t>2015-05-25_13:58 - Escrevendo charge code...</t>
  </si>
  <si>
    <t>2015-05-25_13:58 - Escrevendo centro de custo...</t>
  </si>
  <si>
    <t>2015-05-25_13:58 - Escrevendo negócio...</t>
  </si>
  <si>
    <t>2015-05-25_13:58 - Escrevendo usuários...</t>
  </si>
  <si>
    <t>2015-05-25_13:58 - Escrevendo unidades...</t>
  </si>
  <si>
    <t>2015-05-25_13:58 - Escrevendo períodos...</t>
  </si>
  <si>
    <t>2015-05-25_13:58 - Ambiente selecionado: PROD</t>
  </si>
  <si>
    <t>2015-05-25_14:09 - Ambiente selecionado: PROD</t>
  </si>
  <si>
    <t>2015-05-25_14:09 - Escrevendo tarefas...</t>
  </si>
  <si>
    <t>2015-05-25_14:09 - Escrevendo charge code...</t>
  </si>
  <si>
    <t>2015-05-25_14:09 - Escrevendo centro de custo...</t>
  </si>
  <si>
    <t>2015-05-25_14:09 - Escrevendo negócio...</t>
  </si>
  <si>
    <t>2015-05-25_14:09 - Escrevendo usuários...</t>
  </si>
  <si>
    <t>2015-05-25_14:09 - Escrevendo unidades...</t>
  </si>
  <si>
    <t>2015-05-25_14:09 - Escrevendo períodos...</t>
  </si>
  <si>
    <t>2015-05-25_14:11 - Ambiente selecionado: PROD</t>
  </si>
  <si>
    <t>2015-05-25_14:11 - Escrevendo tarefas...</t>
  </si>
  <si>
    <t>2015-05-25_14:11 - Escrevendo charge code...</t>
  </si>
  <si>
    <t>2015-05-25_14:11 - Escrevendo centro de custo...</t>
  </si>
  <si>
    <t>2015-05-25_14:11 - Escrevendo negócio...</t>
  </si>
  <si>
    <t>2015-05-25_14:11 - Escrevendo usuários...</t>
  </si>
  <si>
    <t>2015-05-25_14:11 - Escrevendo unidades...</t>
  </si>
  <si>
    <t>2015-05-25_14:11 - Escrevendo períodos...</t>
  </si>
  <si>
    <t>2015-05-25_14:12 - Escrevendo negócio...</t>
  </si>
  <si>
    <t>2015-05-25_14:12 - Escrevendo usuários...</t>
  </si>
  <si>
    <t>2015-05-25_14:12 - Escrevendo unidades...</t>
  </si>
  <si>
    <t>2015-05-25_14:12 - Escrevendo períodos...</t>
  </si>
  <si>
    <t>2015-05-25_14:12 - Ambiente selecionado: PROD</t>
  </si>
  <si>
    <t>2015-05-25_14:12 - Escrevendo tarefas...</t>
  </si>
  <si>
    <t>2015-05-25_14:12 - Escrevendo charge code...</t>
  </si>
  <si>
    <t>2015-05-25_14:12 - Escrevendo centro de custo...</t>
  </si>
  <si>
    <t>2015-05-25_14:13 - Ambiente selecionado: PROD</t>
  </si>
  <si>
    <t>2015-05-25_14:13 - Escrevendo tarefas...</t>
  </si>
  <si>
    <t>2015-05-25_14:13 - Escrevendo charge code...</t>
  </si>
  <si>
    <t>2015-05-25_14:13 - Escrevendo centro de custo...</t>
  </si>
  <si>
    <t>2015-05-25_14:13 - Escrevendo negócio...</t>
  </si>
  <si>
    <t>2015-05-25_14:13 - Escrevendo usuários...</t>
  </si>
  <si>
    <t>2015-05-25_14:13 - Escrevendo unidades...</t>
  </si>
  <si>
    <t>2015-05-25_14:13 - Escrevendo períodos...</t>
  </si>
  <si>
    <t>2015-05-25_14:15 - Ambiente selecionado: PROD</t>
  </si>
  <si>
    <t>2015-05-25_14:16 - Ambiente selecionado: PROD</t>
  </si>
  <si>
    <t>2015-05-25_14:16 - Escrevendo tarefas...</t>
  </si>
  <si>
    <t>2015-05-25_14:16 - Escrevendo charge code...</t>
  </si>
  <si>
    <t>2015-05-25_14:16 - Escrevendo centro de custo...</t>
  </si>
  <si>
    <t>2015-05-25_14:16 - Escrevendo negócio...</t>
  </si>
  <si>
    <t>2015-05-25_14:16 - Escrevendo usuários...</t>
  </si>
  <si>
    <t>2015-05-25_14:16 - Escrevendo unidades...</t>
  </si>
  <si>
    <t>2015-05-25_14:16 - Escrevendo períodos...</t>
  </si>
  <si>
    <t>2015-05-25_14:20 - Ambiente selecionado: PROD</t>
  </si>
  <si>
    <t>2015-05-25_14:20 - Escrevendo tarefas...</t>
  </si>
  <si>
    <t>2015-05-25_14:20 - Escrevendo charge code...</t>
  </si>
  <si>
    <t>2015-05-25_14:20 - Escrevendo centro de custo...</t>
  </si>
  <si>
    <t>2015-05-25_14:20 - Escrevendo negócio...</t>
  </si>
  <si>
    <t>2015-05-25_14:20 - Escrevendo usuários...</t>
  </si>
  <si>
    <t>2015-05-25_14:20 - Escrevendo unidades...</t>
  </si>
  <si>
    <t>2015-05-25_14:20 - Escrevendo períodos...</t>
  </si>
  <si>
    <t>2015-05-25_14:21 - Ambiente selecionado: PROD</t>
  </si>
  <si>
    <t>2015-05-25_14:21 - Escrevendo tarefas...</t>
  </si>
  <si>
    <t>2015-05-25_14:21 - Escrevendo charge code...</t>
  </si>
  <si>
    <t>2015-05-25_14:21 - Escrevendo centro de custo...</t>
  </si>
  <si>
    <t>2015-05-25_14:21 - Escrevendo negócio...</t>
  </si>
  <si>
    <t>2015-05-25_14:21 - Escrevendo usuários...</t>
  </si>
  <si>
    <t>2015-05-25_14:21 - Escrevendo unidades...</t>
  </si>
  <si>
    <t>2015-05-25_14:21 - Escrevendo períodos...</t>
  </si>
  <si>
    <t>2015-05-25_14:37 - -------------Início do plano de custo de ativos-------------</t>
  </si>
  <si>
    <t>2015-05-25_14:37 - Arquivo xog sendo gravado em: C:\xog_plan_cost\xog_20150525_1437.xml</t>
  </si>
  <si>
    <t>2015-05-25_14:44 - Ambiente selecionado: PROD</t>
  </si>
  <si>
    <t>2015-05-25_14:44 - Escrevendo tarefas...</t>
  </si>
  <si>
    <t>2015-05-25_14:44 - Escrevendo charge code...</t>
  </si>
  <si>
    <t>2015-05-25_14:44 - Escrevendo centro de custo...</t>
  </si>
  <si>
    <t>2015-05-25_14:44 - Escrevendo negócio...</t>
  </si>
  <si>
    <t>2015-05-25_14:44 - Escrevendo usuários...</t>
  </si>
  <si>
    <t>2015-05-25_14:44 - Escrevendo unidades...</t>
  </si>
  <si>
    <t>2015-05-25_14:44 - Escrevendo períodos...</t>
  </si>
  <si>
    <t>2015-05-25_14:45 - Escrevendo tarefas...</t>
  </si>
  <si>
    <t>2015-05-25_14:45 - Escrevendo charge code...</t>
  </si>
  <si>
    <t>2015-05-25_14:45 - Escrevendo centro de custo...</t>
  </si>
  <si>
    <t>2015-05-25_14:45 - Escrevendo negócio...</t>
  </si>
  <si>
    <t>2015-05-25_14:45 - Escrevendo usuários...</t>
  </si>
  <si>
    <t>2015-05-25_14:45 - Escrevendo unidades...</t>
  </si>
  <si>
    <t>2015-05-25_14:45 - Escrevendo períodos...</t>
  </si>
  <si>
    <t>2015-05-25_14:45 - Ambiente selecionado: PROD</t>
  </si>
  <si>
    <t>2015-05-25_14:47 - -------------Início do plano de custo de ativos-------------</t>
  </si>
  <si>
    <t>2015-05-25_14:47 - Arquivo xog sendo gravado em: C:\xog_plan_cost\xog_20150525_1447.xml</t>
  </si>
  <si>
    <t>2015-05-25_15:19 - -------------Início do plano de custo de ativos-------------</t>
  </si>
  <si>
    <t>2015-05-25_15:19 - Arquivo xog sendo gravado em: C:\xog_plan_cost\xog_20150525_1519.xml</t>
  </si>
  <si>
    <t>2015-05-25_15:25 - -------------Fim da exportação plano de custo de ativos-------------</t>
  </si>
  <si>
    <t>2015-05-25_15:27 - -------------Início do plano de custo de ativos-------------</t>
  </si>
  <si>
    <t>2015-05-25_15:27 - Arquivo xog sendo gravado em: C:\xog_plan_cost\xog_20150525_1527.xml</t>
  </si>
  <si>
    <t>2015-05-25_15:27 - -------------Fim da exportação plano de custo de ativos-------------</t>
  </si>
  <si>
    <t>2015-05-25_15:30 - -------------Início do plano de custo de ativos-------------</t>
  </si>
  <si>
    <t>2015-05-25_15:30 - Arquivo xog sendo gravado em: C:\xog_plan_cost\xog_20150525_1530.xml</t>
  </si>
  <si>
    <t>2015-05-25_15:30 - -------------Fim da exportação plano de custo de ativos-------------</t>
  </si>
  <si>
    <t>2015-05-25_15:35 - -------------Início do plano de custo de ativos-------------</t>
  </si>
  <si>
    <t>2015-05-25_15:35 - Arquivo xog sendo gravado em: C:\xog_plan_cost\xog_20150525_1535.xml</t>
  </si>
  <si>
    <t>2015-05-25_15:37 - -------------Fim da exportação plano de custo de ativos-------------</t>
  </si>
  <si>
    <t>2015-05-25_16:05 - -------------Início do plano de custo de ativos-------------</t>
  </si>
  <si>
    <t>2015-05-25_16:05 - Arquivo xog sendo gravado em: C:\xog_plan_cost\xog_20150525_1605.xml</t>
  </si>
  <si>
    <t>2015-05-25_16:05 - -------------Fim da exportação plano de custo de ativos-------------</t>
  </si>
  <si>
    <t>2015-05-25_16:27 - -------------Início do plano de custo de ativos-------------</t>
  </si>
  <si>
    <t>2015-05-25_16:27 - Arquivo xog sendo gravado em: C:\xog_plan_cost\xog_20150525_1627.xml</t>
  </si>
  <si>
    <t>2015-05-25_16:27 - -------------Fim da exportação plano de custo de ativos-------------</t>
  </si>
  <si>
    <t>2015-05-25_16:29 - -------------Início do plano de custo de ativos-------------</t>
  </si>
  <si>
    <t>2015-05-25_16:29 - Arquivo xog sendo gravado em: C:\xog_plan_cost\xog_20150525_1629.xml</t>
  </si>
  <si>
    <t>2015-05-25_16:29 - -------------Fim da exportação plano de custo de ativos-------------</t>
  </si>
  <si>
    <t>2015-05-25_16:30 - -------------Início do plano de custo de ativos-------------</t>
  </si>
  <si>
    <t>2015-05-25_16:30 - Arquivo xog sendo gravado em: C:\xog_plan_cost\xog_20150525_1630.xml</t>
  </si>
  <si>
    <t>2015-05-25_16:30 - -------------Fim da exportação plano de custo de ativos-------------</t>
  </si>
  <si>
    <t>2015-05-25_17:08 - Ambiente selecionado: PROD</t>
  </si>
  <si>
    <t>2015-05-25_17:08 - Escrevendo tarefas...</t>
  </si>
  <si>
    <t>2015-05-25_17:08 - Escrevendo charge code...</t>
  </si>
  <si>
    <t>2015-05-25_17:08 - Escrevendo centro de custo...</t>
  </si>
  <si>
    <t>2015-05-25_17:08 - Escrevendo negócio...</t>
  </si>
  <si>
    <t>2015-05-25_17:08 - Escrevendo usuários...</t>
  </si>
  <si>
    <t>2015-05-25_17:08 - Escrevendo unidades...</t>
  </si>
  <si>
    <t>2015-05-25_17:08 - Escrevendo períodos...</t>
  </si>
  <si>
    <t>2015-05-25_17:08 - Escrevendo negócios detalhados...</t>
  </si>
  <si>
    <t>2015-05-25_17:09 - Ambiente selecionado: PROD</t>
  </si>
  <si>
    <t>2015-05-25_17:09 - Escrevendo tarefas...</t>
  </si>
  <si>
    <t>2015-05-25_17:09 - Escrevendo charge code...</t>
  </si>
  <si>
    <t>2015-05-25_17:09 - Escrevendo centro de custo...</t>
  </si>
  <si>
    <t>2015-05-25_17:09 - Escrevendo negócio...</t>
  </si>
  <si>
    <t>2015-05-25_17:09 - Escrevendo usuários...</t>
  </si>
  <si>
    <t>2015-05-25_17:09 - Escrevendo unidades...</t>
  </si>
  <si>
    <t>2015-05-25_17:09 - Escrevendo períodos...</t>
  </si>
  <si>
    <t>2015-05-25_17:09 - Escrevendo negócios detalhados...</t>
  </si>
  <si>
    <t>2015-05-26_10:18 - -------------Início do plano de custo de ativos-------------</t>
  </si>
  <si>
    <t>2015-05-26_10:18 - Arquivo xog sendo gravado em: C:\xog_plan_cost\xog_20150526_1018.xml</t>
  </si>
  <si>
    <t>2015-05-26_10:20 - -------------Início do plano de custo de ativos-------------</t>
  </si>
  <si>
    <t>2015-05-26_10:20 - Arquivo xog sendo gravado em: C:\xog_plan_cost\xog_20150526_1020.xml</t>
  </si>
  <si>
    <t>2015-05-26_10:28 - -------------Início do plano de custo de ativos-------------</t>
  </si>
  <si>
    <t>2015-05-26_10:28 - Arquivo xog sendo gravado em: C:\xog_plan_cost\xog_20150526_1028.xml</t>
  </si>
  <si>
    <t>2015-05-26_10:31 - -------------Início do plano de custo de ativos-------------</t>
  </si>
  <si>
    <t>2015-05-26_10:31 - Arquivo xog sendo gravado em: C:\xog_plan_cost\xog_20150526_1031.xml</t>
  </si>
  <si>
    <t>2015-05-26_10:33 - -------------Fim da exportação plano de custo de ativos-------------</t>
  </si>
  <si>
    <t>2015-05-26_10:33 - -------------Início do plano de custo de ativos-------------</t>
  </si>
  <si>
    <t>2015-05-26_10:33 - Arquivo xog sendo gravado em: C:\xog_plan_cost\xog_20150526_1033.xml</t>
  </si>
  <si>
    <t>2015-05-26_10:47 - -------------Início da exportação transações de projeto-------------</t>
  </si>
  <si>
    <t>2015-05-26_10:47 - Arquivo xog sendo gravado em: C:\xog_movimentacao_proj\xog_20150526_1047.xml</t>
  </si>
  <si>
    <t>2015-05-26_10:52 - -------------Fim da exportação transações de projeto-------------</t>
  </si>
  <si>
    <t>2015-05-26_11:04 - -------------Início da exportação transações de projeto-------------</t>
  </si>
  <si>
    <t>2015-05-26_11:04 - Arquivo xog sendo gravado em: C:\xog_movimentacao_proj\xog_20150526_1104.xml</t>
  </si>
  <si>
    <t>2015-05-26_11:06 - -------------Início da exportação transações de projeto-------------</t>
  </si>
  <si>
    <t>2015-05-26_11:06 - Arquivo xog sendo gravado em: C:\xog_movimentacao_proj\xog_20150526_1106.xml</t>
  </si>
  <si>
    <t>2015-05-26_11:06 - -------------Fim da exportação transações de projeto-------------</t>
  </si>
  <si>
    <t>2015-05-26_11:07 - -------------Início da exportação transações de projeto-------------</t>
  </si>
  <si>
    <t>2015-05-26_11:07 - Arquivo xog sendo gravado em: C:\xog_movimentacao_proj\xog_20150526_1107.xml</t>
  </si>
  <si>
    <t>2015-05-26_11:07 - -------------Fim da exportação transações de projeto-------------</t>
  </si>
  <si>
    <t>2015-05-26_11:08 - -------------Início da exportação transações de projeto-------------</t>
  </si>
  <si>
    <t>2015-05-26_11:08 - Arquivo xog sendo gravado em: C:\xog_movimentacao_proj\xog_20150526_1108.xml</t>
  </si>
  <si>
    <t>2015-05-26_11:08 - -------------Fim da exportação transações de projeto-------------</t>
  </si>
  <si>
    <t>2015-05-26_13:40 - -------------Início do plano de custo de ativos-------------</t>
  </si>
  <si>
    <t>2015-05-26_13:40 - Arquivo xog sendo gravado em: C:\xog_plan_cost\xog_20150526_1340.xml</t>
  </si>
  <si>
    <t>2015-05-26_13:40 - Ambiente selecionado: PROD</t>
  </si>
  <si>
    <t>2015-05-26_13:40 -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</si>
  <si>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2015-05-26_13:40 - Enviando requisição de login</t>
  </si>
  <si>
    <t>2015-05-26_16:08 - -------------Início do plano de custo de ativos-------------</t>
  </si>
  <si>
    <t>2015-05-26_16:08 - Arquivo xog sendo gravado em: C:\xog_plan_cost\xog_20150526_1608.xml</t>
  </si>
  <si>
    <t>2015-05-26_16:08 - Ambiente selecionado: PROD</t>
  </si>
  <si>
    <t>2015-05-26_16:08 -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</si>
  <si>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2015-05-26_16:08 - Enviando requisição de login</t>
  </si>
  <si>
    <t>2015-05-26_16:13 - -------------Início do plano de custo de ativos-------------</t>
  </si>
  <si>
    <t>2015-05-26_16:13 - Arquivo xog sendo gravado em: C:\xog_plan_cost\xog_20150526_1613.xml</t>
  </si>
  <si>
    <t>2015-05-26_16:13 - Proxy identificado</t>
  </si>
  <si>
    <t>2015-05-26_16:13 - Ambiente selecionado: PROD</t>
  </si>
  <si>
    <t>2015-05-26_16:13 -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</si>
  <si>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2015-05-26_16:13 - Enviando requisição de login</t>
  </si>
  <si>
    <t>2015-05-26_16:13 - Login realizado. SessionID capturado: 6040598__ECE9C4C1-186F-472D-B1BE-521FA3229831</t>
  </si>
  <si>
    <t>2015-05-26_16:13 - Chamando mensagem de requisição</t>
  </si>
  <si>
    <t>2015-05-26_16:13 - Capturando resultado final</t>
  </si>
  <si>
    <t>2015-05-26_16:13 - Efetuando logout</t>
  </si>
  <si>
    <t>2015-05-26_16:13 - Logout realizado</t>
  </si>
  <si>
    <t>2015-05-26_16:13 - -------------Fim da exportação plano de custo de ativos-------------</t>
  </si>
  <si>
    <t>2015-05-26_16:17 - -------------Início do plano de custo de ativos-------------</t>
  </si>
  <si>
    <t>2015-05-26_16:17 - Arquivo xog sendo gravado em: C:\xog_plan_cost\xog_20150526_1617.xml</t>
  </si>
  <si>
    <t>2015-05-26_16:17 - Proxy identificado</t>
  </si>
  <si>
    <t>2015-05-26_16:17 - Ambiente selecionado: PROD</t>
  </si>
  <si>
    <t>2015-05-26_16:17 -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</si>
  <si>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2015-05-26_16:17 - Enviando requisição de login</t>
  </si>
  <si>
    <t>2015-05-26_16:17 - Login realizado. SessionID capturado: 6040601__5AE76768-D052-4218-B4F5-FF86A26E9C68</t>
  </si>
  <si>
    <t>2015-05-26_16:17 - Chamando mensagem de requisição</t>
  </si>
  <si>
    <t>2015-05-26_16:17 - Capturando resultado final</t>
  </si>
  <si>
    <t>2015-05-26_16:17 - Efetuando logout</t>
  </si>
  <si>
    <t>2015-05-26_16:17 - Logout realizado</t>
  </si>
  <si>
    <t>2015-05-26_16:17 - -------------Fim da exportação plano de custo de ativos-------------</t>
  </si>
  <si>
    <t>2015-05-26_16:35 - -------------Início do plano de custo de ativos-------------</t>
  </si>
  <si>
    <t>2015-05-26_16:35 - Arquivo xog sendo gravado em: C:\xog_plan_cost\xog_20150526_1635.xml</t>
  </si>
  <si>
    <t>2015-05-26_16:35 - Proxy identificado</t>
  </si>
  <si>
    <t>2015-05-26_16:35 - Ambiente selecionado: PROD</t>
  </si>
  <si>
    <t>2015-05-26_16:35 -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</si>
  <si>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2015-05-26_16:35 - Enviando requisição de login</t>
  </si>
  <si>
    <t>2015-05-26_16:36 - -------------Início do plano de custo de ativos-------------</t>
  </si>
  <si>
    <t>2015-05-26_16:36 - Arquivo xog sendo gravado em: C:\xog_plan_cost\xog_20150526_1636.xml</t>
  </si>
  <si>
    <t>2015-05-26_16:36 - Ambiente selecionado: PROD</t>
  </si>
  <si>
    <t>2015-05-26_16:36 -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</si>
  <si>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2015-05-26_16:36 - Enviando requisição de login</t>
  </si>
  <si>
    <t>2015-05-26_16:36 - Login realizado. SessionID capturado: 6040613__2C8A8843-DDDA-427B-933D-6DED347DA3D1</t>
  </si>
  <si>
    <t>2015-05-26_16:36 - Chamando mensagem de requisição</t>
  </si>
  <si>
    <t>2015-05-26_16:36 - Capturando resultado final</t>
  </si>
  <si>
    <t>2015-05-26_16:36 - Efetuando logout</t>
  </si>
  <si>
    <t>2015-05-26_16:36 - Logout realizado</t>
  </si>
  <si>
    <t>2015-05-26_16:36 - -------------Fim da exportação plano de custo de ativos-------------</t>
  </si>
  <si>
    <t>2015-05-26_17:16 - -------------Início do plano de custo de ativos-------------</t>
  </si>
  <si>
    <t>2015-05-26_17:16 - Arquivo xog sendo gravado em: C:\xog_plan_cost\xog_20150526_1716.xml</t>
  </si>
  <si>
    <t>2015-05-26_17:16 - Ambiente selecionado: PROD</t>
  </si>
  <si>
    <t>2015-05-26_17:16 -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</si>
  <si>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2015-05-26_17:16 - Enviando requisição de login</t>
  </si>
  <si>
    <t>2015-05-26_17:16 - Login realizado. SessionID capturado: 6044187__522AC3E8-23A6-47D7-8A35-4C7DE1FF9E85</t>
  </si>
  <si>
    <t>2015-05-26_17:16 - Chamando mensagem de requisição</t>
  </si>
  <si>
    <t>2015-05-26_17:16 - Capturando resultado final</t>
  </si>
  <si>
    <t>2015-05-26_17:16 - Efetuando logout</t>
  </si>
  <si>
    <t>2015-05-26_17:16 - Logout realizado</t>
  </si>
  <si>
    <t>2015-05-26_17:16 - -------------Fim da exportação plano de custo de ativos-------------</t>
  </si>
  <si>
    <t>2015-05-26_17:27 - Ambiente selecionado: PROD</t>
  </si>
  <si>
    <t>2015-05-26_17:27 - Escrevendo tarefas...</t>
  </si>
  <si>
    <t>2015-05-26_17:27 - Escrevendo charge code...</t>
  </si>
  <si>
    <t>2015-05-26_17:27 - Escrevendo centro de custo...</t>
  </si>
  <si>
    <t>2015-05-26_17:27 - Escrevendo negócio...</t>
  </si>
  <si>
    <t>2015-05-26_17:27 - Escrevendo usuários...</t>
  </si>
  <si>
    <t>2015-05-26_17:27 - Escrevendo unidades...</t>
  </si>
  <si>
    <t>2015-05-26_17:27 - Escrevendo períodos...</t>
  </si>
  <si>
    <t>2015-05-26_17:27 - Escrevendo negócios detalhados...</t>
  </si>
  <si>
    <t>2015-05-26_17:28 - Escrevendo usuários...</t>
  </si>
  <si>
    <t>2015-05-26_17:28 - Escrevendo unidades...</t>
  </si>
  <si>
    <t>2015-05-26_17:28 - Escrevendo períodos...</t>
  </si>
  <si>
    <t>2015-05-26_17:28 - Escrevendo negócios detalhados...</t>
  </si>
  <si>
    <t>2015-05-26_17:28 - Ambiente selecionado: PROD</t>
  </si>
  <si>
    <t>2015-05-26_17:28 - Escrevendo tarefas...</t>
  </si>
  <si>
    <t>2015-05-26_17:28 - Escrevendo charge code...</t>
  </si>
  <si>
    <t>2015-05-26_17:28 - Escrevendo centro de custo...</t>
  </si>
  <si>
    <t>2015-05-26_17:28 - Escrevendo negócio...</t>
  </si>
  <si>
    <t>2015-05-26_17:31 - Ambiente selecionado: PROD</t>
  </si>
  <si>
    <t>2015-05-26_17:31 - Escrevendo tarefas...</t>
  </si>
  <si>
    <t>2015-05-26_17:31 - Escrevendo charge code...</t>
  </si>
  <si>
    <t>2015-05-26_17:31 - Escrevendo centro de custo...</t>
  </si>
  <si>
    <t>2015-05-26_17:31 - Escrevendo negócio...</t>
  </si>
  <si>
    <t>2015-05-26_17:31 - Escrevendo usuários...</t>
  </si>
  <si>
    <t>2015-05-26_17:31 - Escrevendo unidades...</t>
  </si>
  <si>
    <t>2015-05-26_17:31 - Escrevendo períodos...</t>
  </si>
  <si>
    <t>2015-05-26_17:31 - Escrevendo negócios detalhados...</t>
  </si>
  <si>
    <t>2015-05-26_17:32 - -------------Início do plano de custo de ativos-------------</t>
  </si>
  <si>
    <t>2015-05-26_17:32 - Arquivo xog sendo gravado em: C:\xog_plan_cost\xog_20150526_1732.xml</t>
  </si>
  <si>
    <t>2015-05-26_17:32 - Ambiente selecionado: PROD</t>
  </si>
  <si>
    <t>2015-05-26_17:32 -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</si>
  <si>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2015-05-26_17:32 - Enviando requisição de login</t>
  </si>
  <si>
    <t>2015-05-26_17:32 - Login realizado. SessionID capturado: 6040670__F16B9824-B224-4EE2-AD47-DD2E1D05F598</t>
  </si>
  <si>
    <t>2015-05-26_17:32 - Chamando mensagem de requisição</t>
  </si>
  <si>
    <t>2015-05-26_17:32 - Capturando resultado final</t>
  </si>
  <si>
    <t>2015-05-26_17:32 - Efetuando logout</t>
  </si>
  <si>
    <t>2015-05-26_17:32 - Logout realizado</t>
  </si>
  <si>
    <t>2015-05-26_17:32 - -------------Fim da exportação plano de custo de ativos-------------</t>
  </si>
  <si>
    <t>2015-05-27_10:39 - -------------Início do plano de custo de ativos-------------</t>
  </si>
  <si>
    <t>2015-05-27_10:39 - Arquivo xog sendo gravado em: C:\xog_plan_cost\xog_20150527_1039.xml</t>
  </si>
  <si>
    <t>2015-05-27_10:40 - -------------Início do plano de custo de ativos-------------</t>
  </si>
  <si>
    <t>2015-05-27_10:40 - Arquivo xog sendo gravado em: C:\xog_plan_cost\xog_20150527_1040.xml</t>
  </si>
  <si>
    <t>2015-05-27_10:41 - -------------Início do plano de custo de ativos-------------</t>
  </si>
  <si>
    <t>2015-05-27_10:41 - Arquivo xog sendo gravado em: C:\xog_plan_cost\xog_20150527_1041.xml</t>
  </si>
  <si>
    <t>2015-05-27_10:46 - -------------Início do plano de custo de ativos-------------</t>
  </si>
  <si>
    <t>2015-05-27_10:46 - Arquivo xog sendo gravado em: C:\xog_plan_cost\xog_20150527_1046.xml</t>
  </si>
  <si>
    <t>2015-05-27_10:47 - -------------Início do plano de custo de ativos-------------</t>
  </si>
  <si>
    <t>2015-05-27_10:47 - Arquivo xog sendo gravado em: C:\xog_plan_cost\xog_20150527_1047.xml</t>
  </si>
  <si>
    <t>2015-05-27_10:53 - -------------Início do plano de custo de ativos-------------</t>
  </si>
  <si>
    <t>2015-05-27_10:53 - Arquivo xog sendo gravado em: C:\xog_plan_cost\xog_20150527_1053.xml</t>
  </si>
  <si>
    <t>2015-05-27_10:55 - -------------Início do plano de custo de ativos-------------</t>
  </si>
  <si>
    <t>2015-05-27_10:55 - Arquivo xog sendo gravado em: C:\xog_plan_cost\xog_20150527_1055.xml</t>
  </si>
  <si>
    <t>2015-05-27_10:57 - -------------Início do plano de custo de ativos-------------</t>
  </si>
  <si>
    <t>2015-05-27_10:57 - Arquivo xog sendo gravado em: C:\xog_plan_cost\xog_20150527_1057.xml</t>
  </si>
  <si>
    <t>2015-05-27_10:58 - -------------Início do plano de custo de ativos-------------</t>
  </si>
  <si>
    <t>2015-05-27_10:58 - Arquivo xog sendo gravado em: C:\xog_plan_cost\xog_20150527_1058.xml</t>
  </si>
  <si>
    <t>2015-05-27_11:00 - Ambiente selecionado: PROD</t>
  </si>
  <si>
    <t>2015-05-27_11:00 -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</si>
  <si>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2015-05-27_11:00 - Enviando requisição de login</t>
  </si>
  <si>
    <t>2015-05-27_11:04 - Ambiente selecionado: PROD</t>
  </si>
  <si>
    <t>2015-05-27_11:05 - Ambiente selecionado: PROD</t>
  </si>
  <si>
    <t>2015-05-27_11:06 - Ambiente selecionado: PROD</t>
  </si>
  <si>
    <t>2015-05-27_11:38 - -------------Início do plano de custo de ativos-------------</t>
  </si>
  <si>
    <t>2015-05-27_11:38 - Arquivo xog sendo gravado em: C:\xog_plan_cost\xog_20150527_1138.xml</t>
  </si>
  <si>
    <t>2015-05-27_11:39 - -------------Início do plano de custo de ativos-------------</t>
  </si>
  <si>
    <t>2015-05-27_11:39 - Arquivo xog sendo gravado em: C:\xog_plan_cost\xog_20150527_1139.xml</t>
  </si>
  <si>
    <t>2015-05-27_11:40 - Proxy identificado</t>
  </si>
  <si>
    <t>2015-05-27_11:40 - Ambiente selecionado: PROD</t>
  </si>
  <si>
    <t>2015-05-27_11:40 - Escrevendo tarefas...</t>
  </si>
  <si>
    <t>2015-05-27_11:40 - Escrevendo charge code...</t>
  </si>
  <si>
    <t>2015-05-27_11:40 - Escrevendo centro de custo...</t>
  </si>
  <si>
    <t>2015-05-27_11:40 - Escrevendo negócio...</t>
  </si>
  <si>
    <t>2015-05-27_11:40 - Escrevendo usuários...</t>
  </si>
  <si>
    <t>2015-05-27_11:40 - Escrevendo unidades...</t>
  </si>
  <si>
    <t>2015-05-27_11:40 - Escrevendo períodos...</t>
  </si>
  <si>
    <t>2015-05-27_11:40 - Escrevendo negócios detalhados...</t>
  </si>
  <si>
    <t>2015-05-27_11:41 - Proxy identificado</t>
  </si>
  <si>
    <t>2015-05-27_11:41 - Ambiente selecionado: PROD</t>
  </si>
  <si>
    <t>2015-05-27_11:42 - -------------Início do plano de custo de ativos-------------</t>
  </si>
  <si>
    <t>2015-05-27_11:42 - Arquivo xog sendo gravado em: C:\xog_plan_cost\xog_20150527_1142.xml</t>
  </si>
  <si>
    <t>2015-05-27_11:52 - -------------Início do plano de custo de ativos-------------</t>
  </si>
  <si>
    <t>2015-05-27_11:52 - Arquivo xog sendo gravado em: C:\xog_plan_cost\xog_20150527_1152.xml</t>
  </si>
  <si>
    <t>2015-05-27_14:10 - -------------Início do plano de custo de ativos-------------</t>
  </si>
  <si>
    <t>2015-05-27_14:10 - Arquivo xog sendo gravado em: C:\xog_plan_cost\xog_20150527_1410.xml</t>
  </si>
  <si>
    <t>2015-05-27_14:10 - -------------Fim da exportação plano de custo de ativos-------------</t>
  </si>
  <si>
    <t>2015-05-27_14:13 - -------------Início do plano de custo de ativos-------------</t>
  </si>
  <si>
    <t>2015-05-27_14:13 - Arquivo xog sendo gravado em: C:\xog_plan_cost\xog_20150527_1413.xml</t>
  </si>
  <si>
    <t>2015-05-27_14:13 - -------------Fim da exportação plano de custo de ativos-------------</t>
  </si>
  <si>
    <t>2015-05-27_14:15 - -------------Início do plano de custo de ativos-------------</t>
  </si>
  <si>
    <t>2015-05-27_14:15 - Arquivo xog sendo gravado em: C:\xog_plan_cost\xog_20150527_1415.xml</t>
  </si>
  <si>
    <t>2015-05-27_14:15 - Proxy identificado</t>
  </si>
  <si>
    <t>2015-05-27_14:15 - Ambiente selecionado: PROD</t>
  </si>
  <si>
    <t>2015-05-27_14:15 -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</si>
  <si>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2015-05-27_14:15 - Enviando requisição de login</t>
  </si>
  <si>
    <t>2015-05-27_14:15 - Login realizado. SessionID capturado: 6048426__B02527BF-496D-4848-B1A5-B598DE88105E</t>
  </si>
  <si>
    <t>2015-05-27_14:15 - Chamando mensagem de requisição</t>
  </si>
  <si>
    <t>2015-05-27_14:15 - Capturando resultado final</t>
  </si>
  <si>
    <t>2015-05-27_14:15 - Efetuando logout</t>
  </si>
  <si>
    <t>2015-05-27_14:15 - Logout realizado</t>
  </si>
  <si>
    <t>2015-05-27_14:15 - -------------Fim da exportação plano de custo de ativos-------------</t>
  </si>
  <si>
    <t>2015-05-27_14:30 - -------------Início do plano de custo de ativos-------------</t>
  </si>
  <si>
    <t>2015-05-27_14:30 - Arquivo xog sendo gravado em: C:\xog_plan_cost\xog_20150527_1430.xml</t>
  </si>
  <si>
    <t>2015-05-27_14:30 - Proxy identificado</t>
  </si>
  <si>
    <t>2015-05-27_14:30 - Ambiente selecionado: PROD</t>
  </si>
  <si>
    <t>2015-05-27_14:30 -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</si>
  <si>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2015-05-27_14:30 - Enviando requisição de login</t>
  </si>
  <si>
    <t>2015-05-27_14:30 - Login realizado. SessionID capturado: 6048438__68629378-3B0B-4E09-8C50-759BFB8EB265</t>
  </si>
  <si>
    <t>2015-05-27_14:30 - Chamando mensagem de requisição</t>
  </si>
  <si>
    <t>2015-05-27_14:30 - Capturando resultado final</t>
  </si>
  <si>
    <t>2015-05-27_14:30 - Efetuando logout</t>
  </si>
  <si>
    <t>2015-05-27_14:30 - Logout realizado</t>
  </si>
  <si>
    <t>2015-05-27_14:30 - -------------Fim da exportação plano de custo de ativos-------------</t>
  </si>
  <si>
    <t>2015-05-27_14:33 - -------------Início do plano de custo de ativos-------------</t>
  </si>
  <si>
    <t>2015-05-27_14:33 - Arquivo xog sendo gravado em: C:\xog_plan_cost\xog_20150527_1433.xml</t>
  </si>
  <si>
    <t>2015-05-27_14:33 - Ambiente selecionado: PROD</t>
  </si>
  <si>
    <t>2015-05-27_14:33 -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</si>
  <si>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2015-05-27_14:33 - Enviando requisição de login</t>
  </si>
  <si>
    <t>2015-05-27_14:33 - Login realizado. SessionID capturado: 6044954__0AB83752-FEEE-4AED-9AB9-038BE4060310</t>
  </si>
  <si>
    <t>2015-05-27_14:33 - Chamando mensagem de requisição</t>
  </si>
  <si>
    <t>2015-05-27_14:33 - Capturando resultado final</t>
  </si>
  <si>
    <t>2015-05-27_14:33 - Efetuando logout</t>
  </si>
  <si>
    <t>2015-05-27_14:33 - Logout realizado</t>
  </si>
  <si>
    <t>2015-05-27_14:33 - -------------Fim da exportação plano de custo de ativos-------------</t>
  </si>
  <si>
    <t>2015-05-28_10:21 - Ambiente selecionado: PROD</t>
  </si>
  <si>
    <t>2015-05-28_10:22 - Ambiente selecionado: PROD</t>
  </si>
  <si>
    <t>2015-05-28_10:22 - Proxy identificado</t>
  </si>
  <si>
    <t>2015-05-28_10:22 - Escrevendo tarefas...</t>
  </si>
  <si>
    <t>2015-05-28_10:22 - Escrevendo charge code...</t>
  </si>
  <si>
    <t>2015-05-28_10:22 - Escrevendo centro de custo...</t>
  </si>
  <si>
    <t>2015-05-28_10:22 - Escrevendo negócio...</t>
  </si>
  <si>
    <t>2015-05-28_10:22 - Escrevendo usuários...</t>
  </si>
  <si>
    <t>2015-05-28_10:22 - Escrevendo unidades...</t>
  </si>
  <si>
    <t>2015-05-28_10:22 - Escrevendo períodos...</t>
  </si>
  <si>
    <t>2015-05-28_10:22 - Escrevendo negócios detalhados...</t>
  </si>
  <si>
    <t>2015-05-28_10:23 - Proxy identificado</t>
  </si>
  <si>
    <t>2015-05-28_10:23 - Ambiente selecionado: PROD</t>
  </si>
  <si>
    <t>2015-05-28_10:23 - Escrevendo tarefas...</t>
  </si>
  <si>
    <t>2015-05-28_10:23 - Escrevendo charge code...</t>
  </si>
  <si>
    <t>2015-05-28_10:23 - Escrevendo centro de custo...</t>
  </si>
  <si>
    <t>2015-05-28_10:23 - Escrevendo negócio...</t>
  </si>
  <si>
    <t>2015-05-28_10:23 - Escrevendo usuários...</t>
  </si>
  <si>
    <t>2015-05-28_10:23 - Escrevendo unidades...</t>
  </si>
  <si>
    <t>2015-05-28_10:23 - Escrevendo períodos...</t>
  </si>
  <si>
    <t>2015-05-28_10:23 - Escrevendo negócios detalhados...</t>
  </si>
  <si>
    <t>2015-05-28_10:57 - Ambiente selecionado: PROD</t>
  </si>
  <si>
    <t>2015-05-28_10:57 - Escrevendo tarefas...</t>
  </si>
  <si>
    <t>2015-05-28_10:58 - Escrevendo charge code...</t>
  </si>
  <si>
    <t>2015-05-28_10:58 - Escrevendo centro de custo...</t>
  </si>
  <si>
    <t>2015-05-28_10:58 - Escrevendo negócio...</t>
  </si>
  <si>
    <t>2015-05-28_10:58 - Escrevendo usuários...</t>
  </si>
  <si>
    <t>2015-05-28_10:58 - Escrevendo unidades...</t>
  </si>
  <si>
    <t>2015-05-28_10:58 - Escrevendo períodos...</t>
  </si>
  <si>
    <t>2015-05-28_10:58 - Escrevendo negócios detalhados...</t>
  </si>
  <si>
    <t>2015-05-28_10:58 - Ambiente selecionado: PROD</t>
  </si>
  <si>
    <t>2015-05-28_10:58 - Escrevendo tarefas...</t>
  </si>
  <si>
    <t>2015-05-28_11:44 - Ambiente selecionado: PROD</t>
  </si>
  <si>
    <t>2015-05-28_11:44 - Escrevendo tarefas...</t>
  </si>
  <si>
    <t>2015-05-28_12:07 - Escrevendo charge code...</t>
  </si>
  <si>
    <t>2015-05-28_12:07 - Escrevendo centro de custo...</t>
  </si>
  <si>
    <t>2015-05-28_12:07 - Escrevendo negócio...</t>
  </si>
  <si>
    <t>2015-05-28_12:07 - Escrevendo usuários...</t>
  </si>
  <si>
    <t>2015-05-28_12:07 - Escrevendo unidades...</t>
  </si>
  <si>
    <t>2015-05-28_12:07 - Escrevendo períodos...</t>
  </si>
  <si>
    <t>2015-05-28_12:07 - Escrevendo negócios detalhados...</t>
  </si>
  <si>
    <t>2015-05-28_12:07 - Ambiente selecionado: PROD</t>
  </si>
  <si>
    <t>2015-05-28_12:07 - Escrevendo tarefas...</t>
  </si>
  <si>
    <t>2015-05-28_12:08 - Escrevendo centro de custo...</t>
  </si>
  <si>
    <t>2015-05-28_12:08 - Escrevendo negócio...</t>
  </si>
  <si>
    <t>2015-05-28_12:08 - Escrevendo usuários...</t>
  </si>
  <si>
    <t>2015-05-28_12:08 - Escrevendo unidades...</t>
  </si>
  <si>
    <t>2015-05-28_12:08 - Escrevendo períodos...</t>
  </si>
  <si>
    <t>2015-05-28_12:08 - Escrevendo negócios detalhados...</t>
  </si>
  <si>
    <t>2015-05-28_12:08 - Ambiente selecionado: PROD</t>
  </si>
  <si>
    <t>2015-05-28_12:09 - Ambiente selecionado: PROD</t>
  </si>
  <si>
    <t>2015-05-28_12:09 - Escrevendo tarefas...</t>
  </si>
  <si>
    <t>2015-05-28_12:09 - Escrevendo charge code...</t>
  </si>
  <si>
    <t>2015-05-28_12:09 - Escrevendo centro de custo...</t>
  </si>
  <si>
    <t>2015-05-28_12:16 - Escrevendo negócio...</t>
  </si>
  <si>
    <t>2015-05-28_12:16 - Escrevendo usuários...</t>
  </si>
  <si>
    <t>2015-05-28_12:16 - Escrevendo unidades...</t>
  </si>
  <si>
    <t>2015-05-28_12:16 - Escrevendo períodos...</t>
  </si>
  <si>
    <t>2015-05-28_12:16 - Escrevendo negócios detalhados...</t>
  </si>
  <si>
    <t>2015-05-28_12:16 - Ambiente selecionado: PROD</t>
  </si>
  <si>
    <t>2015-05-28_12:16 - Escrevendo tarefas...</t>
  </si>
  <si>
    <t>2015-05-28_12:16 - Escrevendo charge code...</t>
  </si>
  <si>
    <t>2015-05-28_12:16 - Escrevendo centro de custo...</t>
  </si>
  <si>
    <t>2015-05-28_12:18 - Escrevendo usuários...</t>
  </si>
  <si>
    <t>2015-05-28_12:18 - Escrevendo unidades...</t>
  </si>
  <si>
    <t>2015-05-28_12:18 - Escrevendo períodos...</t>
  </si>
  <si>
    <t>2015-05-28_12:18 - Escrevendo negócios detalhados...</t>
  </si>
  <si>
    <t>2015-05-28_12:18 - Ambiente selecionado: PROD</t>
  </si>
  <si>
    <t>2015-05-28_12:18 - Escrevendo tarefas...</t>
  </si>
  <si>
    <t>2015-05-28_12:18 - Escrevendo charge code...</t>
  </si>
  <si>
    <t>2015-05-28_12:18 - Escrevendo centro de custo...</t>
  </si>
  <si>
    <t>2015-05-28_12:18 - Escrevendo negócio...</t>
  </si>
  <si>
    <t>2015-05-28_12:25 - Escrevendo unidades...</t>
  </si>
  <si>
    <t>2015-05-28_12:25 - Escrevendo períodos...</t>
  </si>
  <si>
    <t>2015-05-28_12:25 - Escrevendo negócios detalhados...</t>
  </si>
  <si>
    <t>2015-05-28_12:25 - Ambiente selecionado: PROD</t>
  </si>
  <si>
    <t>2015-05-28_12:25 - Escrevendo tarefas...</t>
  </si>
  <si>
    <t>2015-05-28_12:25 - Escrevendo charge code...</t>
  </si>
  <si>
    <t>2015-05-28_12:25 - Escrevendo centro de custo...</t>
  </si>
  <si>
    <t>2015-05-28_12:25 - Escrevendo negócio...</t>
  </si>
  <si>
    <t>2015-05-28_12:25 - Escrevendo usuários...</t>
  </si>
  <si>
    <t>2015-05-28_12:27 - Escrevendo períodos...</t>
  </si>
  <si>
    <t>2015-05-28_12:27 - Escrevendo negócios detalhados...</t>
  </si>
  <si>
    <t>2015-05-28_12:27 - Ambiente selecionado: PROD</t>
  </si>
  <si>
    <t>2015-05-28_12:27 - Escrevendo tarefas...</t>
  </si>
  <si>
    <t>2015-05-28_12:27 - Escrevendo charge code...</t>
  </si>
  <si>
    <t>2015-05-28_12:27 - Escrevendo centro de custo...</t>
  </si>
  <si>
    <t>2015-05-28_12:27 - Escrevendo negócio...</t>
  </si>
  <si>
    <t>2015-05-28_12:27 - Escrevendo usuários...</t>
  </si>
  <si>
    <t>2015-05-28_12:27 - Escrevendo unidades...</t>
  </si>
  <si>
    <t>2015-05-28_12:30 - Ambiente selecionado: PROD</t>
  </si>
  <si>
    <t>2015-05-28_14:42 - -------------Início da exportação transações de projeto-------------</t>
  </si>
  <si>
    <t>2015-05-28_14:42 - Arquivo xog sendo gravado em: C:\xog_movimentacao_proj\xog_20150528_1442.xml</t>
  </si>
  <si>
    <t>2015-05-28_14:42 - Ambiente selecionado: PROD</t>
  </si>
  <si>
    <t>2015-05-28_14:42 -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</si>
  <si>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2015-05-28_14:42 - Enviando requisição de login</t>
  </si>
  <si>
    <t>2015-05-28_14:42 - Login realizado. SessionID capturado: 6051846__45B0E314-F375-4A6F-ABB3-883FB4631E0D</t>
  </si>
  <si>
    <t>2015-05-28_14:42 - Chamando mensagem de requisição</t>
  </si>
  <si>
    <t>2015-05-28_14:50 - Capturando resultado final</t>
  </si>
  <si>
    <t>2015-05-28_14:50 - Efetuando logout</t>
  </si>
  <si>
    <t>2015-05-28_14:50 - Logout realizado</t>
  </si>
  <si>
    <t>2015-05-28_14:50 - -------------Fim da exportação transações de projeto-------------</t>
  </si>
  <si>
    <t>2015-05-28_15:10 - -------------Início da exportação transações de projeto-------------</t>
  </si>
  <si>
    <t>2015-05-28_15:10 - Arquivo xog sendo gravado em: C:\xog_movimentacao_proj\xog_20150528_1510.xml</t>
  </si>
  <si>
    <t>2015-05-28_15:11 - -------------Início da exportação transações de projeto-------------</t>
  </si>
  <si>
    <t>2015-05-28_15:11 - Arquivo xog sendo gravado em: C:\xog_movimentacao_proj\xog_20150528_1511.xml</t>
  </si>
  <si>
    <t>2015-05-28_15:11 - Ambiente selecionado: PROD</t>
  </si>
  <si>
    <t>2015-05-28_15:11 -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</si>
  <si>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2015-05-28_15:11 - Enviando requisição de login</t>
  </si>
  <si>
    <t>2015-05-28_15:15 - -------------Início da exportação transações de projeto-------------</t>
  </si>
  <si>
    <t>2015-05-28_15:15 - Arquivo xog sendo gravado em: C:\xog_movimentacao_proj\xog_20150528_1515.xml</t>
  </si>
  <si>
    <t>2015-05-28_15:15 - Ambiente selecionado: PROD</t>
  </si>
  <si>
    <t>2015-05-28_15:15 -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</si>
  <si>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2015-05-28_15:15 - Enviando requisição de login</t>
  </si>
  <si>
    <t>2015-05-28_15:15 - Login realizado. SessionID capturado: 6055340__2DEB8CAB-70A1-4DD4-9CCB-7C791C518698</t>
  </si>
  <si>
    <t>2015-05-28_15:15 - Chamando mensagem de requisição</t>
  </si>
  <si>
    <t>2015-05-28_15:23 - Capturando resultado final</t>
  </si>
  <si>
    <t>2015-05-28_15:23 - Efetuando logout</t>
  </si>
  <si>
    <t>2015-05-28_15:23 - Logout realizado</t>
  </si>
  <si>
    <t>2015-05-28_15:23 - -------------Fim da exportação transações de projeto-------------</t>
  </si>
  <si>
    <t>2015-05-28_15:42 - -------------Início da exportação transações de projeto-------------</t>
  </si>
  <si>
    <t>2015-05-28_15:42 - Arquivo xog sendo gravado em: C:\xog_movimentacao_proj\xog_20150528_1542.xml</t>
  </si>
  <si>
    <t>2015-05-28_15:42 - Ambiente selecionado: PROD</t>
  </si>
  <si>
    <t>2015-05-28_15:42 -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</si>
  <si>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2015-05-28_15:42 - Enviando requisição de login</t>
  </si>
  <si>
    <t>2015-05-28_15:42 - Login realizado. SessionID capturado: 6051885__FC21753B-3181-4681-B859-D08867A46C82</t>
  </si>
  <si>
    <t>2015-05-28_15:42 - Chamando mensagem de requisição</t>
  </si>
  <si>
    <t>2015-05-28_16:37 - -------------Início da exportação transações de projeto-------------</t>
  </si>
  <si>
    <t>2015-05-28_16:37 - Arquivo xog sendo gravado em: C:\xog_movimentacao_proj\xog_20150528_1637.xml</t>
  </si>
  <si>
    <t>2015-05-28_16:37 - Ambiente selecionado: PROD</t>
  </si>
  <si>
    <t>2015-05-28_16:37 -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</si>
  <si>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2015-05-28_16:37 - Enviando requisição de login</t>
  </si>
  <si>
    <t>2015-05-28_16:37 - Login realizado. SessionID capturado: 6051918__686551F2-AAA2-4B5B-AFF9-D6E0418E5C92</t>
  </si>
  <si>
    <t>2015-05-28_16:37 - Chamando mensagem de requisição</t>
  </si>
  <si>
    <t>2015-05-28_17:01 - -------------Início da exportação transações de projeto-------------</t>
  </si>
  <si>
    <t>2015-05-28_17:01 - Arquivo xog sendo gravado em: C:\xog_movimentacao_proj\xog_20150528_1701.xml</t>
  </si>
  <si>
    <t>2015-05-28_17:02 - Ambiente selecionado: PROD</t>
  </si>
  <si>
    <t>2015-05-28_17:02 -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</si>
  <si>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2015-05-28_17:02 - Enviando requisição de login</t>
  </si>
  <si>
    <t>2015-05-28_17:03 - -------------Início da exportação transações de projeto-------------</t>
  </si>
  <si>
    <t>2015-05-28_17:03 - Arquivo xog sendo gravado em: C:\xog_movimentacao_proj\xog_20150528_1703.xml</t>
  </si>
  <si>
    <t>2015-05-28_17:03 - Proxy identificado</t>
  </si>
  <si>
    <t>2015-05-28_17:03 - Ambiente selecionado: PROD</t>
  </si>
  <si>
    <t>2015-05-28_17:03 -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</si>
  <si>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2015-05-28_17:03 - Enviando requisição de login</t>
  </si>
  <si>
    <t>2015-05-28_17:03 - Login realizado. SessionID capturado: 6055409__B7FD3345-A19A-4D95-AFCF-216A99D13EF7</t>
  </si>
  <si>
    <t>2015-05-28_17:03 - Chamando mensagem de requisição</t>
  </si>
  <si>
    <t>2015-05-28_17:03 - Capturando resultado final</t>
  </si>
  <si>
    <t>2015-05-28_17:03 - Efetuando logout</t>
  </si>
  <si>
    <t>2015-05-28_17:03 - Logout realizado</t>
  </si>
  <si>
    <t>2015-05-28_17:03 - -------------Fim da exportação transações de projeto-------------</t>
  </si>
  <si>
    <t>2015-05-28_17:21 - -------------Início da exportação transações de projeto-------------</t>
  </si>
  <si>
    <t>2015-05-28_17:21 - Arquivo xog sendo gravado em: C:\xog_movimentacao_proj\xog_20150528_1721.xml</t>
  </si>
  <si>
    <t>2015-05-28_17:21 - Proxy identificado</t>
  </si>
  <si>
    <t>2015-05-28_17:21 - Ambiente selecionado: PROD</t>
  </si>
  <si>
    <t>2015-05-28_17:21 -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</si>
  <si>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2015-05-28_17:21 - Enviando requisição de login</t>
  </si>
  <si>
    <t>2015-05-28_17:21 - Login realizado. SessionID capturado: 6051944__36FB74CD-B686-4242-872F-A85251B4EB1F</t>
  </si>
  <si>
    <t>2015-05-28_17:21 - Chamando mensagem de requisição</t>
  </si>
  <si>
    <t>2015-05-28_17:21 - Capturando resultado final</t>
  </si>
  <si>
    <t>2015-05-28_17:21 - Efetuando logout</t>
  </si>
  <si>
    <t>2015-05-28_17:21 - Logout realizado</t>
  </si>
  <si>
    <t>2015-05-28_17:21 - -------------Fim da exportação transações de projeto-------------</t>
  </si>
  <si>
    <t>2015-06-16_11:10 - -------------Início da exportação transações de projeto-------------</t>
  </si>
  <si>
    <t>2015-06-16_11:10 - Arquivo xog sendo gravado em: C:\xog_movimentacao_proj\xog_20150616_1110.xml</t>
  </si>
  <si>
    <t>2015-06-16_11:11 - -------------Início da exportação transações de projeto-------------</t>
  </si>
  <si>
    <t>2015-06-16_11:11 - Arquivo xog sendo gravado em: C:\xog_movimentacao_proj\xog_20150616_1111.xml</t>
  </si>
  <si>
    <t>2015-06-16_11:11 - Ambiente selecionado: PROD</t>
  </si>
  <si>
    <t>2015-06-16_11:11 - Escrevendo tarefas...</t>
  </si>
  <si>
    <t>2015-06-16_11:14 - Escrevendo charge code...</t>
  </si>
  <si>
    <t>2015-06-16_11:14 - Escrevendo centro de custo...</t>
  </si>
  <si>
    <t>2015-06-16_11:14 - Escrevendo negócio...</t>
  </si>
  <si>
    <t>2015-06-16_11:14 - Escrevendo usuários...</t>
  </si>
  <si>
    <t>2015-06-16_11:14 - Escrevendo unidades...</t>
  </si>
  <si>
    <t>2015-06-16_11:14 - Escrevendo períodos...</t>
  </si>
  <si>
    <t>2015-06-16_11:14 - Escrevendo negócios detalhados...</t>
  </si>
  <si>
    <t>2015-06-16_11:14 - Ambiente selecionado: PROD</t>
  </si>
  <si>
    <t>2015-06-16_11:14 - Escrevendo tarefas...</t>
  </si>
  <si>
    <t>2015-06-16_11:18 - Escrevendo negócio...</t>
  </si>
  <si>
    <t>2015-06-16_11:18 - Escrevendo usuários...</t>
  </si>
  <si>
    <t>2015-06-16_11:18 - Escrevendo unidades...</t>
  </si>
  <si>
    <t>2015-06-16_11:18 - Escrevendo períodos...</t>
  </si>
  <si>
    <t>2015-06-16_11:18 - Escrevendo negócios detalhados...</t>
  </si>
  <si>
    <t>2015-06-16_11:18 - Ambiente selecionado: PROD</t>
  </si>
  <si>
    <t>2015-06-16_11:18 - Escrevendo tarefas...</t>
  </si>
  <si>
    <t>2015-06-16_11:18 - Escrevendo charge code...</t>
  </si>
  <si>
    <t>2015-06-16_11:18 - Escrevendo centro de custo...</t>
  </si>
  <si>
    <t>2015-06-16_11:22 - -------------Início da exportação transações de projeto-------------</t>
  </si>
  <si>
    <t>2015-06-16_11:22 - Arquivo xog sendo gravado em: C:\xog_movimentacao_proj\xog_20150616_1122.xml</t>
  </si>
  <si>
    <t>2015-06-16_11:22 - Ambiente selecionado: PROD</t>
  </si>
  <si>
    <t>2015-06-16_11:22 -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</si>
  <si>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2015-06-16_11:22 - Enviando requisição de login</t>
  </si>
  <si>
    <t>2015-06-16_11:22 - Login realizado. SessionID capturado: 6179350__DAA18982-B966-49C9-B1B7-BEFFD3A3417D</t>
  </si>
  <si>
    <t>2015-06-16_11:22 - Chamando mensagem de requisição</t>
  </si>
  <si>
    <t>2015-06-16_11:22 - Capturando resultado final</t>
  </si>
  <si>
    <t>2015-06-16_11:22 - Efetuando logout</t>
  </si>
  <si>
    <t>2015-06-16_11:22 - Logout realizado</t>
  </si>
  <si>
    <t>2015-06-16_11:22 - -------------Fim da exportação transações de projeto-------------</t>
  </si>
  <si>
    <t>2015-06-16_11:27 - -------------Início da exportação transações de projeto-------------</t>
  </si>
  <si>
    <t>2015-06-16_11:27 - Arquivo xog sendo gravado em: C:\xog_movimentacao_proj\xog_20150616_1127.xml</t>
  </si>
  <si>
    <t>2015-06-16_11:27 - Ambiente selecionado: PROD</t>
  </si>
  <si>
    <t>2015-06-16_11:27 -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</si>
  <si>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2015-06-16_11:27 - Enviando requisição de login</t>
  </si>
  <si>
    <t>2015-06-16_11:27 - Login realizado. SessionID capturado: 6179354__F01CA76F-0146-459F-A3E5-8A4FC0F39080</t>
  </si>
  <si>
    <t>2015-06-16_11:27 - Chamando mensagem de requisição</t>
  </si>
  <si>
    <t>2015-06-16_11:27 - Capturando resultado final</t>
  </si>
  <si>
    <t>2015-06-16_11:27 - Efetuando logout</t>
  </si>
  <si>
    <t>2015-06-16_11:27 - Logout realizado</t>
  </si>
  <si>
    <t>2015-06-16_11:27 - -------------Fim da exportação transações de projeto-------------</t>
  </si>
  <si>
    <t>2015-06-16_11:31 - -------------Início da exportação transações de projeto-------------</t>
  </si>
  <si>
    <t>2015-06-16_11:31 - Arquivo xog sendo gravado em: C:\xog_movimentacao_proj\xog_20150616_1131.xml</t>
  </si>
  <si>
    <t>2015-06-16_11:31 - Ambiente selecionado: PROD</t>
  </si>
  <si>
    <t>2015-06-16_11:31 -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</si>
  <si>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2015-06-16_11:31 - Enviando requisição de login</t>
  </si>
  <si>
    <t>2015-06-16_11:31 - Login realizado. SessionID capturado: 6179358__FDC53627-3E65-47BD-9748-51E507A77372</t>
  </si>
  <si>
    <t>2015-06-16_11:31 - Chamando mensagem de requisição</t>
  </si>
  <si>
    <t>2015-06-16_11:31 - Capturando resultado final</t>
  </si>
  <si>
    <t>2015-06-16_11:31 - Efetuando logout</t>
  </si>
  <si>
    <t>2015-06-16_11:31 - Logout realizado</t>
  </si>
  <si>
    <t>2015-06-16_11:31 - -------------Fim da exportação transações de projeto-------------</t>
  </si>
  <si>
    <t>2015-06-16_11:32 - -------------Início da exportação transações de projeto-------------</t>
  </si>
  <si>
    <t>2015-06-16_11:32 - Arquivo xog sendo gravado em: C:\xog_movimentacao_proj\xog_20150616_1132.xml</t>
  </si>
  <si>
    <t>2015-06-16_11:32 - Ambiente selecionado: PROD</t>
  </si>
  <si>
    <t>2015-06-16_11:32 -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</si>
  <si>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2015-06-16_11:32 - Enviando requisição de login</t>
  </si>
  <si>
    <t>2015-06-16_11:32 - Login realizado. SessionID capturado: 6179359__AD74538D-04B1-4F38-8A33-B39E75A496D7</t>
  </si>
  <si>
    <t>2015-06-16_11:32 - Chamando mensagem de requisição</t>
  </si>
  <si>
    <t>2015-06-16_11:32 - Capturando resultado final</t>
  </si>
  <si>
    <t>2015-06-16_11:32 - Efetuando logout</t>
  </si>
  <si>
    <t>2015-06-16_11:32 - Logout realizado</t>
  </si>
  <si>
    <t>2015-06-16_11:32 - -------------Fim da exportação transações de projeto-------------</t>
  </si>
  <si>
    <t>2015-06-16_13:23 - -------------Início do plano de custo de ativos-------------</t>
  </si>
  <si>
    <t>2015-06-16_13:23 - Arquivo xog sendo gravado em: C:\xog_plan_cost\xog_20150616_1323.xml</t>
  </si>
  <si>
    <t>2015-06-16_13:23 - Ambiente selecionado: PROD</t>
  </si>
  <si>
    <t>2015-06-16_13:23 -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</si>
  <si>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2015-06-16_13:23 - Enviando requisição de login</t>
  </si>
  <si>
    <t>2015-06-16_13:23 - Login realizado. SessionID capturado: 6176696__557373C3-806F-435F-A596-C4CA106BE9E5</t>
  </si>
  <si>
    <t>2015-06-16_13:23 - Chamando mensagem de requisição</t>
  </si>
  <si>
    <t>2015-06-16_13:23 - Capturando resultado final</t>
  </si>
  <si>
    <t>2015-06-16_13:23 - Efetuando logout</t>
  </si>
  <si>
    <t>2015-06-16_13:23 - Logout realizado</t>
  </si>
  <si>
    <t>2015-06-16_13:23 - -------------Fim da exportação plano de custo de ativos-------------</t>
  </si>
  <si>
    <t>2015-06-16_13:23 - Login realizado. SessionID capturado: 6176697__CFD65220-558C-4FB4-A261-FF352253D035</t>
  </si>
  <si>
    <t>2015-06-17_17:46 - Ambiente selecionado: PROD</t>
  </si>
  <si>
    <t>2015-06-17_17:46 - Escrevendo tarefas...</t>
  </si>
  <si>
    <t>2015-06-17_17:47 - Ambiente selecionado: PROD</t>
  </si>
  <si>
    <t>2015-06-17_17:47 - Escrevendo tarefas...</t>
  </si>
  <si>
    <t>2015-06-17_17:54 - Ambiente selecionado: PROD</t>
  </si>
  <si>
    <t>2015-06-17_17:54 - Escrevendo tarefas...</t>
  </si>
  <si>
    <t>2015-06-17_18:00 - Escrevendo charge code...</t>
  </si>
  <si>
    <t>2015-06-17_18:00 - Escrevendo centro de custo...</t>
  </si>
  <si>
    <t>2015-06-17_18:00 - Escrevendo negócio...</t>
  </si>
  <si>
    <t>2015-06-17_18:00 - Escrevendo usuários...</t>
  </si>
  <si>
    <t>2015-06-17_18:00 - Escrevendo unidades...</t>
  </si>
  <si>
    <t>2015-06-17_18:00 - Escrevendo períodos...</t>
  </si>
  <si>
    <t>2015-06-17_18:00 - Escrevendo negócios detalhados...</t>
  </si>
  <si>
    <t>2015-06-17_18:00 - Ambiente selecionado: PROD</t>
  </si>
  <si>
    <t>2015-06-17_18:00 - Escrevendo tarefas...</t>
  </si>
  <si>
    <t>2015-06-19_08:10 - Ambiente selecionado: PROD</t>
  </si>
  <si>
    <t>2015-06-19_08:10 - Escrevendo tarefas...</t>
  </si>
  <si>
    <t>2015-06-19_08:11 - Ambiente selecionado: PROD</t>
  </si>
  <si>
    <t>2015-06-19_08:11 - Escrevendo tarefas...</t>
  </si>
  <si>
    <t>2015-06-19_08:15 - Ambiente selecionado: PROD</t>
  </si>
  <si>
    <t>2015-06-19_08:16 - Ambiente selecionado: PROD</t>
  </si>
  <si>
    <t>2015-06-19_08:16 - Escrevendo tarefas...</t>
  </si>
  <si>
    <t>2015-07-23_16:54 - Ambiente selecionado: PROD</t>
  </si>
  <si>
    <t>2015-07-23_16:55 - Ambiente selecionado: PROD</t>
  </si>
  <si>
    <t>2015-07-23_16:55 - Escrevendo tarefas...</t>
  </si>
  <si>
    <t>2015-07-23_16:57 - Escrevendo charge code...</t>
  </si>
  <si>
    <t>2015-07-23_16:57 - Escrevendo centro de custo...</t>
  </si>
  <si>
    <t>2015-07-23_16:57 - Escrevendo divisão...</t>
  </si>
  <si>
    <t>2015-07-23_16:57 - Escrevendo usuários...</t>
  </si>
  <si>
    <t>2015-07-23_16:57 - Escrevendo unidades...</t>
  </si>
  <si>
    <t>2015-07-23_16:57 - Escrevendo períodos...</t>
  </si>
  <si>
    <t>2015-07-23_16:57 - Escrevendo negócios detalhados...</t>
  </si>
  <si>
    <t>2015-07-23_16:57 - Ambiente selecionado: PROD</t>
  </si>
  <si>
    <t>2015-07-23_16:57 - Escrevendo tarefas...</t>
  </si>
  <si>
    <t>2015-07-23_16:58 - Escrevendo centro de custo...</t>
  </si>
  <si>
    <t>2015-07-23_16:58 - Escrevendo divisão...</t>
  </si>
  <si>
    <t>2015-07-23_16:58 - Escrevendo usuários...</t>
  </si>
  <si>
    <t>2015-07-23_16:58 - Escrevendo unidades...</t>
  </si>
  <si>
    <t>2015-07-23_16:58 - Escrevendo períodos...</t>
  </si>
  <si>
    <t>2015-07-23_16:58 - Escrevendo negócios detalhados...</t>
  </si>
  <si>
    <t>2015-07-23_16:58 - Ambiente selecionado: PROD</t>
  </si>
  <si>
    <t>2015-07-23_16:58 - Escrevendo tarefas...</t>
  </si>
  <si>
    <t>2015-07-23_17:08 - Escrevendo charge code...</t>
  </si>
  <si>
    <t>2015-07-23_17:08 - Escrevendo centro de custo...</t>
  </si>
  <si>
    <t>2015-07-23_17:12 - Escrevendo divisão...</t>
  </si>
  <si>
    <t>2015-07-23_17:12 - Escrevendo usuários...</t>
  </si>
  <si>
    <t>2015-07-23_17:12 - Escrevendo unidades...</t>
  </si>
  <si>
    <t>2015-07-23_17:12 - Escrevendo períodos...</t>
  </si>
  <si>
    <t>2015-07-23_17:12 - Escrevendo negócios detalhados...</t>
  </si>
  <si>
    <t>2015-07-23_17:12 - Ambiente selecionado: PROD</t>
  </si>
  <si>
    <t>2015-07-23_17:12 - Escrevendo tarefas...</t>
  </si>
  <si>
    <t>2015-07-23_17:12 - Escrevendo charge code...</t>
  </si>
  <si>
    <t>2015-07-23_17:12 - Escrevendo centro de custo...</t>
  </si>
  <si>
    <t>2015-07-23_17:14 - Escrevendo charge code...</t>
  </si>
  <si>
    <t>2015-07-23_17:14 - Escrevendo centro de custo...</t>
  </si>
  <si>
    <t>2015-07-23_17:14 - Escrevendo divisão...</t>
  </si>
  <si>
    <t>2015-07-23_17:14 - Escrevendo usuários...</t>
  </si>
  <si>
    <t>2015-07-23_17:14 - Escrevendo unidades...</t>
  </si>
  <si>
    <t>2015-07-23_17:14 - Escrevendo períodos...</t>
  </si>
  <si>
    <t>2015-07-23_17:14 - Escrevendo negócios detalhados...</t>
  </si>
  <si>
    <t>2015-07-23_17:14 - Ambiente selecionado: PROD</t>
  </si>
  <si>
    <t>2015-07-23_17:14 - Escrevendo tarefas...</t>
  </si>
  <si>
    <t>2015-07-23_17:15 - Escrevendo charge code...</t>
  </si>
  <si>
    <t>2015-07-23_17:15 - Escrevendo centro de custo...</t>
  </si>
  <si>
    <t>2015-07-23_17:15 - Escrevendo divisão...</t>
  </si>
  <si>
    <t>2015-07-23_17:15 - Escrevendo usuários...</t>
  </si>
  <si>
    <t>2015-07-23_17:15 - Escrevendo unidades...</t>
  </si>
  <si>
    <t>2015-07-23_17:15 - Escrevendo períodos...</t>
  </si>
  <si>
    <t>2015-07-23_17:15 - Escrevendo negócios detalhados...</t>
  </si>
  <si>
    <t>2015-07-23_17:15 - Ambiente selecionado: PROD</t>
  </si>
  <si>
    <t>2015-07-23_17:15 - Escrevendo tarefas...</t>
  </si>
  <si>
    <t>2015-07-23_17:16 - Escrevendo charge code...</t>
  </si>
  <si>
    <t>2015-07-23_17:16 - Escrevendo centro de custo...</t>
  </si>
  <si>
    <t>2015-07-23_17:16 - Escrevendo divisão...</t>
  </si>
  <si>
    <t>2015-07-23_17:16 - Escrevendo usuários...</t>
  </si>
  <si>
    <t>2015-07-23_17:16 - Escrevendo unidades...</t>
  </si>
  <si>
    <t>2015-07-23_17:16 - Escrevendo períodos...</t>
  </si>
  <si>
    <t>2015-07-23_17:16 - Escrevendo negócios detalhados...</t>
  </si>
  <si>
    <t>2015-07-23_17:16 - Ambiente selecionado: PROD</t>
  </si>
  <si>
    <t>2015-07-23_17:16 - Escrevendo tarefas...</t>
  </si>
  <si>
    <t>2015-07-23_17:17 - Escrevendo charge code...</t>
  </si>
  <si>
    <t>2015-07-23_17:17 - Escrevendo centro de custo...</t>
  </si>
  <si>
    <t>2015-07-23_17:17 - Escrevendo divisão...</t>
  </si>
  <si>
    <t>2015-07-23_17:17 - Escrevendo usuários...</t>
  </si>
  <si>
    <t>2015-07-23_17:17 - Escrevendo unidades...</t>
  </si>
  <si>
    <t>2015-07-23_17:17 - Escrevendo períodos...</t>
  </si>
  <si>
    <t>2015-07-23_17:17 - Escrevendo negócios detalhados...</t>
  </si>
  <si>
    <t>2015-07-23_17:17 - Ambiente selecionado: PROD</t>
  </si>
  <si>
    <t>2015-07-23_17:17 - Escrevendo tarefas...</t>
  </si>
  <si>
    <t>2015-07-23_17:18 - Escrevendo charge code...</t>
  </si>
  <si>
    <t>2015-07-23_17:18 - Escrevendo centro de custo...</t>
  </si>
  <si>
    <t>2015-07-23_17:18 - Escrevendo divisão...</t>
  </si>
  <si>
    <t>2015-07-23_17:18 - Escrevendo usuários...</t>
  </si>
  <si>
    <t>2015-07-23_17:18 - Escrevendo unidades...</t>
  </si>
  <si>
    <t>2015-07-23_17:18 - Escrevendo períodos...</t>
  </si>
  <si>
    <t>2015-07-23_17:18 - Escrevendo negócios detalhados...</t>
  </si>
  <si>
    <t>2015-07-23_17:18 - Ambiente selecionado: PROD</t>
  </si>
  <si>
    <t>2015-07-23_17:18 - Escrevendo tarefas...</t>
  </si>
  <si>
    <t>2015-07-23_17:39 - Ambiente selecionado: PROD</t>
  </si>
  <si>
    <t>2015-07-23_17:39 - Escrevendo tarefas...</t>
  </si>
  <si>
    <t>2015-07-23_17:41 - Escrevendo charge code...</t>
  </si>
  <si>
    <t>2015-07-23_17:41 - Escrevendo centro de custo...</t>
  </si>
  <si>
    <t>2015-07-23_17:41 - Escrevendo divisão...</t>
  </si>
  <si>
    <t>2015-07-23_17:41 - Escrevendo usuários...</t>
  </si>
  <si>
    <t>2015-07-23_17:41 - Escrevendo unidades...</t>
  </si>
  <si>
    <t>2015-07-23_17:41 - Escrevendo períodos...</t>
  </si>
  <si>
    <t>2015-07-23_17:41 - Escrevendo negócios detalhados...</t>
  </si>
  <si>
    <t>2015-07-23_17:41 - Ambiente selecionado: PROD</t>
  </si>
  <si>
    <t>2015-07-23_17:41 - Escrevendo tarefas...</t>
  </si>
  <si>
    <t>2015-07-23_17:42 - Escrevendo charge code...</t>
  </si>
  <si>
    <t>2015-07-23_17:42 - Escrevendo centro de custo...</t>
  </si>
  <si>
    <t>2015-07-23_17:42 - Escrevendo divisão...</t>
  </si>
  <si>
    <t>2015-07-23_17:42 - Escrevendo usuários...</t>
  </si>
  <si>
    <t>2015-07-23_17:42 - Escrevendo unidades...</t>
  </si>
  <si>
    <t>2015-07-23_17:42 - Escrevendo períodos...</t>
  </si>
  <si>
    <t>2015-07-23_17:42 - Escrevendo negócios detalhados...</t>
  </si>
  <si>
    <t>2015-07-23_17:42 - Ambiente selecionado: PROD</t>
  </si>
  <si>
    <t>2015-07-23_17:42 - Escrevendo tarefas...</t>
  </si>
  <si>
    <t>2015-07-23_17:53 - Escrevendo charge code...</t>
  </si>
  <si>
    <t>2015-07-23_17:53 - Escrevendo centro de custo...</t>
  </si>
  <si>
    <t>2015-07-23_17:56 - Escrevendo divisão...</t>
  </si>
  <si>
    <t>2015-07-23_17:56 - Escrevendo usuários...</t>
  </si>
  <si>
    <t>2015-07-23_17:56 - Escrevendo unidades...</t>
  </si>
  <si>
    <t>2015-07-23_17:56 - Escrevendo períodos...</t>
  </si>
  <si>
    <t>2015-07-23_17:56 - Escrevendo negócios detalhados...</t>
  </si>
  <si>
    <t>2015-07-23_17:56 - Ambiente selecionado: PROD</t>
  </si>
  <si>
    <t>2015-07-23_18:23 - -------------Início do plano de custo de ativos-------------</t>
  </si>
  <si>
    <t>2015-07-23_18:23 - Arquivo xog sendo gravado em: C:\xog_plan_cost\xog_20150723_1823.xml</t>
  </si>
  <si>
    <t>2015-07-23_18:23 - Ambiente selecionado: PROD</t>
  </si>
  <si>
    <t>2015-07-23_18:23 -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</si>
  <si>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2015-07-23_18:23 - Enviando requisição de login</t>
  </si>
  <si>
    <t>2015-07-23_18:23 - Login realizado. SessionID capturado: 6500053__D0CA0E20-E0E8-465D-925D-0972BDBE0471</t>
  </si>
  <si>
    <t>2015-07-23_18:23 - Chamando mensagem de requisição</t>
  </si>
  <si>
    <t>2015-07-23_18:23 - Capturando resultado final</t>
  </si>
  <si>
    <t>2015-07-23_18:23 - Efetuando logout</t>
  </si>
  <si>
    <t>2015-07-23_18:23 - Logout realizado</t>
  </si>
  <si>
    <t>2015-07-23_18:23 - -------------Fim da exportação plano de custo de ativos-------------</t>
  </si>
  <si>
    <t>2015-07-23_18:24 - -------------Início do plano de custo de ativos-------------</t>
  </si>
  <si>
    <t>2015-07-23_18:24 - Arquivo xog sendo gravado em: C:\xog_plan_cost\xog_20150723_1824.xml</t>
  </si>
  <si>
    <t>2015-07-23_18:24 - Ambiente selecionado: PROD</t>
  </si>
  <si>
    <t>2015-07-23_18:24 -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</si>
  <si>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2015-07-23_18:24 - Enviando requisição de login</t>
  </si>
  <si>
    <t>2015-07-23_18:24 - Login realizado. SessionID capturado: 6499072__C97D03C2-B83C-41EA-B5DE-84E57CC8EE2C</t>
  </si>
  <si>
    <t>2015-07-23_18:24 - Chamando mensagem de requisição</t>
  </si>
  <si>
    <t>2015-07-23_18:24 - Capturando resultado final</t>
  </si>
  <si>
    <t>2015-07-23_18:24 - Efetuando logout</t>
  </si>
  <si>
    <t>2015-07-23_18:24 - Logout realizado</t>
  </si>
  <si>
    <t>2015-07-23_18:24 - -------------Fim da exportação plano de custo de ativos-------------</t>
  </si>
  <si>
    <t>2015-07-23_18:28 - -------------Início do plano de custo de ativos-------------</t>
  </si>
  <si>
    <t>2015-07-23_18:28 - Arquivo xog sendo gravado em: C:\xog_plan_cost\xog_20150723_1828.xml</t>
  </si>
  <si>
    <t>2015-07-23_18:28 - Ambiente selecionado: PROD</t>
  </si>
  <si>
    <t>2015-07-23_18:28 -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</si>
  <si>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2015-07-23_18:28 - Enviando requisição de login</t>
  </si>
  <si>
    <t>2015-07-23_18:28 - Login realizado. SessionID capturado: 6500056__523972D0-3D94-45FE-A72C-BB839C027CC5</t>
  </si>
  <si>
    <t>2015-07-23_18:28 - Chamando mensagem de requisição</t>
  </si>
  <si>
    <t>2015-07-23_18:28 - Capturando resultado final</t>
  </si>
  <si>
    <t>2015-07-23_18:28 - Efetuando logout</t>
  </si>
  <si>
    <t>2015-07-23_18:28 - Logout realizado</t>
  </si>
  <si>
    <t>2015-07-23_18:28 - -------------Fim da exportação plano de custo de ativos-------------</t>
  </si>
  <si>
    <t>2015-07-23_18:29 - -------------Início do plano de custo de ativos-------------</t>
  </si>
  <si>
    <t>2015-07-23_18:29 - Arquivo xog sendo gravado em: C:\xog_plan_cost\xog_20150723_1829.xml</t>
  </si>
  <si>
    <t>2015-07-23_18:29 - Ambiente selecionado: PROD</t>
  </si>
  <si>
    <t>2015-07-23_18:29 -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</si>
  <si>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2015-07-23_18:29 - Enviando requisição de login</t>
  </si>
  <si>
    <t>2015-07-23_18:29 - Login realizado. SessionID capturado: 6499077__7CB30D67-F708-43E5-A861-AC77231C6661</t>
  </si>
  <si>
    <t>2015-07-23_18:29 - Chamando mensagem de requisição</t>
  </si>
  <si>
    <t>2015-07-23_18:29 - Capturando resultado final</t>
  </si>
  <si>
    <t>2015-07-23_18:29 - Efetuando logout</t>
  </si>
  <si>
    <t>2015-07-23_18:29 - Logout realizado</t>
  </si>
  <si>
    <t>2015-07-23_18:29 - -------------Fim da exportação plano de custo de ativos-------------</t>
  </si>
  <si>
    <t>2015-07-23_18:36 - -------------Início do plano de custo de ativos-------------</t>
  </si>
  <si>
    <t>2015-07-23_18:36 - Arquivo xog sendo gravado em: C:\xog_plan_cost\xog_20150723_1836.xml</t>
  </si>
  <si>
    <t>2015-07-23_18:36 - Ambiente selecionado: PROD</t>
  </si>
  <si>
    <t>2015-07-23_18:36 -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</si>
  <si>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2015-07-23_18:36 - Enviando requisição de login</t>
  </si>
  <si>
    <t>2015-07-23_18:36 - Login realizado. SessionID capturado: 6500060__AD68CFFE-D98B-4C2D-9893-45CB8249FA10</t>
  </si>
  <si>
    <t>2015-07-23_18:36 - Chamando mensagem de requisição</t>
  </si>
  <si>
    <t>2015-07-23_18:36 - Capturando resultado final</t>
  </si>
  <si>
    <t>2015-07-23_18:36 - Efetuando logout</t>
  </si>
  <si>
    <t>2015-07-23_18:36 - Logout realizado</t>
  </si>
  <si>
    <t>2015-07-23_18:36 - -------------Fim da exportação plano de custo de ativos-------------</t>
  </si>
  <si>
    <t>2015-07-23_18:56 - -------------Início do plano de custo de ativos-------------</t>
  </si>
  <si>
    <t>2015-07-23_18:56 - Arquivo xog sendo gravado em: C:\xog_plan_cost\xog_20150723_1856.xml</t>
  </si>
  <si>
    <t>2015-07-23_18:56 - Ambiente selecionado: PROD</t>
  </si>
  <si>
    <t>2015-07-23_18:56 -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</si>
  <si>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2015-07-23_18:56 - Enviando requisição de login</t>
  </si>
  <si>
    <t>2015-07-23_18:56 - Login realizado. SessionID capturado: 6499093__AE778373-1831-44EE-91EA-8ED861DE4A5B</t>
  </si>
  <si>
    <t>2015-07-23_18:56 - Chamando mensagem de requisição</t>
  </si>
  <si>
    <t>2015-07-23_18:56 - Capturando resultado final</t>
  </si>
  <si>
    <t>2015-07-23_18:56 - Efetuando logout</t>
  </si>
  <si>
    <t>2015-07-23_18:56 - Logout realizado</t>
  </si>
  <si>
    <t>2015-07-23_18:56 - -------------Fim da exportação plano de custo de ativos-------------</t>
  </si>
  <si>
    <t>2015-07-23_19:02 - -------------Início do plano de custo de ativos-------------</t>
  </si>
  <si>
    <t>2015-07-23_19:02 - Arquivo xog sendo gravado em: C:\xog_plan_cost\xog_20150723_1902.xml</t>
  </si>
  <si>
    <t>2015-07-23_19:02 - Ambiente selecionado: PROD</t>
  </si>
  <si>
    <t>2015-07-23_19:02 -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</si>
  <si>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2015-07-23_19:02 - Enviando requisição de login</t>
  </si>
  <si>
    <t>2015-07-23_19:02 - Login realizado. SessionID capturado: 6499100__6CB0E06E-2DDD-41BA-817C-EA9F6978A2ED</t>
  </si>
  <si>
    <t>2015-07-23_19:02 - Chamando mensagem de requisição</t>
  </si>
  <si>
    <t>2015-07-23_19:02 - Capturando resultado final</t>
  </si>
  <si>
    <t>2015-07-23_19:02 - Efetuando logout</t>
  </si>
  <si>
    <t>2015-07-23_19:02 - Logout realizado</t>
  </si>
  <si>
    <t>2015-07-23_19:02 - -------------Fim da exportação plano de custo de ativos-------------</t>
  </si>
  <si>
    <t>2015-07-23_19:05 - -------------Início do plano de custo de ativos-------------</t>
  </si>
  <si>
    <t>2015-07-23_19:05 - Arquivo xog sendo gravado em: C:\xog_plan_cost\xog_20150723_1905.xml</t>
  </si>
  <si>
    <t>2015-07-23_19:05 - Ambiente selecionado: PROD</t>
  </si>
  <si>
    <t>2015-07-23_19:05 -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</si>
  <si>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2015-07-23_19:05 - Enviando requisição de login</t>
  </si>
  <si>
    <t>2015-07-23_19:05 - Login realizado. SessionID capturado: 6500084__C8090A29-9481-430E-9706-2730F0E1C3EB</t>
  </si>
  <si>
    <t>2015-07-23_19:05 - Chamando mensagem de requisição</t>
  </si>
  <si>
    <t>2015-07-23_19:05 - Capturando resultado final</t>
  </si>
  <si>
    <t>2015-07-23_19:05 - Efetuando logout</t>
  </si>
  <si>
    <t>2015-07-23_19:05 - Logout realizado</t>
  </si>
  <si>
    <t>2015-07-23_19:05 - -------------Fim da exportação plano de custo de ativos-------------</t>
  </si>
  <si>
    <t>2015-07-23_19:08 - -------------Início da exportação transações de projeto-------------</t>
  </si>
  <si>
    <t>2015-07-23_19:08 - Arquivo xog sendo gravado em: C:\xog_movimentacao_proj\xog_20150723_1908.xml</t>
  </si>
  <si>
    <t>2015-07-23_19:08 - Ambiente selecionado: PROD</t>
  </si>
  <si>
    <t>2015-07-23_19:08 -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</si>
  <si>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2015-07-23_19:08 - Enviando requisição de login</t>
  </si>
  <si>
    <t>2015-07-23_19:08 - Login realizado. SessionID capturado: 6500088__65A0ADDE-D85D-4C90-A52F-CF4E68FB0676</t>
  </si>
  <si>
    <t>2015-07-23_19:08 - Chamando mensagem de requisição</t>
  </si>
  <si>
    <t>2015-07-23_19:08 - Capturando resultado final</t>
  </si>
  <si>
    <t>2015-07-23_19:08 - Efetuando logout</t>
  </si>
  <si>
    <t>2015-07-23_19:08 - Logout realizado</t>
  </si>
  <si>
    <t>2015-07-23_19:08 - -------------Fim da exportação transações de projeto-------------</t>
  </si>
  <si>
    <t>2015-07-23_19:10 - -------------Início da exportação transações de projeto-------------</t>
  </si>
  <si>
    <t>2015-07-23_19:10 - Arquivo xog sendo gravado em: C:\xog_movimentacao_proj\xog_20150723_1910.xml</t>
  </si>
  <si>
    <t>2015-07-23_19:10 - Ambiente selecionado: PROD</t>
  </si>
  <si>
    <t>2015-07-23_19:10 -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</si>
  <si>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2015-07-23_19:10 - Enviando requisição de login</t>
  </si>
  <si>
    <t>2015-07-23_19:10 - Login realizado. SessionID capturado: 6499104__84C13930-E41F-47B0-AD19-DDBE0B98E8B3</t>
  </si>
  <si>
    <t>2015-07-23_19:10 - Chamando mensagem de requisição</t>
  </si>
  <si>
    <t>2015-07-23_19:10 - Capturando resultado final</t>
  </si>
  <si>
    <t>2015-07-23_19:10 - Efetuando logout</t>
  </si>
  <si>
    <t>2015-07-23_19:10 - Logout realizado</t>
  </si>
  <si>
    <t>2015-07-23_19:10 - -------------Fim da exportação transações de projeto-------------</t>
  </si>
  <si>
    <t>2015-07-23_19:11 - -------------Início da exportação transações de projeto-------------</t>
  </si>
  <si>
    <t>2015-07-23_19:11 - Arquivo xog sendo gravado em: C:\xog_movimentacao_proj\xog_20150723_1911.xml</t>
  </si>
  <si>
    <t>2015-07-23_19:11 - Ambiente selecionado: PROD</t>
  </si>
  <si>
    <t>2015-07-23_19:11 -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</si>
  <si>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2015-07-23_19:11 - Enviando requisição de login</t>
  </si>
  <si>
    <t>2015-07-23_19:11 - Login realizado. SessionID capturado: 6499105__4BD704D4-C5F1-46CC-8C1E-76F975EF3BBD</t>
  </si>
  <si>
    <t>2015-07-23_19:11 - Chamando mensagem de requisição</t>
  </si>
  <si>
    <t>2015-07-23_19:11 - Capturando resultado final</t>
  </si>
  <si>
    <t>2015-07-23_19:11 - Efetuando logout</t>
  </si>
  <si>
    <t>2015-07-23_19:11 - Logout realizado</t>
  </si>
  <si>
    <t>2015-07-23_19:11 - -------------Fim da exportação transações de projeto-------------</t>
  </si>
  <si>
    <t>2015-07-23_19:13 - -------------Início da exportação transações de projeto-------------</t>
  </si>
  <si>
    <t>2015-07-23_19:13 - Arquivo xog sendo gravado em: C:\xog_movimentacao_proj\xog_20150723_1913.xml</t>
  </si>
  <si>
    <t>2015-07-23_19:13 - Ambiente selecionado: PROD</t>
  </si>
  <si>
    <t>2015-07-23_19:13 -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</si>
  <si>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2015-07-23_19:13 - Enviando requisição de login</t>
  </si>
  <si>
    <t>2015-07-23_19:13 - Login realizado. SessionID capturado: 6500093__CD518A3C-854A-4141-9934-060D0F3AC71B</t>
  </si>
  <si>
    <t>2015-07-23_19:13 - Chamando mensagem de requisição</t>
  </si>
  <si>
    <t>2015-07-23_19:13 - Capturando resultado final</t>
  </si>
  <si>
    <t>2015-07-23_19:13 - Efetuando logout</t>
  </si>
  <si>
    <t>2015-07-23_19:13 - Logout realizado</t>
  </si>
  <si>
    <t>2015-07-23_19:13 - -------------Fim da exportação transações de projeto-------------</t>
  </si>
  <si>
    <t>2015-07-24_10:13 - Ambiente selecionado: PROD</t>
  </si>
  <si>
    <t>2015-07-24_10:13 - Escrevendo tarefas...</t>
  </si>
  <si>
    <t>2015-07-24_10:16 - Escrevendo charge code...</t>
  </si>
  <si>
    <t>2015-07-24_10:16 - Escrevendo centro de custo...</t>
  </si>
  <si>
    <t>2015-07-24_10:16 - Escrevendo divisão...</t>
  </si>
  <si>
    <t>2015-07-24_10:16 - Escrevendo usuários...</t>
  </si>
  <si>
    <t>2015-07-24_10:16 - Escrevendo unidades...</t>
  </si>
  <si>
    <t>2015-07-24_10:16 - Escrevendo períodos...</t>
  </si>
  <si>
    <t>2015-07-24_10:16 - Escrevendo negócios detalhados...</t>
  </si>
  <si>
    <t>2015-07-24_10:16 - Ambiente selecionado: PROD</t>
  </si>
  <si>
    <t>2015-07-24_10:16 - Escrevendo tarefas...</t>
  </si>
  <si>
    <t>2015-07-24_10:26 - Escrevendo charge code...</t>
  </si>
  <si>
    <t>2015-07-24_10:26 - Escrevendo centro de custo...</t>
  </si>
  <si>
    <t>2015-07-24_10:30 - Escrevendo divisão...</t>
  </si>
  <si>
    <t>2015-07-24_10:30 - Escrevendo usuários...</t>
  </si>
  <si>
    <t>2015-07-24_10:30 - Escrevendo unidades...</t>
  </si>
  <si>
    <t>2015-07-24_10:30 - Escrevendo períodos...</t>
  </si>
  <si>
    <t>2015-07-24_10:30 - Escrevendo negócios detalhados...</t>
  </si>
  <si>
    <t>2015-07-24_10:30 - Ambiente selecionado: PROD</t>
  </si>
  <si>
    <t>2015-07-24_10:30 - Escrevendo tarefas...</t>
  </si>
  <si>
    <t>2015-07-24_10:30 - Escrevendo charge code...</t>
  </si>
  <si>
    <t>2015-07-24_10:30 - Escrevendo centro de custo...</t>
  </si>
  <si>
    <t>2015-07-24_10:31 - Escrevendo usuários...</t>
  </si>
  <si>
    <t>2015-07-24_10:31 - Escrevendo unidades...</t>
  </si>
  <si>
    <t>2015-07-24_10:31 - Escrevendo períodos...</t>
  </si>
  <si>
    <t>2015-07-24_10:31 - Escrevendo negócios detalhados...</t>
  </si>
  <si>
    <t>2015-07-24_10:31 - Ambiente selecionado: PROD</t>
  </si>
  <si>
    <t>2015-07-24_10:31 - Escrevendo tarefas...</t>
  </si>
  <si>
    <t>2015-07-24_10:32 - Escrevendo charge code...</t>
  </si>
  <si>
    <t>2015-07-24_10:32 - Escrevendo centro de custo...</t>
  </si>
  <si>
    <t>2015-07-24_10:32 - Escrevendo divisão...</t>
  </si>
  <si>
    <t>2015-07-24_10:32 - Escrevendo usuários...</t>
  </si>
  <si>
    <t>2015-07-24_10:32 - Escrevendo unidades...</t>
  </si>
  <si>
    <t>2015-07-24_10:32 - Escrevendo períodos...</t>
  </si>
  <si>
    <t>2015-07-24_10:32 - Escrevendo negócios detalhados...</t>
  </si>
  <si>
    <t>2015-07-24_10:32 - Ambiente selecionado: PROD</t>
  </si>
  <si>
    <t>2015-07-24_10:32 - Escrevendo tarefas...</t>
  </si>
  <si>
    <t>2015-07-24_10:33 - Escrevendo charge code...</t>
  </si>
  <si>
    <t>2015-07-24_10:33 - Escrevendo centro de custo...</t>
  </si>
  <si>
    <t>2015-07-24_10:33 - Escrevendo divisão...</t>
  </si>
  <si>
    <t>2015-07-24_10:33 - Escrevendo usuários...</t>
  </si>
  <si>
    <t>2015-07-24_10:33 - Escrevendo unidades...</t>
  </si>
  <si>
    <t>2015-07-24_10:33 - Escrevendo períodos...</t>
  </si>
  <si>
    <t>2015-07-24_10:33 - Escrevendo negócios detalhados...</t>
  </si>
  <si>
    <t>2015-07-24_10:33 - Ambiente selecionado: PROD</t>
  </si>
  <si>
    <t>2015-07-24_10:33 - Escrevendo tarefas...</t>
  </si>
  <si>
    <t>2015-07-24_10:34 - Escrevendo charge code...</t>
  </si>
  <si>
    <t>2015-07-24_10:34 - Escrevendo centro de custo...</t>
  </si>
  <si>
    <t>2015-07-24_10:34 - Escrevendo divisão...</t>
  </si>
  <si>
    <t>2015-07-24_10:34 - Escrevendo usuários...</t>
  </si>
  <si>
    <t>2015-07-24_10:34 - Escrevendo unidades...</t>
  </si>
  <si>
    <t>2015-07-24_10:34 - Escrevendo períodos...</t>
  </si>
  <si>
    <t>2015-07-24_10:34 - Escrevendo negócios detalhados...</t>
  </si>
  <si>
    <t>2015-07-24_10:34 - Ambiente selecionado: PROD</t>
  </si>
  <si>
    <t>2015-07-24_10:34 - Escrevendo tarefas...</t>
  </si>
  <si>
    <t>2015-07-24_10:41 - Ambiente selecionado: PROD</t>
  </si>
  <si>
    <t>2015-07-24_10:43 - Ambiente selecionado: PROD</t>
  </si>
  <si>
    <t>2015-07-24_10:44 - Escrevendo tarefas...</t>
  </si>
  <si>
    <t>2015-07-24_10:52 - Escrevendo charge code...</t>
  </si>
  <si>
    <t>2015-07-24_10:53 - Escrevendo centro de custo...</t>
  </si>
  <si>
    <t>2015-07-24_10:53 - Escrevendo divisão...</t>
  </si>
  <si>
    <t>2015-07-24_10:53 - Escrevendo usuários...</t>
  </si>
  <si>
    <t>2015-07-24_10:54 - Escrevendo unidades...</t>
  </si>
  <si>
    <t>2015-07-24_10:54 - Escrevendo períodos...</t>
  </si>
  <si>
    <t>2015-07-24_10:54 - Escrevendo negócios detalhados...</t>
  </si>
  <si>
    <t>2015-07-24_10:54 - Ambiente selecionado: PROD</t>
  </si>
  <si>
    <t>2015-07-24_10:55 - Ambiente selecionado: PROD</t>
  </si>
  <si>
    <t>2015-07-24_10:55 - Escrevendo tarefas...</t>
  </si>
  <si>
    <t>2015-07-24_17:12 - Ambiente selecionado: PROD</t>
  </si>
  <si>
    <t>2015-07-24_17:12 - Escrevendo tarefas...</t>
  </si>
  <si>
    <t>2015-07-24_17:16 - Escrevendo charge code...</t>
  </si>
  <si>
    <t>2015-07-24_17:16 - Escrevendo centro de custo...</t>
  </si>
  <si>
    <t>2015-07-24_17:16 - Escrevendo divisão...</t>
  </si>
  <si>
    <t>2015-07-24_17:16 - Escrevendo usuários...</t>
  </si>
  <si>
    <t>2015-07-24_17:16 - Escrevendo unidades...</t>
  </si>
  <si>
    <t>2015-07-24_17:16 - Escrevendo períodos...</t>
  </si>
  <si>
    <t>2015-07-24_17:16 - Escrevendo negócios detalhados...</t>
  </si>
  <si>
    <t>2015-07-24_17:16 - Ambiente selecionado: PROD</t>
  </si>
  <si>
    <t>2015-07-24_17:16 - Escrevendo tarefas...</t>
  </si>
  <si>
    <t>2015-07-24_17:17 - Escrevendo centro de custo...</t>
  </si>
  <si>
    <t>2015-07-24_17:17 - Escrevendo divisão...</t>
  </si>
  <si>
    <t>2015-07-24_17:17 - Escrevendo usuários...</t>
  </si>
  <si>
    <t>2015-07-24_17:17 - Escrevendo unidades...</t>
  </si>
  <si>
    <t>2015-07-24_17:17 - Escrevendo períodos...</t>
  </si>
  <si>
    <t>2015-07-24_17:17 - Escrevendo negócios detalhados...</t>
  </si>
  <si>
    <t>2015-07-24_17:17 - Ambiente selecionado: PROD</t>
  </si>
  <si>
    <t>2015-07-24_17:17 - Escrevendo tarefas...</t>
  </si>
  <si>
    <t>2015-07-24_17:17 - Escrevendo charge code...</t>
  </si>
  <si>
    <t>2015-07-24_17:21 - Escrevendo divisão...</t>
  </si>
  <si>
    <t>2015-07-24_17:21 - Escrevendo usuários...</t>
  </si>
  <si>
    <t>2015-07-24_17:21 - Escrevendo unidades...</t>
  </si>
  <si>
    <t>2015-07-24_17:21 - Escrevendo períodos...</t>
  </si>
  <si>
    <t>2015-07-24_17:21 - Escrevendo negócios detalhados...</t>
  </si>
  <si>
    <t>2015-07-24_17:21 - Ambiente selecionado: PROD</t>
  </si>
  <si>
    <t>2015-07-24_17:21 - Escrevendo tarefas...</t>
  </si>
  <si>
    <t>2015-07-24_17:21 - Escrevendo charge code...</t>
  </si>
  <si>
    <t>2015-07-24_17:21 - Escrevendo centro de custo...</t>
  </si>
  <si>
    <t>2015-07-24_17:22 - Escrevendo usuários...</t>
  </si>
  <si>
    <t>2015-07-24_17:22 - Escrevendo unidades...</t>
  </si>
  <si>
    <t>2015-07-24_17:22 - Escrevendo períodos...</t>
  </si>
  <si>
    <t>2015-07-24_17:22 - Escrevendo negócios detalhados...</t>
  </si>
  <si>
    <t>2015-07-24_17:22 - Ambiente selecionado: PROD</t>
  </si>
  <si>
    <t>2015-07-24_17:22 - Escrevendo tarefas...</t>
  </si>
  <si>
    <t>2015-07-24_17:22 - Escrevendo charge code...</t>
  </si>
  <si>
    <t>2015-07-24_17:22 - Escrevendo centro de custo...</t>
  </si>
  <si>
    <t>2015-07-24_17:22 - Escrevendo divisão...</t>
  </si>
  <si>
    <t>2015-07-24_17:23 - Ambiente selecionado: PROD</t>
  </si>
  <si>
    <t>2015-07-24_17:23 - Escrevendo tarefas...</t>
  </si>
  <si>
    <t>2015-07-24_17:23 - Escrevendo charge code...</t>
  </si>
  <si>
    <t>2015-07-24_17:23 - Escrevendo centro de custo...</t>
  </si>
  <si>
    <t>2015-07-24_17:23 - Escrevendo divisão...</t>
  </si>
  <si>
    <t>2015-07-24_17:23 - Escrevendo usuários...</t>
  </si>
  <si>
    <t>2015-07-24_17:23 - Escrevendo unidades...</t>
  </si>
  <si>
    <t>2015-07-24_17:23 - Escrevendo períodos...</t>
  </si>
  <si>
    <t>2015-07-24_17:23 - Escrevendo negócios detalhados...</t>
  </si>
  <si>
    <t>2015-07-24_17:24 - Escrevendo negócios detalhados...</t>
  </si>
  <si>
    <t>2015-07-24_17:24 - Ambiente selecionado: PROD</t>
  </si>
  <si>
    <t>2015-07-24_17:24 - Escrevendo tarefas...</t>
  </si>
  <si>
    <t>2015-07-24_17:24 - Escrevendo charge code...</t>
  </si>
  <si>
    <t>2015-07-24_17:24 - Escrevendo centro de custo...</t>
  </si>
  <si>
    <t>2015-07-24_17:24 - Escrevendo divisão...</t>
  </si>
  <si>
    <t>2015-07-24_17:24 - Escrevendo usuários...</t>
  </si>
  <si>
    <t>2015-07-24_17:24 - Escrevendo unidades...</t>
  </si>
  <si>
    <t>2015-07-24_17:24 - Escrevendo períodos...</t>
  </si>
  <si>
    <t>2015-07-24_17:55 - -------------Início do plano de custo de ativos-------------</t>
  </si>
  <si>
    <t>2015-07-24_17:55 - Arquivo xog sendo gravado em: C:\xog_plan_cost\xog_20150724_1755.xml</t>
  </si>
  <si>
    <t>2015-07-24_17:55 - Ambiente selecionado: PROD</t>
  </si>
  <si>
    <t>2015-07-24_17:55 -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</si>
  <si>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2015-07-24_17:55 - Enviando requisição de login</t>
  </si>
  <si>
    <t>2015-07-24_17:55 - Login realizado. SessionID capturado: 6500978__4CB7CC18-A517-403C-B597-2AD6BDDE9176</t>
  </si>
  <si>
    <t>2015-07-24_17:55 - Chamando mensagem de requisição</t>
  </si>
  <si>
    <t>2015-07-24_17:55 - Capturando resultado final</t>
  </si>
  <si>
    <t>2015-07-24_17:55 - Efetuando logout</t>
  </si>
  <si>
    <t>2015-07-24_17:55 - Logout realizado</t>
  </si>
  <si>
    <t>2015-07-24_17:55 - -------------Fim da exportação plano de custo de ativos-------------</t>
  </si>
  <si>
    <t>2015-07-24_17:59 - -------------Início do plano de custo de ativos-------------</t>
  </si>
  <si>
    <t>2015-07-24_17:59 - Arquivo xog sendo gravado em: C:\xog_plan_cost\xog_20150724_1759.xml</t>
  </si>
  <si>
    <t>2015-07-24_17:59 - Ambiente selecionado: PROD</t>
  </si>
  <si>
    <t>2015-07-24_17:59 -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</si>
  <si>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2015-07-24_17:59 - Enviando requisição de login</t>
  </si>
  <si>
    <t>2015-07-24_17:59 - Login realizado. SessionID capturado: 6500981__00F718F8-456A-4FB1-94EF-97C3A96AC330</t>
  </si>
  <si>
    <t>2015-07-24_17:59 - Chamando mensagem de requisição</t>
  </si>
  <si>
    <t>2015-07-24_17:59 - Capturando resultado final</t>
  </si>
  <si>
    <t>2015-07-24_17:59 - Efetuando logout</t>
  </si>
  <si>
    <t>2015-07-24_17:59 - Logout realizado</t>
  </si>
  <si>
    <t>2015-07-24_17:59 - -------------Fim da exportação plano de custo de ativos-------------</t>
  </si>
  <si>
    <t>2015-07-24_18:00 - -------------Início do plano de custo de ativos-------------</t>
  </si>
  <si>
    <t>2015-07-24_18:00 - Arquivo xog sendo gravado em: C:\xog_plan_cost\xog_20150724_1800.xml</t>
  </si>
  <si>
    <t>2015-07-24_18:00 - Ambiente selecionado: PROD</t>
  </si>
  <si>
    <t>2015-07-24_18:00 -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</si>
  <si>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2015-07-24_18:00 - Enviando requisição de login</t>
  </si>
  <si>
    <t>2015-07-24_18:00 - Login realizado. SessionID capturado: 6499999__C1DB8D27-F828-41FD-8088-B52070C7F9C8</t>
  </si>
  <si>
    <t>2015-07-24_18:00 - Chamando mensagem de requisição</t>
  </si>
  <si>
    <t>2015-07-24_18:00 - Capturando resultado final</t>
  </si>
  <si>
    <t>2015-07-24_18:00 - Efetuando logout</t>
  </si>
  <si>
    <t>2015-07-24_18:00 - Logout realizado</t>
  </si>
  <si>
    <t>2015-07-24_18:00 - -------------Fim da exportação plano de custo de ativos-------------</t>
  </si>
  <si>
    <t>2015-07-24_18:01 - -------------Início do plano de custo de ativos-------------</t>
  </si>
  <si>
    <t>2015-07-24_18:01 - Arquivo xog sendo gravado em: C:\xog_plan_cost\xog_20150724_1801.xml</t>
  </si>
  <si>
    <t>2015-07-24_18:01 - Ambiente selecionado: PROD</t>
  </si>
  <si>
    <t>2015-07-24_18:01 -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</si>
  <si>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2015-07-24_18:01 - Enviando requisição de login</t>
  </si>
  <si>
    <t>2015-07-24_18:01 - Login realizado. SessionID capturado: 6500982__BD308366-D908-4562-8ABB-C593A197FEC1</t>
  </si>
  <si>
    <t>2015-07-24_18:01 - Chamando mensagem de requisição</t>
  </si>
  <si>
    <t>2015-07-24_18:01 - Capturando resultado final</t>
  </si>
  <si>
    <t>2015-07-24_18:01 - Efetuando logout</t>
  </si>
  <si>
    <t>2015-07-24_18:01 - Logout realizado</t>
  </si>
  <si>
    <t>2015-07-24_18:01 - -------------Fim da exportação plano de custo de ativos-------------</t>
  </si>
  <si>
    <t>2015-07-24_18:02 - -------------Início do plano de custo de ativos-------------</t>
  </si>
  <si>
    <t>2015-07-24_18:02 - Arquivo xog sendo gravado em: C:\xog_plan_cost\xog_20150724_1802.xml</t>
  </si>
  <si>
    <t>2015-07-24_18:02 - Ambiente selecionado: PROD</t>
  </si>
  <si>
    <t>2015-07-24_18:02 -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</si>
  <si>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2015-07-24_18:02 - Enviando requisição de login</t>
  </si>
  <si>
    <t>2015-07-24_18:02 - Login realizado. SessionID capturado: 6500987__1D4D6FAC-47F4-40A5-B729-6F7799ED7499</t>
  </si>
  <si>
    <t>2015-07-24_18:02 - Chamando mensagem de requisição</t>
  </si>
  <si>
    <t>2015-07-24_18:02 - Capturando resultado final</t>
  </si>
  <si>
    <t>2015-07-24_18:02 - Efetuando logout</t>
  </si>
  <si>
    <t>2015-07-24_18:02 - Logout realizado</t>
  </si>
  <si>
    <t>2015-07-24_18:02 - -------------Fim da exportação plano de custo de ativos-------------</t>
  </si>
  <si>
    <t>2015-07-24_18:08 - -------------Início da exportação transações de projeto-------------</t>
  </si>
  <si>
    <t>2015-07-24_18:08 - Arquivo xog sendo gravado em: C:\xog_movimentacao_proj\xog_20150724_1808.xml</t>
  </si>
  <si>
    <t>2015-07-24_18:08 - Ambiente selecionado: PROD</t>
  </si>
  <si>
    <t>2015-07-24_18:08 -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</si>
  <si>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2015-07-24_18:08 - Enviando requisição de login</t>
  </si>
  <si>
    <t>2015-07-24_18:08 - Login realizado. SessionID capturado: 6500993__5DF6167E-5C8D-4860-929A-910D1812BB30</t>
  </si>
  <si>
    <t>2015-07-24_18:08 - Chamando mensagem de requisição</t>
  </si>
  <si>
    <t>2015-07-24_18:08 - Capturando resultado final</t>
  </si>
  <si>
    <t>2015-07-24_18:08 - Efetuando logout</t>
  </si>
  <si>
    <t>2015-07-24_18:08 - Logout realizado</t>
  </si>
  <si>
    <t>2015-07-24_18:08 - -------------Fim da exportação transações de projeto-------------</t>
  </si>
  <si>
    <t>2015-07-24_18:22 - -------------Início da exportação transações de projeto-------------</t>
  </si>
  <si>
    <t>2015-07-24_18:22 - Arquivo xog sendo gravado em: C:\xog_movimentacao_proj\xog_20150724_1822.xml</t>
  </si>
  <si>
    <t>2015-07-24_18:22 - Ambiente selecionado: PROD</t>
  </si>
  <si>
    <t>2015-07-24_18:22 -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</si>
  <si>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2015-07-24_18:22 - Enviando requisição de login</t>
  </si>
  <si>
    <t>2015-07-24_18:22 - Login realizado. SessionID capturado: 6500014__EDFCD375-D003-4ED1-9E8D-4135013EAF22</t>
  </si>
  <si>
    <t>2015-07-24_18:22 - Chamando mensagem de requisição</t>
  </si>
  <si>
    <t>2015-07-24_18:22 - Capturando resultado final</t>
  </si>
  <si>
    <t>2015-07-24_18:22 - Efetuando logout</t>
  </si>
  <si>
    <t>2015-07-24_18:22 - Logout realizado</t>
  </si>
  <si>
    <t>2015-07-24_18:22 - -------------Fim da exportação transações de projeto-------------</t>
  </si>
  <si>
    <t>2015-07-27_14:01 - -------------Início do plano de custo de ativos-------------</t>
  </si>
  <si>
    <t>2015-07-27_14:01 - Arquivo xog sendo gravado em: C:\xog_plan_cost\xog_20150727_1401.xml</t>
  </si>
  <si>
    <t>2015-07-27_14:01 - Ambiente selecionado: PROD</t>
  </si>
  <si>
    <t>2015-07-27_14:01 -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</si>
  <si>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2015-07-27_14:01 - Enviando requisição de login</t>
  </si>
  <si>
    <t>2015-07-27_14:01 - Login realizado. SessionID capturado: 6526454__A1DEF97C-BEE6-4AB2-915E-037E059D4737</t>
  </si>
  <si>
    <t>2015-07-27_14:01 - Chamando mensagem de requisição</t>
  </si>
  <si>
    <t>2015-07-27_14:01 - Capturando resultado final</t>
  </si>
  <si>
    <t>2015-07-27_14:01 - Efetuando logout</t>
  </si>
  <si>
    <t>2015-07-27_14:01 - Logout realizado</t>
  </si>
  <si>
    <t>2015-07-27_14:01 - -------------Fim da exportação plano de custo de ativos-------------</t>
  </si>
  <si>
    <t>2015-07-27_14:03 - -------------Início da exportação transações de projeto-------------</t>
  </si>
  <si>
    <t>2015-07-27_14:03 - Arquivo xog sendo gravado em: C:\xog_movimentacao_proj\xog_20150727_1403.xml</t>
  </si>
  <si>
    <t>2015-07-27_14:03 - Ambiente selecionado: PROD</t>
  </si>
  <si>
    <t>2015-07-27_14:03 -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</si>
  <si>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2015-07-27_14:03 - Enviando requisição de login</t>
  </si>
  <si>
    <t>2015-07-27_14:03 - Login realizado. SessionID capturado: 6527444__571BE82D-88BF-46BE-8E35-8E46EA65F026</t>
  </si>
  <si>
    <t>2015-07-27_14:03 - Chamando mensagem de requisição</t>
  </si>
  <si>
    <t>2015-07-27_14:03 - Capturando resultado final</t>
  </si>
  <si>
    <t>2015-07-27_14:03 - Efetuando logout</t>
  </si>
  <si>
    <t>2015-07-27_14:03 - Logout realizado</t>
  </si>
  <si>
    <t>2015-07-27_14:03 - -------------Fim da exportação transações de projeto-------------</t>
  </si>
  <si>
    <t>2015-07-27_14:04 - -------------Início da exportação transações de projeto-------------</t>
  </si>
  <si>
    <t>2015-07-27_14:04 - Arquivo xog sendo gravado em: C:\xog_movimentacao_proj\xog_20150727_1404.xml</t>
  </si>
  <si>
    <t>2015-07-27_14:04 - Ambiente selecionado: PROD</t>
  </si>
  <si>
    <t>2015-07-27_14:04 -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</si>
  <si>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2015-07-27_14:04 - Enviando requisição de login</t>
  </si>
  <si>
    <t>2015-07-27_14:04 - Login realizado. SessionID capturado: 6527445__494B7F6B-CEDC-4F7E-B745-5A5D4ACC995D</t>
  </si>
  <si>
    <t>2015-07-27_14:04 - Chamando mensagem de requisição</t>
  </si>
  <si>
    <t>2015-07-27_14:04 - Capturando resultado final</t>
  </si>
  <si>
    <t>2015-07-27_14:04 - Efetuando logout</t>
  </si>
  <si>
    <t>2015-07-27_14:04 - Logout realizado</t>
  </si>
  <si>
    <t>2015-07-27_14:04 - -------------Fim da exportação transações de projeto-------------</t>
  </si>
  <si>
    <t>2015-08-12_17:23 - Ambiente selecionado: PROD</t>
  </si>
  <si>
    <t>2015-08-12_17:23 - Escrevendo tarefas...</t>
  </si>
  <si>
    <t>2015-08-12_17:23 - Escrevendo locais...</t>
  </si>
  <si>
    <t>2015-08-12_17:23 - Escrevendo períodos...</t>
  </si>
  <si>
    <t>2015-08-12_17:23 - Escrevendo fornecedores...</t>
  </si>
  <si>
    <t>2015-08-12_17:23 - Escrevendo departamentos...</t>
  </si>
  <si>
    <t>2015-08-12_17:24 - Ambiente selecionado: PROD</t>
  </si>
  <si>
    <t>2015-08-12_17:24 - Escrevendo tarefas...</t>
  </si>
  <si>
    <t>2015-08-12_17:24 - Escrevendo locais...</t>
  </si>
  <si>
    <t>2015-08-12_17:24 - Escrevendo períodos...</t>
  </si>
  <si>
    <t>2015-08-12_17:24 - Escrevendo fornecedores...</t>
  </si>
  <si>
    <t>2015-08-12_17:24 - Escrevendo departamentos...</t>
  </si>
  <si>
    <t>2015-08-12_17:25 - Ambiente selecionado: PROD</t>
  </si>
  <si>
    <t>2015-08-12_17:25 - Escrevendo tarefas...</t>
  </si>
  <si>
    <t>2015-08-12_17:25 - Escrevendo locais...</t>
  </si>
  <si>
    <t>2015-08-12_17:25 - Escrevendo períodos...</t>
  </si>
  <si>
    <t>2015-08-12_17:25 - Escrevendo fornecedores...</t>
  </si>
  <si>
    <t>2015-08-12_17:25 - Escrevendo departamentos...</t>
  </si>
  <si>
    <t>2015-08-12_17:25 - Ambiente selecionado: DEV</t>
  </si>
  <si>
    <t>2015-08-12_17:26 - Ambiente selecionado: DEV</t>
  </si>
  <si>
    <t>2015-08-12_17:27 - Ambiente selecionado: DEV</t>
  </si>
  <si>
    <t>2015-08-12_17:27 - Escrevendo tarefas...</t>
  </si>
  <si>
    <t>2015-08-12_17:28 - Ambiente selecionado: DEV</t>
  </si>
  <si>
    <t>2015-08-12_17:28 - Escrevendo tarefas...</t>
  </si>
  <si>
    <t>2015-08-12_17:28 - Escrevendo locais...</t>
  </si>
  <si>
    <t>2015-08-12_17:28 - Escrevendo períodos...</t>
  </si>
  <si>
    <t>2015-08-12_17:28 - Escrevendo fornecedores...</t>
  </si>
  <si>
    <t>2015-08-12_17:28 - Escrevendo departamentos...</t>
  </si>
  <si>
    <t>2015-08-12_17:42 - Ambiente selecionado: DEV</t>
  </si>
  <si>
    <t>2015-08-12_17:42 - Escrevendo tarefas...</t>
  </si>
  <si>
    <t>2015-08-12_17:42 - Escrevendo locais...</t>
  </si>
  <si>
    <t>2015-08-12_17:42 - Escrevendo períodos...</t>
  </si>
  <si>
    <t>2015-08-12_17:42 - Escrevendo fornecedores...</t>
  </si>
  <si>
    <t>2015-08-12_17:42 - Escrevendo departamentos...</t>
  </si>
  <si>
    <t>2015-08-12_17:44 - Ambiente selecionado: DEV</t>
  </si>
  <si>
    <t>2015-08-12_17:44 - Escrevendo tarefas...</t>
  </si>
  <si>
    <t>2015-08-12_17:44 - Escrevendo locais...</t>
  </si>
  <si>
    <t>2015-08-12_17:44 - Escrevendo períodos...</t>
  </si>
  <si>
    <t>2015-08-12_17:44 - Escrevendo fornecedores...</t>
  </si>
  <si>
    <t>2015-08-12_17:44 - Escrevendo departamentos...</t>
  </si>
  <si>
    <t>2015-08-12_17:44 - Escrevendo encargos...</t>
  </si>
  <si>
    <t>2015-08-12_17:45 - Escrevendo fornecedores...</t>
  </si>
  <si>
    <t>2015-08-12_17:45 - Escrevendo departamentos...</t>
  </si>
  <si>
    <t>2015-08-12_17:45 - Escrevendo encargos...</t>
  </si>
  <si>
    <t>2015-08-12_17:45 - Ambiente selecionado: DEV</t>
  </si>
  <si>
    <t>2015-08-12_17:45 - Escrevendo tarefas...</t>
  </si>
  <si>
    <t>2015-08-12_17:45 - Escrevendo locais...</t>
  </si>
  <si>
    <t>2015-08-12_17:45 - Escrevendo períodos...</t>
  </si>
  <si>
    <t>2015-08-12_17:46 - Ambiente selecionado: DEV</t>
  </si>
  <si>
    <t>2015-08-12_17:46 - Escrevendo tarefas...</t>
  </si>
  <si>
    <t>2015-08-12_17:46 - Escrevendo locais...</t>
  </si>
  <si>
    <t>2015-08-12_17:46 - Escrevendo períodos...</t>
  </si>
  <si>
    <t>2015-08-12_17:46 - Escrevendo fornecedores...</t>
  </si>
  <si>
    <t>2015-08-12_17:46 - Escrevendo departamentos...</t>
  </si>
  <si>
    <t>2015-08-12_17:46 - Escrevendo encargos...</t>
  </si>
  <si>
    <t>2015-08-12_17:48 - Ambiente selecionado: DEV</t>
  </si>
  <si>
    <t>2015-08-12_17:48 - Escrevendo tarefas...</t>
  </si>
  <si>
    <t>2015-08-12_17:48 - Escrevendo locais...</t>
  </si>
  <si>
    <t>2015-08-12_17:48 - Escrevendo períodos...</t>
  </si>
  <si>
    <t>2015-08-12_17:48 - Escrevendo fornecedores...</t>
  </si>
  <si>
    <t>2015-08-12_17:48 - Escrevendo departamentos...</t>
  </si>
  <si>
    <t>2015-08-12_17:48 - Escrevendo encargos...</t>
  </si>
  <si>
    <t>2015-08-12_18:16 - -------------Início do plano de custo de ativos-------------</t>
  </si>
  <si>
    <t>2015-08-12_18:16 - Arquivo xog sendo gravado em: C:\xog_plan_cost\xog_20150812_1816.xml</t>
  </si>
  <si>
    <t>2015-08-12_18:38 - -------------Início do plano de custo de ativos-------------</t>
  </si>
  <si>
    <t>2015-08-12_18:38 - Arquivo xog sendo gravado em: C:\xog_plan_cost\xog_20150812_1838.xml</t>
  </si>
  <si>
    <t>2015-08-12_18:39 - Ambiente selecionado: DEV</t>
  </si>
  <si>
    <t>2015-08-12_18:39 - Escrevendo tarefas...</t>
  </si>
  <si>
    <t>2015-08-12_18:39 - Escrevendo locais...</t>
  </si>
  <si>
    <t>2015-08-12_18:39 - Escrevendo períodos...</t>
  </si>
  <si>
    <t>2015-08-12_18:39 - Escrevendo fornecedores...</t>
  </si>
  <si>
    <t>2015-08-12_18:39 - Escrevendo departamentos...</t>
  </si>
  <si>
    <t>2015-08-12_18:39 - Escrevendo encargos...</t>
  </si>
  <si>
    <t>2015-08-12_18:40 - Ambiente selecionado: DEV</t>
  </si>
  <si>
    <t>2015-08-12_18:40 - Escrevendo tarefas...</t>
  </si>
  <si>
    <t>2015-08-12_18:40 - Escrevendo locais...</t>
  </si>
  <si>
    <t>2015-08-12_18:40 - Escrevendo períodos...</t>
  </si>
  <si>
    <t>2015-08-12_18:40 - Escrevendo fornecedores...</t>
  </si>
  <si>
    <t>2015-08-12_18:40 - Escrevendo departamentos...</t>
  </si>
  <si>
    <t>2015-08-12_18:40 - Escrevendo encargos...</t>
  </si>
  <si>
    <t>2015-08-12_18:40 - -------------Início do plano de custo de ativos-------------</t>
  </si>
  <si>
    <t>2015-08-12_18:40 - Arquivo xog sendo gravado em: C:\xog_plan_cost\xog_20150812_1840.xml</t>
  </si>
  <si>
    <t>2015-08-12_18:41 - -------------Início do plano de custo de ativos-------------</t>
  </si>
  <si>
    <t>2015-08-12_18:41 - Arquivo xog sendo gravado em: C:\xog_plan_cost\xog_20150812_1841.xml</t>
  </si>
  <si>
    <t>2015-08-12_18:41 - Ambiente selecionado: DEV</t>
  </si>
  <si>
    <t>2015-08-12_18:41 -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</si>
  <si>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2015-08-12_18:41 - Enviando requisição de login</t>
  </si>
  <si>
    <t>2015-08-12_18:41 - Login realizado. SessionID capturado: 5730103__E739349A-B60C-4718-9830-65BD928E5594</t>
  </si>
  <si>
    <t>2015-08-12_18:41 - Chamando mensagem de requisição</t>
  </si>
  <si>
    <t>2015-08-12_18:41 - Capturando resultado final</t>
  </si>
  <si>
    <t>2015-08-12_18:41 - Efetuando logout</t>
  </si>
  <si>
    <t>2015-08-12_18:41 - Logout realizado</t>
  </si>
  <si>
    <t>2015-08-12_18:41 - -------------Fim da exportação plano de custo de ativos-------------</t>
  </si>
  <si>
    <t>2015-08-12_18:45 - -------------Início do plano de custo de ativos-------------</t>
  </si>
  <si>
    <t>2015-08-12_18:45 - Arquivo xog sendo gravado em: C:\xog_plan_cost\xog_20150812_1845.xml</t>
  </si>
  <si>
    <t>2015-08-12_18:45 - Ambiente selecionado: DEV</t>
  </si>
  <si>
    <t>2015-08-12_18:45 -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</si>
  <si>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2015-08-12_18:45 - Enviando requisição de login</t>
  </si>
  <si>
    <t>2015-08-12_18:45 - Login realizado. SessionID capturado: 5730105__DD184792-6A90-4AC8-BE6E-B5A8054A448A</t>
  </si>
  <si>
    <t>2015-08-12_18:45 - Chamando mensagem de requisição</t>
  </si>
  <si>
    <t>2015-08-12_18:45 - Capturando resultado final</t>
  </si>
  <si>
    <t>2015-08-12_18:45 - Efetuando logout</t>
  </si>
  <si>
    <t>2015-08-12_18:45 - Logout realizado</t>
  </si>
  <si>
    <t>2015-08-12_18:45 - -------------Fim da exportação plano de custo de ativos-------------</t>
  </si>
  <si>
    <t>2015-08-12_19:03 - -------------Início da exportação transações de projeto-------------</t>
  </si>
  <si>
    <t>2015-08-12_19:03 - Arquivo xog sendo gravado em: C:\xog_movimentacao_proj\xog_20150812_1903.xml</t>
  </si>
  <si>
    <t>2015-08-12_19:03 - Ambiente selecionado: DEV</t>
  </si>
  <si>
    <t>2015-08-12_19:03 -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</si>
  <si>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2015-08-12_19:03 - Enviando requisição de login</t>
  </si>
  <si>
    <t>2015-08-12_19:03 - Login realizado. SessionID capturado: 5730110__E7A864CC-59AB-4ACC-913E-A58CB4BFCD09</t>
  </si>
  <si>
    <t>2015-08-12_19:03 - Chamando mensagem de requisição</t>
  </si>
  <si>
    <t>2015-08-12_19:03 - Capturando resultado final</t>
  </si>
  <si>
    <t>2015-08-12_19:03 - Efetuando logout</t>
  </si>
  <si>
    <t>2015-08-12_19:03 - Logout realizado</t>
  </si>
  <si>
    <t>2015-08-12_19:03 - -------------Fim da exportação transações de projeto-------------</t>
  </si>
  <si>
    <t>2015-08-12_19:03 - -------------Início do plano de custo de ativos-------------</t>
  </si>
  <si>
    <t>2015-08-12_19:03 - Arquivo xog sendo gravado em: C:\xog_plan_cost\xog_20150812_1903.xml</t>
  </si>
  <si>
    <t>2015-08-12_19:03 - Login realizado. SessionID capturado: 5730111__9A1E6D08-7E87-495B-8817-C79AFB0A5937</t>
  </si>
  <si>
    <t>2015-08-12_19:03 - -------------Fim da exportação plano de custo de ativos-------------</t>
  </si>
  <si>
    <t>2015-08-12_19:04 - -------------Início do plano de custo de ativos-------------</t>
  </si>
  <si>
    <t>2015-08-12_19:04 - Arquivo xog sendo gravado em: C:\xog_plan_cost\xog_20150812_1904.xml</t>
  </si>
  <si>
    <t>2015-08-12_19:04 - Ambiente selecionado: DEV</t>
  </si>
  <si>
    <t>2015-08-12_19:04 -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</si>
  <si>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2015-08-12_19:04 - Enviando requisição de login</t>
  </si>
  <si>
    <t>2015-08-12_19:04 - Login realizado. SessionID capturado: 5730112__8782FB95-503E-42DD-8748-DC4C9B07EE01</t>
  </si>
  <si>
    <t>2015-08-12_19:04 - Chamando mensagem de requisição</t>
  </si>
  <si>
    <t>2015-08-12_19:04 - Capturando resultado final</t>
  </si>
  <si>
    <t>2015-08-12_19:04 - Efetuando logout</t>
  </si>
  <si>
    <t>2015-08-12_19:04 - Logout realizado</t>
  </si>
  <si>
    <t>2015-08-12_19:04 - -------------Fim da exportação plano de custo de ativos-------------</t>
  </si>
  <si>
    <t>2015-08-13_10:13 - -------------Início do plano de custo de ativos-------------</t>
  </si>
  <si>
    <t>2015-08-13_10:13 - Arquivo xog sendo gravado em: C:\xog_plan_cost\xog_20150813_1013.xml</t>
  </si>
  <si>
    <t>2015-08-13_10:13 - Ambiente selecionado: DEV</t>
  </si>
  <si>
    <t>2015-08-13_10:13 -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</si>
  <si>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2015-08-13_10:13 - Enviando requisição de login</t>
  </si>
  <si>
    <t>2015-08-13_10:13 - Login realizado. SessionID capturado: 5730116__392FBEEB-0D13-467D-B9CB-5137B8CD7107</t>
  </si>
  <si>
    <t>2015-08-13_10:13 - Chamando mensagem de requisição</t>
  </si>
  <si>
    <t>2015-08-13_10:13 - Capturando resultado final</t>
  </si>
  <si>
    <t>2015-08-13_10:13 - Efetuando logout</t>
  </si>
  <si>
    <t>2015-08-13_10:13 - Logout realizado</t>
  </si>
  <si>
    <t>2015-08-13_10:13 - -------------Fim da exportação plano de custo de ativos-------------</t>
  </si>
  <si>
    <t>2015-08-14_10:25 - -------------Início do plano de custo de ativos-------------</t>
  </si>
  <si>
    <t>2015-08-14_10:25 - Arquivo xog sendo gravado em: C:\xog_plan_cost\xog_20150814_1025.xml</t>
  </si>
  <si>
    <t>2015-08-14_10:25 - -------------Fim da exportação plano de custo de ativos-------------</t>
  </si>
  <si>
    <t>2015-08-14_10:34 - -------------Início da exportação transações de projeto-------------</t>
  </si>
  <si>
    <t>2015-08-14_10:34 - Arquivo xog sendo gravado em: C:\xog_movimentacao_proj\xog_20150814_1034.xml</t>
  </si>
  <si>
    <t>2015-08-14_10:34 - -------------Fim da exportação transações de projeto-------------</t>
  </si>
  <si>
    <t>2015-08-14_10:38 - -------------Início da exportação transações de projeto-------------</t>
  </si>
  <si>
    <t>2015-08-14_10:38 - Arquivo xog sendo gravado em: C:\xog_movimentacao_proj\xog_20150814_1038.xml</t>
  </si>
  <si>
    <t>2015-08-14_10:38 - -------------Fim da exportação transações de projeto-------------</t>
  </si>
  <si>
    <t>2015-08-14_10:39 - -------------Início da exportação transações de projeto-------------</t>
  </si>
  <si>
    <t>2015-08-14_10:39 - Arquivo xog sendo gravado em: C:\xog_movimentacao_proj\xog_20150814_1039.xml</t>
  </si>
  <si>
    <t>2015-08-14_10:39 - -------------Fim da exportação transações de projeto-------------</t>
  </si>
  <si>
    <t>2015-08-14_10:47 - -------------Início da exportação transações de projeto-------------</t>
  </si>
  <si>
    <t>2015-08-14_10:47 - Arquivo xog sendo gravado em: C:\xog_movimentacao_proj\xog_20150814_1047.xml</t>
  </si>
  <si>
    <t>2015-08-14_10:47 - -------------Fim da exportação transações de projeto-------------</t>
  </si>
  <si>
    <t>2015-08-14_10:48 - -------------Início da exportação transações de projeto-------------</t>
  </si>
  <si>
    <t>2015-08-14_10:48 - Arquivo xog sendo gravado em: C:\xog_movimentacao_proj\xog_20150814_1048.xml</t>
  </si>
  <si>
    <t>2015-08-14_10:48 - -------------Fim da exportação transações de projeto-------------</t>
  </si>
  <si>
    <t>2015-08-14_10:49 - -------------Início da exportação transações de projeto-------------</t>
  </si>
  <si>
    <t>2015-08-14_10:49 - Arquivo xog sendo gravado em: C:\xog_movimentacao_proj\xog_20150814_1049.xml</t>
  </si>
  <si>
    <t>2015-08-14_10:49 - -------------Fim da exportação transações de projeto-------------</t>
  </si>
  <si>
    <t>2015-08-14_10:50 - -------------Início da exportação transações de projeto-------------</t>
  </si>
  <si>
    <t>2015-08-14_10:50 - Arquivo xog sendo gravado em: C:\xog_movimentacao_proj\xog_20150814_1050.xml</t>
  </si>
  <si>
    <t>2015-08-14_10:50 - -------------Fim da exportação transações de projeto-------------</t>
  </si>
  <si>
    <t>2015-08-14_11:07 - -------------Início do plano de custo de ativos-------------</t>
  </si>
  <si>
    <t>2015-08-14_11:07 - Arquivo xog sendo gravado em: C:\xog_plan_cost\xog_20150814_1107.xml</t>
  </si>
  <si>
    <t>2015-08-14_11:07 - -------------Fim da exportação plano de custo de ativos-------------</t>
  </si>
  <si>
    <t>2015-08-14_12:03 - -------------Início do plano de custo de ativos-------------</t>
  </si>
  <si>
    <t>2015-08-14_12:03 - Arquivo xog sendo gravado em: C:\xog_plan_cost\xog_20150814_1203.xml</t>
  </si>
  <si>
    <t>2015-08-14_12:03 - -------------Fim da exportação plano de custo de ativos-------------</t>
  </si>
  <si>
    <t>2015-08-14_17:21 - Ambiente selecionado: DEV</t>
  </si>
  <si>
    <t>2015-08-14_17:21 - Escrevendo tarefas...</t>
  </si>
  <si>
    <t>2015-08-14_17:21 - Escrevendo locais...</t>
  </si>
  <si>
    <t>2015-08-14_17:21 - Escrevendo períodos...</t>
  </si>
  <si>
    <t>2015-08-14_17:21 - Escrevendo fornecedores...</t>
  </si>
  <si>
    <t>2015-08-14_17:21 - Escrevendo departamentos...</t>
  </si>
  <si>
    <t>2015-08-14_17:21 - Escrevendo centros de custo...</t>
  </si>
  <si>
    <t>2015-08-14_17:23 - Ambiente selecionado: DEV</t>
  </si>
  <si>
    <t>2015-08-14_17:23 - Escrevendo tarefas...</t>
  </si>
  <si>
    <t>2015-08-14_17:23 - Escrevendo locais...</t>
  </si>
  <si>
    <t>2015-08-14_17:23 - Escrevendo períodos...</t>
  </si>
  <si>
    <t>2015-08-14_17:23 - Escrevendo fornecedores...</t>
  </si>
  <si>
    <t>2015-08-14_17:23 - Escrevendo departamentos...</t>
  </si>
  <si>
    <t>2015-08-14_17:23 - Escrevendo centros de custo...</t>
  </si>
  <si>
    <t>2015-08-14_17:25 - Ambiente selecionado: DEV</t>
  </si>
  <si>
    <t>2015-08-14_17:25 - Escrevendo tarefas...</t>
  </si>
  <si>
    <t>2015-08-14_17:25 - Escrevendo locais...</t>
  </si>
  <si>
    <t>2015-08-14_17:25 - Escrevendo períodos...</t>
  </si>
  <si>
    <t>2015-08-14_17:25 - Escrevendo fornecedores...</t>
  </si>
  <si>
    <t>2015-08-14_17:25 - Escrevendo departamentos...</t>
  </si>
  <si>
    <t>2015-08-14_17:25 - Escrevendo centros de custo...</t>
  </si>
  <si>
    <t>2015-08-14_17:32 - Ambiente selecionado: DEV</t>
  </si>
  <si>
    <t>2015-08-14_17:32 - Escrevendo tarefas...</t>
  </si>
  <si>
    <t>2015-08-14_17:32 - Escrevendo locais...</t>
  </si>
  <si>
    <t>2015-08-14_17:32 - Escrevendo períodos...</t>
  </si>
  <si>
    <t>2015-08-14_17:32 - Escrevendo fornecedores...</t>
  </si>
  <si>
    <t>2015-08-14_17:32 - Escrevendo departamentos...</t>
  </si>
  <si>
    <t>2015-08-14_17:32 - Escrevendo centros de custo...</t>
  </si>
  <si>
    <t>2015-08-14_17:36 - -------------Início do plano de custo de ativos-------------</t>
  </si>
  <si>
    <t>2015-08-14_17:36 - Arquivo xog sendo gravado em: C:\xog_plan_cost\xog_20150814_1736.xml</t>
  </si>
  <si>
    <t>2015-08-14_17:36 - Ambiente selecionado: DEV</t>
  </si>
  <si>
    <t>2015-08-14_17:36 -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</si>
  <si>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2015-08-14_17:36 - Enviando requisição de login</t>
  </si>
  <si>
    <t>2015-08-14_17:36 - Login realizado. SessionID capturado: 5730180__EBEAA499-176B-49F6-AC5C-5B1018AB0DA5</t>
  </si>
  <si>
    <t>2015-08-14_17:36 - Chamando mensagem de requisição</t>
  </si>
  <si>
    <t>2015-08-14_17:36 - Capturando resultado final</t>
  </si>
  <si>
    <t>2015-08-14_17:36 - Efetuando logout</t>
  </si>
  <si>
    <t>2015-08-14_17:36 - Logout realizado</t>
  </si>
  <si>
    <t>2015-08-14_17:36 - -------------Fim da exportação plano de custo de ativos-------------</t>
  </si>
  <si>
    <t>2015-08-14_17:43 - Ambiente selecionado: DEV</t>
  </si>
  <si>
    <t>2015-08-14_17:43 - Escrevendo tarefas...</t>
  </si>
  <si>
    <t>2015-08-14_17:43 - Escrevendo locais...</t>
  </si>
  <si>
    <t>2015-08-14_17:43 - Escrevendo períodos...</t>
  </si>
  <si>
    <t>2015-08-14_17:43 - Escrevendo fornecedores...</t>
  </si>
  <si>
    <t>2015-08-14_17:43 - Escrevendo departamentos...</t>
  </si>
  <si>
    <t>2015-08-14_17:43 - Escrevendo centros de custo...</t>
  </si>
  <si>
    <t>2015-08-14_17:44 - -------------Início do plano de custo de ativos-------------</t>
  </si>
  <si>
    <t>2015-08-14_17:44 - Arquivo xog sendo gravado em: C:\xog_plan_cost\xog_20150814_1744.xml</t>
  </si>
  <si>
    <t>2015-08-14_17:44 - Ambiente selecionado: DEV</t>
  </si>
  <si>
    <t>2015-08-14_17:44 -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</si>
  <si>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2015-08-14_17:44 - Enviando requisição de login</t>
  </si>
  <si>
    <t>2015-08-14_17:44 - Login realizado. SessionID capturado: 5730188__87EB4CCE-59AC-40AD-B6CC-AE6213B7100F</t>
  </si>
  <si>
    <t>2015-08-14_17:44 - Chamando mensagem de requisição</t>
  </si>
  <si>
    <t>2015-08-14_17:44 - Capturando resultado final</t>
  </si>
  <si>
    <t>2015-08-14_17:44 - Efetuando logout</t>
  </si>
  <si>
    <t>2015-08-14_17:44 - Logout realizado</t>
  </si>
  <si>
    <t>2015-08-14_17:44 - -------------Fim da exportação plano de custo de ativos-------------</t>
  </si>
  <si>
    <t>2015-08-14_18:01 - -------------Início do plano de custo de ativos-------------</t>
  </si>
  <si>
    <t>2015-08-14_18:01 - Arquivo xog sendo gravado em: C:\xog_plan_cost\xog_20150814_1801.xml</t>
  </si>
  <si>
    <t>2015-08-14_18:01 - Ambiente selecionado: DEV</t>
  </si>
  <si>
    <t>2015-08-14_18:01 -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</si>
  <si>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2015-08-14_18:01 - Enviando requisição de login</t>
  </si>
  <si>
    <t>2015-08-14_18:01 - Login realizado. SessionID capturado: 5730193__862B4764-34AF-463F-898B-F0FCDB88F088</t>
  </si>
  <si>
    <t>2015-08-14_18:01 - Chamando mensagem de requisição</t>
  </si>
  <si>
    <t>2015-08-14_18:01 - Capturando resultado final</t>
  </si>
  <si>
    <t>2015-08-14_18:01 - Efetuando logout</t>
  </si>
  <si>
    <t>2015-08-14_18:01 - Logout realizado</t>
  </si>
  <si>
    <t>2015-08-14_18:01 - -------------Fim da exportação plano de custo de ativos-------------</t>
  </si>
  <si>
    <t>2015-08-14_18:09 - -------------Início do plano de custo de ativos-------------</t>
  </si>
  <si>
    <t>2015-08-14_18:09 - Arquivo xog sendo gravado em: C:\xog_plan_cost\xog_20150814_1809.xml</t>
  </si>
  <si>
    <t>2015-08-14_18:09 - Ambiente selecionado: DEV</t>
  </si>
  <si>
    <t>2015-08-14_18:09 -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</si>
  <si>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2015-08-14_18:09 - Enviando requisição de login</t>
  </si>
  <si>
    <t>2015-08-14_18:09 - Login realizado. SessionID capturado: 5730196__7C6332BE-42FA-417F-B0CD-890D12DAD9D6</t>
  </si>
  <si>
    <t>2015-08-14_18:09 - Chamando mensagem de requisição</t>
  </si>
  <si>
    <t>2015-08-14_18:09 - Capturando resultado final</t>
  </si>
  <si>
    <t>2015-08-14_18:09 - Efetuando logout</t>
  </si>
  <si>
    <t>2015-08-14_18:09 - Logout realizado</t>
  </si>
  <si>
    <t>2015-08-14_18:09 - -------------Fim da exportação plano de custo de ativos-------------</t>
  </si>
  <si>
    <t>2015-08-14_18:13 - -------------Início do plano de custo de ativos-------------</t>
  </si>
  <si>
    <t>2015-08-14_18:13 - Arquivo xog sendo gravado em: C:\xog_plan_cost\xog_20150814_1813.xml</t>
  </si>
  <si>
    <t>2015-08-14_18:13 - Ambiente selecionado: DEV</t>
  </si>
  <si>
    <t>2015-08-14_18:13 -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</si>
  <si>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2015-08-14_18:13 - Enviando requisição de login</t>
  </si>
  <si>
    <t>2015-08-14_18:13 - Login realizado. SessionID capturado: 5730197__E7FDE307-0207-4E54-B56C-02C002076DF0</t>
  </si>
  <si>
    <t>2015-08-14_18:13 - Chamando mensagem de requisição</t>
  </si>
  <si>
    <t>2015-08-14_18:13 - Capturando resultado final</t>
  </si>
  <si>
    <t>2015-08-14_18:13 - Efetuando logout</t>
  </si>
  <si>
    <t>2015-08-14_18:13 - Logout realizado</t>
  </si>
  <si>
    <t>2015-08-14_18:13 - -------------Fim da exportação plano de custo de ativos-------------</t>
  </si>
  <si>
    <t>2015-08-14_18:17 - -------------Início da exportação transações de projeto-------------</t>
  </si>
  <si>
    <t>2015-08-14_18:17 - Arquivo xog sendo gravado em: C:\xog_movimentacao_proj\xog_20150814_1817.xml</t>
  </si>
  <si>
    <t>2015-08-14_18:17 - Ambiente selecionado: DEV</t>
  </si>
  <si>
    <t>2015-08-14_18:17 -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</si>
  <si>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2015-08-14_18:17 - Enviando requisição de login</t>
  </si>
  <si>
    <t>2015-08-14_18:17 - Login realizado. SessionID capturado: 5730198__91FC3212-4346-4BA6-A08E-0AEEF6CA127D</t>
  </si>
  <si>
    <t>2015-08-14_18:17 - Chamando mensagem de requisição</t>
  </si>
  <si>
    <t>2015-08-14_18:17 - Capturando resultado final</t>
  </si>
  <si>
    <t>2015-08-14_18:17 - Efetuando logout</t>
  </si>
  <si>
    <t>2015-08-14_18:17 - Logout realizado</t>
  </si>
  <si>
    <t>2015-08-14_18:17 - -------------Fim da exportação transações de projeto-------------</t>
  </si>
  <si>
    <t>2015-08-14_18:23 - -------------Início da exportação transações de projeto-------------</t>
  </si>
  <si>
    <t>2015-08-14_18:23 - Arquivo xog sendo gravado em: C:\xog_movimentacao_servico\xog_20150814_1823.xml</t>
  </si>
  <si>
    <t>2015-08-14_18:23 - Ambiente selecionado: DEV</t>
  </si>
  <si>
    <t>2015-08-14_18:23 -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</si>
  <si>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2015-08-14_18:23 - Enviando requisição de login</t>
  </si>
  <si>
    <t>2015-08-14_18:23 - Login realizado. SessionID capturado: 5730199__46666519-110B-434A-9546-8C530B72D49A</t>
  </si>
  <si>
    <t>2015-08-14_18:23 - Chamando mensagem de requisição</t>
  </si>
  <si>
    <t>2015-08-14_18:23 - Capturando resultado final</t>
  </si>
  <si>
    <t>2015-08-14_18:23 - Efetuando logout</t>
  </si>
  <si>
    <t>2015-08-14_18:23 - Logout realizado</t>
  </si>
  <si>
    <t>2015-08-14_18:23 - -------------Fim da exportação transações de projeto-------------</t>
  </si>
  <si>
    <t>2015-08-14_18:25 - -------------Início da exportação transações de projeto-------------</t>
  </si>
  <si>
    <t>2015-08-14_18:25 - Arquivo xog sendo gravado em: C:\xog_movimentacao_servico\xog_20150814_1825.xml</t>
  </si>
  <si>
    <t>2015-08-14_18:25 - Ambiente selecionado: DEV</t>
  </si>
  <si>
    <t>2015-08-14_18:25 -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</si>
  <si>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2015-08-14_18:25 - Enviando requisição de login</t>
  </si>
  <si>
    <t>2015-08-14_18:25 - Login realizado. SessionID capturado: 5730200__C9609045-873B-4BB9-8790-B88B0A3005EF</t>
  </si>
  <si>
    <t>2015-08-14_18:25 - Chamando mensagem de requisição</t>
  </si>
  <si>
    <t>2015-08-14_18:25 - Capturando resultado final</t>
  </si>
  <si>
    <t>2015-08-14_18:25 - Efetuando logout</t>
  </si>
  <si>
    <t>2015-08-14_18:25 - Logout realizado</t>
  </si>
  <si>
    <t>2015-08-14_18:25 - -------------Fim da exportação transações de projeto-------------</t>
  </si>
  <si>
    <t>2015-08-14_18:26 - -------------Início da exportação transações de projeto-------------</t>
  </si>
  <si>
    <t>2015-08-14_18:26 - Arquivo xog sendo gravado em: C:\xog_movimentacao_servico\xog_20150814_1826.xml</t>
  </si>
  <si>
    <t>2015-08-14_18:26 - Ambiente selecionado: DEV</t>
  </si>
  <si>
    <t>2015-08-14_18:26 -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</si>
  <si>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2015-08-14_18:26 - Enviando requisição de login</t>
  </si>
  <si>
    <t>2015-08-14_18:26 - Login realizado. SessionID capturado: 5730201__2D1BFD92-355C-475D-9478-5C75690497C5</t>
  </si>
  <si>
    <t>2015-08-14_18:26 - Chamando mensagem de requisição</t>
  </si>
  <si>
    <t>2015-08-14_18:26 - Capturando resultado final</t>
  </si>
  <si>
    <t>2015-08-14_18:26 - Efetuando logout</t>
  </si>
  <si>
    <t>2015-08-14_18:26 - Logout realizado</t>
  </si>
  <si>
    <t>2015-08-14_18:26 - -------------Fim da exportação transações de projeto-------------</t>
  </si>
  <si>
    <t>2015-08-14_18:35 - -------------Início da exportação transações de projeto-------------</t>
  </si>
  <si>
    <t>2015-08-14_18:35 - Arquivo xog sendo gravado em: C:\xog_movimentacao_servico\xog_20150814_1835.xml</t>
  </si>
  <si>
    <t>2015-08-14_18:35 - Ambiente selecionado: DEV</t>
  </si>
  <si>
    <t>2015-08-14_18:35 -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</si>
  <si>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2015-08-14_18:35 - Enviando requisição de login</t>
  </si>
  <si>
    <t>2015-08-14_18:35 - Login realizado. SessionID capturado: 5730203__4D380FAB-8108-4B2C-B37B-506B2BF52C56</t>
  </si>
  <si>
    <t>2015-08-14_18:35 - Chamando mensagem de requisição</t>
  </si>
  <si>
    <t>2015-08-14_18:35 - Capturando resultado final</t>
  </si>
  <si>
    <t>2015-08-14_18:35 - Efetuando logout</t>
  </si>
  <si>
    <t>2015-08-14_18:35 - Logout realizado</t>
  </si>
  <si>
    <t>2015-08-14_18:35 - -------------Fim da exportação transações de projeto-------------</t>
  </si>
  <si>
    <t>2015-08-18_12:10 - -------------Início do plano de custo de ativos-------------</t>
  </si>
  <si>
    <t>2015-08-18_12:10 - Arquivo xog sendo gravado em: C:\xog_plan_cost\xog_20150818_1210.xml</t>
  </si>
  <si>
    <t>2015-08-18_12:10 - -------------Fim da exportação plano de custo de ativos-------------</t>
  </si>
  <si>
    <t>2015-08-18_13:27 - -------------Início do plano de custo de ativos-------------</t>
  </si>
  <si>
    <t>2015-08-18_13:27 - Arquivo xog sendo gravado em: C:\xog_plan_cost\xog_20150818_1327.xml</t>
  </si>
  <si>
    <t>2015-08-18_13:27 - -------------Fim da exportação plano de custo de ativos-------------</t>
  </si>
  <si>
    <t>2015-08-18_13:28 - -------------Início do plano de custo de ativos-------------</t>
  </si>
  <si>
    <t>2015-08-18_13:28 - Arquivo xog sendo gravado em: C:\xog_plan_cost\xog_20150818_1328.xml</t>
  </si>
  <si>
    <t>2015-08-18_13:28 - Ambiente selecionado: DEV</t>
  </si>
  <si>
    <t>2015-08-18_13:28 -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</si>
  <si>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2015-08-18_13:28 - Enviando requisição de login</t>
  </si>
  <si>
    <t>2015-08-18_13:28 - Login realizado. SessionID capturado: 5730228__39F399DA-8246-40B3-BD0B-D6AB107D2125</t>
  </si>
  <si>
    <t>2015-08-18_13:28 - Chamando mensagem de requisição</t>
  </si>
  <si>
    <t>2015-08-18_13:28 - Capturando resultado final</t>
  </si>
  <si>
    <t>2015-08-18_13:28 - Efetuando logout</t>
  </si>
  <si>
    <t>2015-08-18_13:28 - Logout realizado</t>
  </si>
  <si>
    <t>2015-08-18_13:28 - -------------Fim da exportação plano de custo de ativos-------------</t>
  </si>
  <si>
    <t>2015-08-18_14:08 - -------------Início do plano de custo de ativos-------------</t>
  </si>
  <si>
    <t>2015-08-18_14:08 - Arquivo xog sendo gravado em: C:\xog_plan_cost\xog_20150818_1408.xml</t>
  </si>
  <si>
    <t>2015-08-18_14:09 - -------------Início do plano de custo de ativos-------------</t>
  </si>
  <si>
    <t>2015-08-18_14:09 - Arquivo xog sendo gravado em: C:\xog_plan_cost\xog_20150818_1409.xml</t>
  </si>
  <si>
    <t>2015-08-18_14:10 - -------------Fim da exportação plano de custo de ativos-------------</t>
  </si>
  <si>
    <t>2015-08-18_14:11 - -------------Início do plano de custo de ativos-------------</t>
  </si>
  <si>
    <t>2015-08-18_14:11 - Arquivo xog sendo gravado em: C:\xog_plan_cost\xog_20150818_1411.xml</t>
  </si>
  <si>
    <t>2015-08-18_14:11 - -------------Fim da exportação plano de custo de ativos-------------</t>
  </si>
  <si>
    <t>2015-08-18_14:12 - -------------Início do plano de custo de ativos-------------</t>
  </si>
  <si>
    <t>2015-08-18_14:12 - Arquivo xog sendo gravado em: C:\xog_plan_cost\xog_20150818_1412.xml</t>
  </si>
  <si>
    <t>2015-08-18_14:12 - -------------Fim da exportação plano de custo de ativos-------------</t>
  </si>
  <si>
    <t>2015-08-18_14:13 - -------------Início do plano de custo de ativos-------------</t>
  </si>
  <si>
    <t>2015-08-18_14:13 - Arquivo xog sendo gravado em: C:\xog_plan_cost\xog_20150818_1413.xml</t>
  </si>
  <si>
    <t>2015-08-18_14:13 - -------------Fim da exportação plano de custo de ativos-------------</t>
  </si>
  <si>
    <t>2015-08-18_14:25 - -------------Início do plano de custo de ativos-------------</t>
  </si>
  <si>
    <t>2015-08-18_14:25 - Arquivo xog sendo gravado em: C:\xog_plan_cost\xog_20150818_1425.xml</t>
  </si>
  <si>
    <t>2015-08-18_14:25 - -------------Fim da exportação plano de custo de ativos-------------</t>
  </si>
  <si>
    <t>2015-08-18_14:51 - -------------Início do plano de custo de ativos-------------</t>
  </si>
  <si>
    <t>2015-08-18_14:51 - Arquivo xog sendo gravado em: C:\xog_plan_cost\xog_20150818_1451.xml</t>
  </si>
  <si>
    <t>2015-08-18_14:51 - Ambiente selecionado: DEV</t>
  </si>
  <si>
    <t>2015-08-18_14:51 -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</si>
  <si>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2015-08-18_14:51 - Enviando requisição de login</t>
  </si>
  <si>
    <t>2015-08-18_14:51 - Login realizado. SessionID capturado: 5730261__B0D74095-881B-44F4-B30D-52CD44526F51</t>
  </si>
  <si>
    <t>2015-08-18_14:51 - Chamando mensagem de requisição</t>
  </si>
  <si>
    <t>2015-08-18_14:51 - Capturando resultado final</t>
  </si>
  <si>
    <t>2015-08-18_14:51 - Efetuando logout</t>
  </si>
  <si>
    <t>2015-08-18_14:51 - Logout realizado</t>
  </si>
  <si>
    <t>2015-08-18_14:51 - -------------Fim da exportação plano de custo de ativos-------------</t>
  </si>
  <si>
    <t>2015-08-19_14:25 - Ambiente selecionado: DEV</t>
  </si>
  <si>
    <t>2015-08-19_14:25 - Escrevendo tarefas...</t>
  </si>
  <si>
    <t>2015-08-19_14:25 - Escrevendo locais...</t>
  </si>
  <si>
    <t>2015-08-19_14:25 - Escrevendo períodos...</t>
  </si>
  <si>
    <t>2015-08-19_14:25 - Escrevendo fornecedores...</t>
  </si>
  <si>
    <t>2015-08-19_14:25 - Escrevendo departamentos...</t>
  </si>
  <si>
    <t>2015-08-19_14:25 - Escrevendo centros de custo...</t>
  </si>
  <si>
    <t>2015-08-19_14:26 - Ambiente selecionado: DEV</t>
  </si>
  <si>
    <t>2015-08-19_14:26 - Escrevendo tarefas...</t>
  </si>
  <si>
    <t>2015-08-19_14:26 - Escrevendo locais...</t>
  </si>
  <si>
    <t>2015-08-19_14:26 - Escrevendo períodos...</t>
  </si>
  <si>
    <t>2015-08-19_14:26 - Escrevendo fornecedores...</t>
  </si>
  <si>
    <t>2015-08-19_14:26 - Escrevendo departamentos...</t>
  </si>
  <si>
    <t>2015-08-19_14:26 - Escrevendo centros de custo...</t>
  </si>
  <si>
    <t>2015-08-19_14:27 - Ambiente selecionado: DEV</t>
  </si>
  <si>
    <t>2015-08-19_14:27 - Escrevendo tarefas...</t>
  </si>
  <si>
    <t>2015-08-19_14:27 - Escrevendo locais...</t>
  </si>
  <si>
    <t>2015-08-19_14:27 - Escrevendo períodos...</t>
  </si>
  <si>
    <t>2015-08-19_14:27 - Escrevendo fornecedores...</t>
  </si>
  <si>
    <t>2015-08-19_14:27 - Escrevendo departamentos...</t>
  </si>
  <si>
    <t>2015-08-19_14:27 - Escrevendo centros de custo...</t>
  </si>
  <si>
    <t>2015-08-19_14:31 - -------------Início do plano de custo de ativos-------------</t>
  </si>
  <si>
    <t>2015-08-19_14:31 - Arquivo xog sendo gravado em: C:\xog_plan_cost\xog_20150819_1431.xml</t>
  </si>
  <si>
    <t>2015-08-19_14:31 - Ambiente selecionado: DEV</t>
  </si>
  <si>
    <t>2015-08-19_14:31 -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</si>
  <si>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2015-08-19_14:31 - Enviando requisição de login</t>
  </si>
  <si>
    <t>2015-08-19_14:31 - Login realizado. SessionID capturado: 5730299__0BD06F77-0D44-465A-8237-683370BC2BEC</t>
  </si>
  <si>
    <t>2015-08-19_14:31 - Chamando mensagem de requisição</t>
  </si>
  <si>
    <t>2015-08-19_14:31 - Capturando resultado final</t>
  </si>
  <si>
    <t>2015-08-19_14:31 - Efetuando logout</t>
  </si>
  <si>
    <t>2015-08-19_14:31 - Logout realizado</t>
  </si>
  <si>
    <t>2015-08-19_14:31 - -------------Fim da exportação plano de custo de ativos-------------</t>
  </si>
  <si>
    <t>2015-08-19_15:04 - Ambiente selecionado: DEV</t>
  </si>
  <si>
    <t>2015-08-19_15:04 - Escrevendo tarefas...</t>
  </si>
  <si>
    <t>2015-08-19_15:04 - Escrevendo locais...</t>
  </si>
  <si>
    <t>2015-08-19_15:04 - Escrevendo períodos...</t>
  </si>
  <si>
    <t>2015-08-19_15:04 - Escrevendo fornecedores...</t>
  </si>
  <si>
    <t>2015-08-19_15:04 - Escrevendo departamentos...</t>
  </si>
  <si>
    <t>2015-08-19_15:04 - Escrevendo centros de custo...</t>
  </si>
  <si>
    <t>2015-08-19_15:07 - -------------Início do plano de custo de ativos-------------</t>
  </si>
  <si>
    <t>2015-08-19_15:07 - Arquivo xog sendo gravado em: C:\xog_plan_cost\xog_20150819_1507.xml</t>
  </si>
  <si>
    <t>2015-08-19_15:07 - Ambiente selecionado: DEV</t>
  </si>
  <si>
    <t>2015-08-19_15:07 -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</si>
  <si>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2015-08-19_15:07 - Enviando requisição de login</t>
  </si>
  <si>
    <t>2015-08-19_15:07 - Login realizado. SessionID capturado: 5730307__A55EBBD7-A8B4-4167-B98C-A574F77075B9</t>
  </si>
  <si>
    <t>2015-08-19_15:07 - Chamando mensagem de requisição</t>
  </si>
  <si>
    <t>2015-08-19_15:07 - Capturando resultado final</t>
  </si>
  <si>
    <t>2015-08-19_15:07 - Efetuando logout</t>
  </si>
  <si>
    <t>2015-08-19_15:07 - Logout realizado</t>
  </si>
  <si>
    <t>2015-08-19_15:07 - -------------Fim da exportação plano de custo de ativos-------------</t>
  </si>
  <si>
    <t>2015-08-19_15:08 - -------------Início do plano de custo de ativos-------------</t>
  </si>
  <si>
    <t>2015-08-19_15:08 - Arquivo xog sendo gravado em: C:\xog_plan_cost\xog_20150819_1508.xml</t>
  </si>
  <si>
    <t>2015-08-19_15:08 - Ambiente selecionado: DEV</t>
  </si>
  <si>
    <t>2015-08-19_15:08 -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</si>
  <si>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2015-08-19_15:08 - Enviando requisição de login</t>
  </si>
  <si>
    <t>2015-08-19_15:08 - Login realizado. SessionID capturado: 5730308__51EEE0CA-4E47-4267-B64F-DDF658383E60</t>
  </si>
  <si>
    <t>2015-08-19_15:08 - Chamando mensagem de requisição</t>
  </si>
  <si>
    <t>2015-08-19_15:08 - Capturando resultado final</t>
  </si>
  <si>
    <t>2015-08-19_15:08 - Efetuando logout</t>
  </si>
  <si>
    <t>2015-08-19_15:08 - Logout realizado</t>
  </si>
  <si>
    <t>2015-08-19_15:08 - -------------Fim da exportação plano de custo de ativos-------------</t>
  </si>
  <si>
    <t>2015-08-19_15:09 - -------------Início do plano de custo de ativos-------------</t>
  </si>
  <si>
    <t>2015-08-19_15:09 - Arquivo xog sendo gravado em: C:\xog_plan_cost\xog_20150819_1509.xml</t>
  </si>
  <si>
    <t>2015-08-19_15:09 - Ambiente selecionado: DEV</t>
  </si>
  <si>
    <t>2015-08-19_15:09 -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</si>
  <si>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2015-08-19_15:09 - Enviando requisição de login</t>
  </si>
  <si>
    <t>2015-08-19_15:09 - Login realizado. SessionID capturado: 5730309__3423B34F-962D-4388-8E6A-ECD91748F781</t>
  </si>
  <si>
    <t>2015-08-19_15:09 - Chamando mensagem de requisição</t>
  </si>
  <si>
    <t>2015-08-19_15:09 - Capturando resultado final</t>
  </si>
  <si>
    <t>2015-08-19_15:09 - Efetuando logout</t>
  </si>
  <si>
    <t>2015-08-19_15:09 - Logout realizado</t>
  </si>
  <si>
    <t>2015-08-19_15:09 - -------------Fim da exportação plano de custo de ativos-------------</t>
  </si>
  <si>
    <t>2015-08-19_15:10 - -------------Início do plano de custo de ativos-------------</t>
  </si>
  <si>
    <t>2015-08-19_15:10 - Arquivo xog sendo gravado em: C:\xog_plan_cost\xog_20150819_1510.xml</t>
  </si>
  <si>
    <t>2015-08-19_15:10 - Ambiente selecionado: DEV</t>
  </si>
  <si>
    <t>2015-08-19_15:10 -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</si>
  <si>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2015-08-19_15:10 - Enviando requisição de login</t>
  </si>
  <si>
    <t>2015-08-19_15:10 - Login realizado. SessionID capturado: 5730310__B5194C48-D614-4989-8781-DA4B8E479F0D</t>
  </si>
  <si>
    <t>2015-08-19_15:10 - Chamando mensagem de requisição</t>
  </si>
  <si>
    <t>2015-08-19_15:11 - Capturando resultado final</t>
  </si>
  <si>
    <t>2015-08-19_15:11 - Efetuando logout</t>
  </si>
  <si>
    <t>2015-08-19_15:11 - Logout realizado</t>
  </si>
  <si>
    <t>2015-08-19_15:11 - -------------Fim da exportação plano de custo de ativos-------------</t>
  </si>
  <si>
    <t>2015-08-19_15:12 - -------------Início do plano de custo de ativos-------------</t>
  </si>
  <si>
    <t>2015-08-19_15:12 - Arquivo xog sendo gravado em: C:\xog_plan_cost\xog_20150819_1512.xml</t>
  </si>
  <si>
    <t>2015-08-19_15:12 - Ambiente selecionado: DEV</t>
  </si>
  <si>
    <t>2015-08-19_15:12 -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</si>
  <si>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2015-08-19_15:12 - Enviando requisição de login</t>
  </si>
  <si>
    <t>2015-08-19_15:12 - Login realizado. SessionID capturado: 5730311__342E1298-0B40-4CB2-9F0C-112EC064B819</t>
  </si>
  <si>
    <t>2015-08-19_15:12 - Chamando mensagem de requisição</t>
  </si>
  <si>
    <t>2015-08-19_15:12 - Capturando resultado final</t>
  </si>
  <si>
    <t>2015-08-19_15:12 - Efetuando logout</t>
  </si>
  <si>
    <t>2015-08-19_15:12 - Logout realizado</t>
  </si>
  <si>
    <t>2015-08-19_15:12 - -------------Fim da exportação plano de custo de ativos-------------</t>
  </si>
  <si>
    <t>2015-08-19_15:13 - -------------Início do plano de custo de ativos-------------</t>
  </si>
  <si>
    <t>2015-08-19_15:13 - Arquivo xog sendo gravado em: C:\xog_plan_cost\xog_20150819_1513.xml</t>
  </si>
  <si>
    <t>2015-08-19_15:13 - Ambiente selecionado: DEV</t>
  </si>
  <si>
    <t>2015-08-19_15:13 -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</si>
  <si>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2015-08-19_15:13 - Enviando requisição de login</t>
  </si>
  <si>
    <t>2015-08-19_15:13 - Login realizado. SessionID capturado: 5730312__D897D076-0156-4F39-9272-AD9CFB1C7EE4</t>
  </si>
  <si>
    <t>2015-08-19_15:13 - Chamando mensagem de requisição</t>
  </si>
  <si>
    <t>2015-08-19_15:13 - Capturando resultado final</t>
  </si>
  <si>
    <t>2015-08-19_15:13 - Efetuando logout</t>
  </si>
  <si>
    <t>2015-08-19_15:13 - Logout realizado</t>
  </si>
  <si>
    <t>2015-08-19_15:13 - -------------Fim da exportação plano de custo de ativos-------------</t>
  </si>
  <si>
    <t>2015-08-19_15:33 - -------------Início da exportação transações de projeto-------------</t>
  </si>
  <si>
    <t>2015-08-19_15:33 - Arquivo xog sendo gravado em: C:\xog_movimentacao_servico\xog_20150819_1533.xml</t>
  </si>
  <si>
    <t>2015-08-19_15:33 - Ambiente selecionado: DEV</t>
  </si>
  <si>
    <t>2015-08-19_15:33 -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</si>
  <si>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2015-08-19_15:33 - Enviando requisição de login</t>
  </si>
  <si>
    <t>2015-08-19_15:33 - Login realizado. SessionID capturado: 5730313__54AA8CEA-62EA-4C1B-92F9-7026BF1D3EE5</t>
  </si>
  <si>
    <t>2015-08-19_15:33 - Chamando mensagem de requisição</t>
  </si>
  <si>
    <t>2015-08-19_15:33 - Capturando resultado final</t>
  </si>
  <si>
    <t>2015-08-19_15:33 - Efetuando logout</t>
  </si>
  <si>
    <t>2015-08-19_15:33 - Logout realizado</t>
  </si>
  <si>
    <t>2015-08-19_15:33 - -------------Fim da exportação transações de projeto-------------</t>
  </si>
  <si>
    <t>2015-08-19_16:32 - Ambiente selecionado: DEV</t>
  </si>
  <si>
    <t>2015-08-19_16:32 - Escrevendo tarefas...</t>
  </si>
  <si>
    <t>2015-08-19_16:32 - Escrevendo locais...</t>
  </si>
  <si>
    <t>2015-08-19_16:32 - Escrevendo períodos...</t>
  </si>
  <si>
    <t>2015-08-19_16:32 - Escrevendo fornecedores...</t>
  </si>
  <si>
    <t>2015-08-19_16:32 - Escrevendo departamentos...</t>
  </si>
  <si>
    <t>2015-08-19_16:32 - Escrevendo centros de custo...</t>
  </si>
  <si>
    <t>2015-08-19_16:36 - -------------Início do plano de custo de ativos-------------</t>
  </si>
  <si>
    <t>2015-08-19_16:36 - Arquivo xog sendo gravado em: C:\xog_plan_cost\xog_20150819_1636.xml</t>
  </si>
  <si>
    <t>2015-08-19_16:36 - Ambiente selecionado: DEV</t>
  </si>
  <si>
    <t>2015-08-19_16:36 -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</si>
  <si>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2015-08-19_16:36 - Enviando requisição de login</t>
  </si>
  <si>
    <t>2015-08-19_16:36 - Login realizado. SessionID capturado: 5730320__1D268030-511F-474B-931D-3F9F95E43BFD</t>
  </si>
  <si>
    <t>2015-08-19_16:36 - Chamando mensagem de requisição</t>
  </si>
  <si>
    <t>2015-08-19_16:36 - Capturando resultado final</t>
  </si>
  <si>
    <t>2015-08-19_16:36 - Efetuando logout</t>
  </si>
  <si>
    <t>2015-08-19_16:36 - Logout realizado</t>
  </si>
  <si>
    <t>2015-08-19_16:36 - -------------Fim da exportação plano de custo de ativos-------------</t>
  </si>
  <si>
    <t>2015-08-19_17:08 - -------------Início do plano de custo de ativos-------------</t>
  </si>
  <si>
    <t>2015-08-19_17:08 - Arquivo xog sendo gravado em: C:\xog_plan_cost\xog_20150819_1708.xml</t>
  </si>
  <si>
    <t>2015-08-19_17:08 - Ambiente selecionado: DEV</t>
  </si>
  <si>
    <t>2015-08-19_17:08 -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</si>
  <si>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2015-08-19_17:08 - Enviando requisição de login</t>
  </si>
  <si>
    <t>2015-08-19_17:08 - Login realizado. SessionID capturado: 5730321__A60AE145-4DB0-4981-83D0-6B984363E54B</t>
  </si>
  <si>
    <t>2015-08-19_17:08 - Chamando mensagem de requisição</t>
  </si>
  <si>
    <t>2015-08-19_17:08 - Capturando resultado final</t>
  </si>
  <si>
    <t>2015-08-19_17:08 - Efetuando logout</t>
  </si>
  <si>
    <t>2015-08-19_17:08 - Logout realizado</t>
  </si>
  <si>
    <t>2015-08-19_17:08 - -------------Fim da exportação plano de custo de ativos-------------</t>
  </si>
  <si>
    <t>2015-08-19_17:13 - -------------Início da exportação transações de projeto-------------</t>
  </si>
  <si>
    <t>2015-08-19_17:13 - Arquivo xog sendo gravado em: C:\xog_movimentacao_servico\xog_20150819_1713.xml</t>
  </si>
  <si>
    <t>2015-08-19_17:13 - Ambiente selecionado: DEV</t>
  </si>
  <si>
    <t>2015-08-19_17:13 -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</si>
  <si>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2015-08-19_17:13 - Enviando requisição de login</t>
  </si>
  <si>
    <t>2015-08-19_17:13 - Login realizado. SessionID capturado: 5730323__618FF32A-5A45-4EA1-8D11-587469918CEE</t>
  </si>
  <si>
    <t>2015-08-19_17:13 - Chamando mensagem de requisição</t>
  </si>
  <si>
    <t>2015-08-19_17:13 - Capturando resultado final</t>
  </si>
  <si>
    <t>2015-08-19_17:13 - Efetuando logout</t>
  </si>
  <si>
    <t>2015-08-19_17:13 - Logout realizado</t>
  </si>
  <si>
    <t>2015-08-19_17:13 - -------------Fim da exportação transações de projeto-------------</t>
  </si>
  <si>
    <t>2015-08-24_18:13 - -------------Início do plano de custo de ativos-------------</t>
  </si>
  <si>
    <t>2015-08-24_18:13 - Arquivo xog sendo gravado em: C:\xog_plan_cost\xog_20150824_1813.xml</t>
  </si>
  <si>
    <t>2015-08-24_18:13 - Ambiente selecionado: DEV</t>
  </si>
  <si>
    <t>2015-08-24_18:13 -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</si>
  <si>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2015-08-24_18:13 - Enviando requisição de login</t>
  </si>
  <si>
    <t>2015-08-24_18:13 - Login realizado. SessionID capturado: 5730492__94D4BC95-78DD-44AF-9B55-888A1D932D9B</t>
  </si>
  <si>
    <t>2015-08-24_18:13 - Chamando mensagem de requisição</t>
  </si>
  <si>
    <t>2015-08-24_18:13 - Capturando resultado final</t>
  </si>
  <si>
    <t>2015-08-24_18:13 - Efetuando logout</t>
  </si>
  <si>
    <t>2015-08-24_18:13 - Logout realizado</t>
  </si>
  <si>
    <t>2015-08-24_18:13 - -------------Fim da exportação plano de custo de serviços-------------</t>
  </si>
  <si>
    <t>2015-08-24_18:16 - Ambiente selecionado: DEV</t>
  </si>
  <si>
    <t>2015-08-24_18:17 - Ambiente selecionado: DEV</t>
  </si>
  <si>
    <t>2015-08-24_18:17 - Escrevendo tarefas...</t>
  </si>
  <si>
    <t>2015-08-24_18:17 - Escrevendo locais...</t>
  </si>
  <si>
    <t>2015-08-24_18:17 - Escrevendo períodos...</t>
  </si>
  <si>
    <t>2015-08-24_18:17 - Escrevendo fornecedores...</t>
  </si>
  <si>
    <t>2015-08-24_18:17 - Escrevendo departamentos...</t>
  </si>
  <si>
    <t>2015-08-24_18:17 - Escrevendo centros de custo...</t>
  </si>
  <si>
    <t>2015-08-24_18:18 - Ambiente selecionado: DEV</t>
  </si>
  <si>
    <t>2015-08-24_18:18 - Escrevendo tarefas...</t>
  </si>
  <si>
    <t>2015-08-24_18:18 - Escrevendo locais...</t>
  </si>
  <si>
    <t>2015-08-24_18:18 - Escrevendo períodos...</t>
  </si>
  <si>
    <t>2015-08-24_18:18 - Escrevendo fornecedores...</t>
  </si>
  <si>
    <t>2015-08-24_18:18 - Escrevendo departamentos...</t>
  </si>
  <si>
    <t>2015-08-24_18:18 - Escrevendo centros de custo...</t>
  </si>
  <si>
    <t>2015-08-24_18:20 - Ambiente selecionado: DEV</t>
  </si>
  <si>
    <t>2015-08-24_18:20 - Escrevendo tarefas...</t>
  </si>
  <si>
    <t>2015-08-24_18:20 - Escrevendo locais...</t>
  </si>
  <si>
    <t>2015-08-24_18:20 - Escrevendo períodos...</t>
  </si>
  <si>
    <t>2015-08-24_18:20 - Escrevendo fornecedores...</t>
  </si>
  <si>
    <t>2015-08-24_18:20 - Escrevendo departamentos...</t>
  </si>
  <si>
    <t>2015-08-24_18:20 - Escrevendo centros de custo...</t>
  </si>
  <si>
    <t>2015-08-24_18:22 - Ambiente selecionado: DEV</t>
  </si>
  <si>
    <t>2015-08-24_18:23 - Escrevendo tarefas...</t>
  </si>
  <si>
    <t>2015-08-24_18:23 - Escrevendo locais...</t>
  </si>
  <si>
    <t>2015-08-24_18:23 - Escrevendo períodos...</t>
  </si>
  <si>
    <t>2015-08-24_18:23 - Escrevendo fornecedores...</t>
  </si>
  <si>
    <t>2015-08-24_18:23 - Escrevendo departamentos...</t>
  </si>
  <si>
    <t>2015-08-24_18:23 - Escrevendo centros de custo...</t>
  </si>
  <si>
    <t>2015-08-24_18:23 - Ambiente selecionado: DEV</t>
  </si>
  <si>
    <t>2015-08-24_18:26 - -------------Início da exportação transações de projeto-------------</t>
  </si>
  <si>
    <t>2015-08-24_18:26 - Arquivo xog sendo gravado em: C:\xog_movimentacao_servico\xog_20150824_1826.xml</t>
  </si>
  <si>
    <t>2015-08-24_18:26 - Ambiente selecionado: DEV</t>
  </si>
  <si>
    <t>2015-08-24_18:26 -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</si>
  <si>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2015-08-24_18:26 - Enviando requisição de login</t>
  </si>
  <si>
    <t>2015-08-24_18:26 - Login realizado. SessionID capturado: 5730525__86AC136D-B74F-4144-BA91-864DDF749DE2</t>
  </si>
  <si>
    <t>2015-08-24_18:26 - Chamando mensagem de requisição</t>
  </si>
  <si>
    <t>2015-08-24_18:26 - Capturando resultado final</t>
  </si>
  <si>
    <t>2015-08-24_18:26 - Efetuando logout</t>
  </si>
  <si>
    <t>2015-08-24_18:26 - Logout realizado</t>
  </si>
  <si>
    <t>2015-08-24_18:26 - -------------Fim da exportação transações de projeto-------------</t>
  </si>
  <si>
    <t>2015-08-24_18:28 - -------------Início do plano de custo de ativos-------------</t>
  </si>
  <si>
    <t>2015-08-24_18:28 - Arquivo xog sendo gravado em: C:\xog_plan_cost\xog_20150824_1828.xml</t>
  </si>
  <si>
    <t>2015-08-24_18:28 - Ambiente selecionado: DEV</t>
  </si>
  <si>
    <t>2015-08-24_18:28 -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</si>
  <si>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2015-08-24_18:28 - Enviando requisição de login</t>
  </si>
  <si>
    <t>2015-08-24_18:28 - Login realizado. SessionID capturado: 5730526__AF6B3556-DAE4-48DC-AC21-F1354DA3A27E</t>
  </si>
  <si>
    <t>2015-08-24_18:28 - Chamando mensagem de requisição</t>
  </si>
  <si>
    <t>2015-08-24_18:28 - Capturando resultado final</t>
  </si>
  <si>
    <t>2015-08-24_18:28 - Efetuando logout</t>
  </si>
  <si>
    <t>2015-08-24_18:28 - Logout realizado</t>
  </si>
  <si>
    <t>2015-08-24_18:28 - -------------Fim da exportação plano de custo de serviços-------------</t>
  </si>
  <si>
    <t>2015-08-25_11:00 - Ambiente selecionado: DEV</t>
  </si>
  <si>
    <t>2015-08-25_11:00 - Escrevendo tarefas...</t>
  </si>
  <si>
    <t>2015-08-25_11:00 - Escrevendo locais...</t>
  </si>
  <si>
    <t>2015-08-25_11:00 - Escrevendo períodos...</t>
  </si>
  <si>
    <t>2015-08-25_11:00 - Escrevendo fornecedores...</t>
  </si>
  <si>
    <t>2015-08-25_11:00 - Escrevendo departamentos...</t>
  </si>
  <si>
    <t>2015-08-25_11:00 - Escrevendo centros de custo...</t>
  </si>
  <si>
    <t>2015-08-26_11:13 - -------------Início do plano de custo de ativos-------------</t>
  </si>
  <si>
    <t>2015-08-26_11:13 - Arquivo xog sendo gravado em: C:\xog_plan_cost\xog_20150826_1113.xml</t>
  </si>
  <si>
    <t>2015-08-26_11:21 - -------------Início do plano de custo de ativos-------------</t>
  </si>
  <si>
    <t>2015-08-26_11:21 - Arquivo xog sendo gravado em: C:\xog_plan_cost\xog_20150826_1121.xml</t>
  </si>
  <si>
    <t>2015-08-26_11:21 - Ambiente selecionado: DEV</t>
  </si>
  <si>
    <t>2015-08-26_11:21 -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</si>
  <si>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2015-08-26_11:21 - Enviando requisição de login</t>
  </si>
  <si>
    <t>2015-08-26_12:28 - Proxy identificado</t>
  </si>
  <si>
    <t>2015-08-26_12:28 - Ambiente selecionado: DEV</t>
  </si>
  <si>
    <t>2015-08-26_12:28 - Escrevendo tarefas...</t>
  </si>
  <si>
    <t>2015-08-26_12:28 - Escrevendo locais...</t>
  </si>
  <si>
    <t>2015-08-26_12:28 - Escrevendo períodos...</t>
  </si>
  <si>
    <t>2015-08-26_12:28 - Escrevendo fornecedores...</t>
  </si>
  <si>
    <t>2015-08-26_12:28 - Escrevendo departamentos...</t>
  </si>
  <si>
    <t>2015-08-26_12:28 - Escrevendo centros de custo...</t>
  </si>
  <si>
    <t>2015-08-26_12:41 - -------------Início do plano de custo de ativos-------------</t>
  </si>
  <si>
    <t>2015-08-26_12:41 - Arquivo xog sendo gravado em: C:\xog_plan_cost\xog_20150826_1241.xml</t>
  </si>
  <si>
    <t>2015-08-26_12:46 - -------------Início do plano de custo de ativos-------------</t>
  </si>
  <si>
    <t>2015-08-26_12:46 - Arquivo xog sendo gravado em: C:\xog_plan_cost\xog_20150826_1246.xml</t>
  </si>
  <si>
    <t>2015-08-26_12:50 - -------------Início do plano de custo de ativos-------------</t>
  </si>
  <si>
    <t>2015-08-26_12:50 - Arquivo xog sendo gravado em: C:\xog_plan_cost\xog_20150826_1250.xml</t>
  </si>
  <si>
    <t>2015-08-26_13:02 - Proxy identificado</t>
  </si>
  <si>
    <t>2015-08-26_13:02 - Ambiente selecionado: DEV</t>
  </si>
  <si>
    <t>2015-08-26_13:02 - Escrevendo tarefas...</t>
  </si>
  <si>
    <t>2015-08-26_13:02 - Escrevendo locais...</t>
  </si>
  <si>
    <t>2015-08-26_13:02 - Escrevendo períodos...</t>
  </si>
  <si>
    <t>2015-08-26_13:02 - Escrevendo fornecedores...</t>
  </si>
  <si>
    <t>2015-08-26_13:02 - Escrevendo departamentos...</t>
  </si>
  <si>
    <t>2015-08-26_13:02 - Escrevendo centros de custo...</t>
  </si>
  <si>
    <t>2015-08-26_14:24 - -------------Início do plano de custo de ativos-------------</t>
  </si>
  <si>
    <t>2015-08-26_14:24 - Arquivo xog sendo gravado em: C:\xog_plan_cost\xog_20150826_1424.xml</t>
  </si>
  <si>
    <t>2015-08-26_14:24 - Proxy identificado</t>
  </si>
  <si>
    <t>2015-08-26_14:24 - Ambiente selecionado: DEV</t>
  </si>
  <si>
    <t>2015-08-26_14:24 -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</si>
  <si>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2015-08-26_14:24 - Enviando requisição de login</t>
  </si>
  <si>
    <t>2015-08-26_14:24 - Login realizado. SessionID capturado: 5730571__053AF0B6-1854-44BE-B6E9-ACD8870ED4B8</t>
  </si>
  <si>
    <t>2015-08-26_14:24 - Chamando mensagem de requisição</t>
  </si>
  <si>
    <t>2015-08-26_14:31 - -------------Início do plano de custo de ativos-------------</t>
  </si>
  <si>
    <t>2015-08-26_14:31 - Arquivo xog sendo gravado em: C:\xog_plan_cost\xog_20150826_1431.xml</t>
  </si>
  <si>
    <t>2015-08-26_14:31 - Proxy identificado</t>
  </si>
  <si>
    <t>2015-08-26_14:31 - Ambiente selecionado: DEV</t>
  </si>
  <si>
    <t>2015-08-26_14:31 -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</si>
  <si>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2015-08-26_14:31 - Enviando requisição de login</t>
  </si>
  <si>
    <t>2015-08-26_14:31 - Login realizado. SessionID capturado: 5730573__690716AC-597A-45F8-9050-C5160598B0CD</t>
  </si>
  <si>
    <t>2015-08-26_14:31 - Chamando mensagem de requisição</t>
  </si>
  <si>
    <t>2015-08-26_14:31 - Capturando resultado final</t>
  </si>
  <si>
    <t>2015-08-26_14:31 - Efetuando logout</t>
  </si>
  <si>
    <t>2015-08-26_14:31 - Logout realizado</t>
  </si>
  <si>
    <t>2015-08-26_14:31 - -------------Fim da exportação plano de custo de serviços-------------</t>
  </si>
  <si>
    <t>2015-08-26_14:46 - -------------Início do plano de custo de ativos-------------</t>
  </si>
  <si>
    <t>2015-08-26_14:46 - Arquivo xog sendo gravado em: C:\xog_plan_cost\xog_20150826_1446.xml</t>
  </si>
  <si>
    <t>2015-08-26_14:46 - Proxy identificado</t>
  </si>
  <si>
    <t>2015-08-26_14:46 - Ambiente selecionado: DEV</t>
  </si>
  <si>
    <t>2015-08-26_14:46 -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</si>
  <si>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2015-08-26_14:46 - Enviando requisição de login</t>
  </si>
  <si>
    <t>2015-08-26_14:46 - Login realizado. SessionID capturado: 5730575__695B6C85-7E82-4858-BD13-3486A272AB73</t>
  </si>
  <si>
    <t>2015-08-26_14:46 - Chamando mensagem de requisição</t>
  </si>
  <si>
    <t>2015-08-26_14:55 - -------------Início do plano de custo de ativos-------------</t>
  </si>
  <si>
    <t>2015-08-26_14:55 - Arquivo xog sendo gravado em: C:\xog_plan_cost\xog_20150826_1455.xml</t>
  </si>
  <si>
    <t>2015-08-26_14:55 - Proxy identificado</t>
  </si>
  <si>
    <t>2015-08-26_14:55 - Ambiente selecionado: DEV</t>
  </si>
  <si>
    <t>2015-08-26_14:55 -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</si>
  <si>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2015-08-26_14:55 - Enviando requisição de login</t>
  </si>
  <si>
    <t>2015-08-26_14:55 - Login realizado. SessionID capturado: 5730576__4830B4F6-04CD-448C-9FBE-392FF96E27F1</t>
  </si>
  <si>
    <t>2015-08-26_14:55 - Chamando mensagem de requisição</t>
  </si>
  <si>
    <t>2015-08-26_14:55 - Capturando resultado final</t>
  </si>
  <si>
    <t>2015-08-26_14:55 - Efetuando logout</t>
  </si>
  <si>
    <t>2015-08-26_14:55 - Logout realizado</t>
  </si>
  <si>
    <t>2015-08-26_14:55 - -------------Fim da exportação plano de custo de serviços-------------</t>
  </si>
  <si>
    <t>2015-08-26_14:57 - Proxy identificado</t>
  </si>
  <si>
    <t>2015-08-26_14:57 - Ambiente selecionado: DEV</t>
  </si>
  <si>
    <t>2015-08-26_14:57 - Escrevendo tarefas...</t>
  </si>
  <si>
    <t>2015-08-26_14:57 - Escrevendo locais...</t>
  </si>
  <si>
    <t>2015-08-26_14:57 - Escrevendo períodos...</t>
  </si>
  <si>
    <t>2015-08-26_14:57 - Escrevendo fornecedores...</t>
  </si>
  <si>
    <t>2015-08-26_14:57 - Escrevendo departamentos...</t>
  </si>
  <si>
    <t>2015-08-26_14:57 - Escrevendo centros de custo...</t>
  </si>
  <si>
    <t>2015-08-26_15:01 - -------------Início do plano de custo de ativos-------------</t>
  </si>
  <si>
    <t>2015-08-26_15:01 - Arquivo xog sendo gravado em: C:\xog_plan_cost\xog_20150826_1501.xml</t>
  </si>
  <si>
    <t>2015-08-26_15:02 - Proxy identificado</t>
  </si>
  <si>
    <t>2015-08-26_15:02 - Ambiente selecionado: DEV</t>
  </si>
  <si>
    <t>2015-08-26_15:02 -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</si>
  <si>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2015-08-26_15:02 - Enviando requisição de login</t>
  </si>
  <si>
    <t>2015-08-26_15:02 - Login realizado. SessionID capturado: 5730583__9E5C1A45-984E-4DBB-803B-5205332F5F51</t>
  </si>
  <si>
    <t>2015-08-26_15:02 - Chamando mensagem de requisição</t>
  </si>
  <si>
    <t>2015-08-26_15:02 - Capturando resultado final</t>
  </si>
  <si>
    <t>2015-08-26_15:02 - Efetuando logout</t>
  </si>
  <si>
    <t>2015-08-26_15:02 - Logout realizado</t>
  </si>
  <si>
    <t>2015-08-26_15:02 - -------------Fim da exportação plano de custo de serviços-------------</t>
  </si>
  <si>
    <t>2015-08-26_15:06 - -------------Início do plano de custo de ativos-------------</t>
  </si>
  <si>
    <t>2015-08-26_15:06 - Arquivo xog sendo gravado em: C:\xog_plan_cost\xog_20150826_1506.xml</t>
  </si>
  <si>
    <t>2015-08-26_15:07 - Proxy identificado</t>
  </si>
  <si>
    <t>2015-08-26_15:07 - Ambiente selecionado: DEV</t>
  </si>
  <si>
    <t>2015-08-26_15:07 -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</si>
  <si>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2015-08-26_15:07 - Enviando requisição de login</t>
  </si>
  <si>
    <t>2015-08-26_15:07 - Login realizado. SessionID capturado: 5730584__18D1F9D3-C83D-476D-9C4F-4099824C9766</t>
  </si>
  <si>
    <t>2015-08-26_15:07 - Chamando mensagem de requisição</t>
  </si>
  <si>
    <t>2015-08-26_15:07 - Capturando resultado final</t>
  </si>
  <si>
    <t>2015-08-26_15:07 - Efetuando logout</t>
  </si>
  <si>
    <t>2015-08-26_15:07 - Logout realizado</t>
  </si>
  <si>
    <t>2015-08-26_15:07 - -------------Fim da exportação plano de custo de serviços-------------</t>
  </si>
  <si>
    <t>2015-08-26_15:24 - -------------Início do plano de custo de ativos-------------</t>
  </si>
  <si>
    <t>2015-08-26_15:24 - Arquivo xog sendo gravado em: C:\xog_plan_cost\xog_20150826_1524.xml</t>
  </si>
  <si>
    <t>2015-08-26_15:24 - Proxy identificado</t>
  </si>
  <si>
    <t>2015-08-26_15:24 - Ambiente selecionado: DEV</t>
  </si>
  <si>
    <t>2015-08-26_15:24 -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</si>
  <si>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2015-08-26_15:24 - Enviando requisição de login</t>
  </si>
  <si>
    <t>2015-08-26_15:24 - Login realizado. SessionID capturado: 5730587__5D78C166-961B-4996-ADFA-108630D0CE87</t>
  </si>
  <si>
    <t>2015-08-26_15:24 - Chamando mensagem de requisição</t>
  </si>
  <si>
    <t>2015-08-26_15:24 - Capturando resultado final</t>
  </si>
  <si>
    <t>2015-08-26_15:24 - Efetuando logout</t>
  </si>
  <si>
    <t>2015-08-26_15:24 - Logout realizado</t>
  </si>
  <si>
    <t>2015-08-26_15:24 - -------------Fim da exportação plano de custo de serviços-------------</t>
  </si>
  <si>
    <t>2015-08-26_15:29 - -------------Início do plano de custo de ativos-------------</t>
  </si>
  <si>
    <t>2015-08-26_15:29 - Arquivo xog sendo gravado em: C:\xog_plan_cost\xog_20150826_1529.xml</t>
  </si>
  <si>
    <t>2015-08-26_15:29 - Proxy identificado</t>
  </si>
  <si>
    <t>2015-08-26_15:29 - Ambiente selecionado: DEV</t>
  </si>
  <si>
    <t>2015-08-26_15:29 -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</si>
  <si>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2015-08-26_15:29 - Enviando requisição de login</t>
  </si>
  <si>
    <t>2015-08-26_15:29 - Login realizado. SessionID capturado: 5730588__7FB25342-8BC2-4931-A4B9-2AC9429C7732</t>
  </si>
  <si>
    <t>2015-08-26_15:29 - Chamando mensagem de requisição</t>
  </si>
  <si>
    <t>2015-08-26_15:29 - Capturando resultado final</t>
  </si>
  <si>
    <t>2015-08-26_15:29 - Efetuando logout</t>
  </si>
  <si>
    <t>2015-08-26_15:29 - Logout realizado</t>
  </si>
  <si>
    <t>2015-08-26_15:29 - -------------Fim da exportação plano de custo de serviços-------------</t>
  </si>
  <si>
    <t>2015-08-26_15:35 - -------------Início do plano de custo de ativos-------------</t>
  </si>
  <si>
    <t>2015-08-26_15:35 - Arquivo xog sendo gravado em: C:\xog_plan_cost\xog_20150826_1535.xml</t>
  </si>
  <si>
    <t>2015-08-26_15:35 - Proxy identificado</t>
  </si>
  <si>
    <t>2015-08-26_15:35 - Ambiente selecionado: DEV</t>
  </si>
  <si>
    <t>2015-08-26_15:35 -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</si>
  <si>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2015-08-26_15:35 - Enviando requisição de login</t>
  </si>
  <si>
    <t>2015-08-26_15:35 - Login realizado. SessionID capturado: 5730591__F352C599-60F0-4CEA-9F6B-DB200286480E</t>
  </si>
  <si>
    <t>2015-08-26_15:35 - Chamando mensagem de requisição</t>
  </si>
  <si>
    <t>2015-08-26_15:35 - Capturando resultado final</t>
  </si>
  <si>
    <t>2015-08-26_15:35 - Efetuando logout</t>
  </si>
  <si>
    <t>2015-08-26_15:35 - Logout realizado</t>
  </si>
  <si>
    <t>2015-08-26_15:35 - -------------Fim da exportação plano de custo de serviços-------------</t>
  </si>
  <si>
    <t>2015-08-26_15:44 - -------------Início do plano de custo de ativos-------------</t>
  </si>
  <si>
    <t>2015-08-26_15:44 - Arquivo xog sendo gravado em: C:\xog_plan_cost\xog_20150826_1544.xml</t>
  </si>
  <si>
    <t>2015-08-26_15:46 - Proxy identificado</t>
  </si>
  <si>
    <t>2015-08-26_15:46 - Ambiente selecionado: DEV</t>
  </si>
  <si>
    <t>2015-08-26_15:46 -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</si>
  <si>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2015-08-26_15:46 - Enviando requisição de login</t>
  </si>
  <si>
    <t>2015-08-26_15:46 - Login realizado. SessionID capturado: 5730596__EFD9AAFA-AFDF-43DA-B4C8-2D1FDC7942D6</t>
  </si>
  <si>
    <t>2015-08-26_15:46 - Chamando mensagem de requisição</t>
  </si>
  <si>
    <t>2015-08-26_15:46 - Capturando resultado final</t>
  </si>
  <si>
    <t>2015-08-26_15:46 - Efetuando logout</t>
  </si>
  <si>
    <t>2015-08-26_15:46 - Logout realizado</t>
  </si>
  <si>
    <t>2015-08-26_15:46 - -------------Fim da exportação plano de custo de serviços-------------</t>
  </si>
  <si>
    <t>2015-08-26_16:08 - -------------Início do plano de custo de ativos-------------</t>
  </si>
  <si>
    <t>2015-08-26_16:08 - Arquivo xog sendo gravado em: C:\xog_plan_cost\xog_20150826_1608.xml</t>
  </si>
  <si>
    <t>2015-08-26_16:08 - Proxy identificado</t>
  </si>
  <si>
    <t>2015-08-26_16:08 - Ambiente selecionado: DEV</t>
  </si>
  <si>
    <t>2015-08-26_16:08 -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</si>
  <si>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2015-08-26_16:08 - Enviando requisição de login</t>
  </si>
  <si>
    <t>2015-08-26_16:08 - Login realizado. SessionID capturado: 5730602__A39F25DA-04A2-4731-9B82-D1D717D1203B</t>
  </si>
  <si>
    <t>2015-08-26_16:08 - Chamando mensagem de requisição</t>
  </si>
  <si>
    <t>2015-08-26_16:08 - Capturando resultado final</t>
  </si>
  <si>
    <t>2015-08-26_16:08 - Efetuando logout</t>
  </si>
  <si>
    <t>2015-08-26_16:08 - Logout realizado</t>
  </si>
  <si>
    <t>2015-08-26_16:08 - -------------Fim da exportação plano de custo de serviços-------------</t>
  </si>
  <si>
    <t>2015-08-26_16:13 - -------------Início do plano de custo de ativos-------------</t>
  </si>
  <si>
    <t>2015-08-26_16:13 - Arquivo xog sendo gravado em: C:\xog_plan_cost\xog_20150826_1613.xml</t>
  </si>
  <si>
    <t>2015-08-26_16:18 - -------------Início do plano de custo de ativos-------------</t>
  </si>
  <si>
    <t>2015-08-26_16:18 - Arquivo xog sendo gravado em: C:\xog_plan_cost\xog_20150826_1618.xml</t>
  </si>
  <si>
    <t>2015-08-26_16:19 - -------------Início do plano de custo de ativos-------------</t>
  </si>
  <si>
    <t>2015-08-26_16:19 - Arquivo xog sendo gravado em: C:\xog_plan_cost\xog_20150826_1619.xml</t>
  </si>
  <si>
    <t>2015-08-26_16:19 - Proxy identificado</t>
  </si>
  <si>
    <t>2015-08-26_16:19 - Ambiente selecionado: DEV</t>
  </si>
  <si>
    <t>2015-08-26_16:19 -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</si>
  <si>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2015-08-26_16:19 - Enviando requisição de login</t>
  </si>
  <si>
    <t>2015-08-26_16:19 - Login realizado. SessionID capturado: 5730603__7116C670-1EE1-4A80-9C6B-18A6288E73F0</t>
  </si>
  <si>
    <t>2015-08-26_16:19 - Chamando mensagem de requisição</t>
  </si>
  <si>
    <t>2015-08-26_16:19 - Capturando resultado final</t>
  </si>
  <si>
    <t>2015-08-26_16:19 - Efetuando logout</t>
  </si>
  <si>
    <t>2015-08-26_16:19 - Logout realizado</t>
  </si>
  <si>
    <t>2015-08-26_16:19 - -------------Fim da exportação plano de custo de serviços-------------</t>
  </si>
  <si>
    <t>2015-08-26_16:40 - -------------Início do plano de custo de ativos-------------</t>
  </si>
  <si>
    <t>2015-08-26_16:40 - Arquivo xog sendo gravado em: C:\xog_plan_cost\xog_20150826_1640.xml</t>
  </si>
  <si>
    <t>2015-08-26_16:40 - Proxy identificado</t>
  </si>
  <si>
    <t>2015-08-26_16:40 - Ambiente selecionado: DEV</t>
  </si>
  <si>
    <t>2015-08-26_16:40 -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</si>
  <si>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2015-08-26_16:40 - Enviando requisição de login</t>
  </si>
  <si>
    <t>2015-08-26_16:40 - Login realizado. SessionID capturado: 5730606__4A0F6BBA-3105-4F2B-B3AE-0EBE3F8A61BA</t>
  </si>
  <si>
    <t>2015-08-26_16:40 - Chamando mensagem de requisição</t>
  </si>
  <si>
    <t>2015-08-26_16:40 - Capturando resultado final</t>
  </si>
  <si>
    <t>2015-08-26_16:40 - Efetuando logout</t>
  </si>
  <si>
    <t>2015-08-26_16:40 - Logout realizado</t>
  </si>
  <si>
    <t>2015-08-26_16:40 - -------------Fim da exportação plano de custo de serviços-------------</t>
  </si>
  <si>
    <t>2015-08-26_16:46 - -------------Início do plano de custo de ativos-------------</t>
  </si>
  <si>
    <t>2015-08-26_16:46 - Arquivo xog sendo gravado em: C:\xog_plan_cost\xog_20150826_1646.xml</t>
  </si>
  <si>
    <t>2015-08-26_16:48 - -------------Início do plano de custo de ativos-------------</t>
  </si>
  <si>
    <t>2015-08-26_16:48 - Arquivo xog sendo gravado em: C:\xog_plan_cost\xog_20150826_1648.xml</t>
  </si>
  <si>
    <t>2015-08-26_16:48 - Proxy identificado</t>
  </si>
  <si>
    <t>2015-08-26_16:48 - Ambiente selecionado: DEV</t>
  </si>
  <si>
    <t>2015-08-26_16:48 -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</si>
  <si>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2015-08-26_16:48 - Enviando requisição de login</t>
  </si>
  <si>
    <t>2015-08-26_16:48 - Login realizado. SessionID capturado: 5730607__0204EC73-A10A-4347-9056-347A2E690198</t>
  </si>
  <si>
    <t>2015-08-26_16:48 - Chamando mensagem de requisição</t>
  </si>
  <si>
    <t>2015-08-26_16:48 - Capturando resultado final</t>
  </si>
  <si>
    <t>2015-08-26_16:48 - Efetuando logout</t>
  </si>
  <si>
    <t>2015-08-26_16:48 - Logout realizado</t>
  </si>
  <si>
    <t>2015-08-26_16:48 - -------------Fim da exportação plano de custo de serviços-------------</t>
  </si>
  <si>
    <t>2015-08-26_17:28 - -------------Início da exportação transações de projeto-------------</t>
  </si>
  <si>
    <t>2015-08-26_17:28 - Arquivo xog sendo gravado em: C:\xog_movimentacao_servico\xog_20150826_1728.xml</t>
  </si>
  <si>
    <t>2015-08-26_17:29 - Proxy identificado</t>
  </si>
  <si>
    <t>2015-08-26_17:29 - Ambiente selecionado: DEV</t>
  </si>
  <si>
    <t>2015-08-26_17:29 -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</si>
  <si>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2015-08-26_17:29 - Enviando requisição de login</t>
  </si>
  <si>
    <t>2015-08-26_17:29 - Login realizado. SessionID capturado: 5730618__AF37D7F6-707E-4FD8-8541-69E0EFA11C1A</t>
  </si>
  <si>
    <t>2015-08-26_17:29 - Chamando mensagem de requisição</t>
  </si>
  <si>
    <t>2015-08-26_17:29 - Capturando resultado final</t>
  </si>
  <si>
    <t>2015-08-26_17:29 - Efetuando logout</t>
  </si>
  <si>
    <t>2015-08-26_17:29 - Logout realizado</t>
  </si>
  <si>
    <t>2015-08-26_17:29 - -------------Fim da exportação transações de projeto-------------</t>
  </si>
  <si>
    <t>2015-08-26_17:37 - -------------Início da exportação transações de projeto-------------</t>
  </si>
  <si>
    <t>2015-08-26_17:37 - Arquivo xog sendo gravado em: C:\xog_movimentacao_servico\xog_20150826_1737.xml</t>
  </si>
  <si>
    <t>2015-08-26_17:37 - Proxy identificado</t>
  </si>
  <si>
    <t>2015-08-26_17:37 - Ambiente selecionado: DEV</t>
  </si>
  <si>
    <t>2015-08-26_17:37 -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</si>
  <si>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2015-08-26_17:37 - Enviando requisição de login</t>
  </si>
  <si>
    <t>2015-08-26_17:37 - Login realizado. SessionID capturado: 5730619__784D14CB-5953-48AF-B4DE-058028F645FD</t>
  </si>
  <si>
    <t>2015-08-26_17:37 - Chamando mensagem de requisição</t>
  </si>
  <si>
    <t>2015-08-26_17:37 - Capturando resultado final</t>
  </si>
  <si>
    <t>2015-08-26_17:37 - Efetuando logout</t>
  </si>
  <si>
    <t>2015-08-26_17:37 - Logout realizado</t>
  </si>
  <si>
    <t>2015-08-26_17:37 - -------------Fim da exportação transações de projeto-------------</t>
  </si>
  <si>
    <t>2015-08-26_17:42 - -------------Início da exportação transações de projeto-------------</t>
  </si>
  <si>
    <t>2015-08-26_17:42 - Arquivo xog sendo gravado em: C:\xog_movimentacao_servico\xog_20150826_1742.xml</t>
  </si>
  <si>
    <t>2015-08-26_17:42 - Proxy identificado</t>
  </si>
  <si>
    <t>2015-08-26_17:42 - Ambiente selecionado: DEV</t>
  </si>
  <si>
    <t>2015-08-26_17:42 -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</si>
  <si>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2015-08-26_17:42 - Enviando requisição de login</t>
  </si>
  <si>
    <t>2015-08-26_17:42 - Login realizado. SessionID capturado: 5730622__9AFD570D-F483-494D-99A0-93391BBFE5F4</t>
  </si>
  <si>
    <t>2015-08-26_17:42 - Chamando mensagem de requisição</t>
  </si>
  <si>
    <t>2015-08-26_17:42 - Capturando resultado final</t>
  </si>
  <si>
    <t>2015-08-26_17:42 - Efetuando logout</t>
  </si>
  <si>
    <t>2015-08-26_17:42 - Logout realizado</t>
  </si>
  <si>
    <t>2015-08-26_17:42 - -------------Fim da exportação transações de projeto-------------</t>
  </si>
  <si>
    <t>2015-08-26_17:49 - -------------Início da exportação transações de projeto-------------</t>
  </si>
  <si>
    <t>2015-08-26_17:49 - Arquivo xog sendo gravado em: C:\xog_movimentacao_servico\xog_20150826_1749.xml</t>
  </si>
  <si>
    <t>2015-08-26_17:50 - Proxy identificado</t>
  </si>
  <si>
    <t>2015-08-26_17:50 - Ambiente selecionado: DEV</t>
  </si>
  <si>
    <t>2015-08-26_17:50 -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</si>
  <si>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2015-08-26_17:50 - Enviando requisição de login</t>
  </si>
  <si>
    <t>2015-08-26_17:50 - Login realizado. SessionID capturado: 5730632__E60A7B3F-6236-43F9-97ED-38F4D84147D3</t>
  </si>
  <si>
    <t>2015-08-26_17:50 - Chamando mensagem de requisição</t>
  </si>
  <si>
    <t>2015-08-26_17:50 - Capturando resultado final</t>
  </si>
  <si>
    <t>2015-08-26_17:50 - Efetuando logout</t>
  </si>
  <si>
    <t>2015-08-26_17:50 - Logout realizado</t>
  </si>
  <si>
    <t>2015-08-26_17:50 - -------------Fim da exportação transações de projeto-------------</t>
  </si>
  <si>
    <t>2015-08-26_17:57 - -------------Início da exportação transações de projeto-------------</t>
  </si>
  <si>
    <t>2015-08-26_17:57 - Arquivo xog sendo gravado em: C:\xog_movimentacao_servico\xog_20150826_1757.xml</t>
  </si>
  <si>
    <t>2015-08-26_17:58 - Proxy identificado</t>
  </si>
  <si>
    <t>2015-08-26_17:58 - Ambiente selecionado: DEV</t>
  </si>
  <si>
    <t>2015-08-26_17:58 -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</si>
  <si>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2015-08-26_17:58 - Enviando requisição de login</t>
  </si>
  <si>
    <t>2015-08-26_17:58 - Login realizado. SessionID capturado: 5730634__50568A08-9885-42A6-8448-18B447F90433</t>
  </si>
  <si>
    <t>2015-08-26_17:58 - Chamando mensagem de requisição</t>
  </si>
  <si>
    <t>2015-08-26_17:58 - Capturando resultado final</t>
  </si>
  <si>
    <t>2015-08-26_17:58 - Efetuando logout</t>
  </si>
  <si>
    <t>2015-08-26_17:58 - Logout realizado</t>
  </si>
  <si>
    <t>2015-08-26_17:58 - -------------Fim da exportação transações de projeto-------------</t>
  </si>
  <si>
    <t>2015-08-26_18:01 - -------------Início da exportação transações de projeto-------------</t>
  </si>
  <si>
    <t>2015-08-26_18:01 - Arquivo xog sendo gravado em: C:\xog_movimentacao_servico\xog_20150826_1801.xml</t>
  </si>
  <si>
    <t>2015-08-26_18:01 - Proxy identificado</t>
  </si>
  <si>
    <t>2015-08-26_18:01 - Ambiente selecionado: DEV</t>
  </si>
  <si>
    <t>2015-08-26_18:01 -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</si>
  <si>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2015-08-26_18:01 - Enviando requisição de login</t>
  </si>
  <si>
    <t>2015-08-26_18:01 - Login realizado. SessionID capturado: 5730641__56E9099A-646E-485F-90D2-52BDD3713550</t>
  </si>
  <si>
    <t>2015-08-26_18:01 - Chamando mensagem de requisição</t>
  </si>
  <si>
    <t>2015-08-26_18:01 - Capturando resultado final</t>
  </si>
  <si>
    <t>2015-08-26_18:01 - Efetuando logout</t>
  </si>
  <si>
    <t>2015-08-26_18:01 - Logout realizado</t>
  </si>
  <si>
    <t>2015-08-26_18:01 - -------------Fim da exportação transações de projeto-------------</t>
  </si>
  <si>
    <t>2015-08-27_11:08 - -------------Início da exportação transações de projeto-------------</t>
  </si>
  <si>
    <t>2015-08-27_11:08 - Arquivo xog sendo gravado em: C:\xog_movimentacao_servico\xog_20150827_1108.xml</t>
  </si>
  <si>
    <t>2015-08-27_11:08 - Ambiente selecionado: DEV</t>
  </si>
  <si>
    <t>2015-08-27_11:08 -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</si>
  <si>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2015-08-27_11:08 - Enviando requisição de login</t>
  </si>
  <si>
    <t>2015-08-27_11:08 - Login realizado. SessionID capturado: 5730747__EE5648B7-70A8-4A43-B7D4-DA7B1F24906B</t>
  </si>
  <si>
    <t>2015-08-27_11:08 - Chamando mensagem de requisição</t>
  </si>
  <si>
    <t>2015-08-27_11:08 - Capturando resultado final</t>
  </si>
  <si>
    <t>2015-08-27_11:08 - Efetuando logout</t>
  </si>
  <si>
    <t>2015-08-27_11:08 - Logout realizado</t>
  </si>
  <si>
    <t>2015-08-27_11:08 - -------------Fim da exportação transações de projeto-------------</t>
  </si>
  <si>
    <t>2015-08-27_11:59 - -------------Início da exportação transações de projeto-------------</t>
  </si>
  <si>
    <t>2015-08-27_11:59 - Arquivo xog sendo gravado em: C:\xog_movimentacao_servico\xog_20150827_1159.xml</t>
  </si>
  <si>
    <t>2015-08-27_11:59 - Ambiente selecionado: DEV</t>
  </si>
  <si>
    <t>2015-08-27_11:59 -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</si>
  <si>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2015-08-27_11:59 - Enviando requisição de login</t>
  </si>
  <si>
    <t>2015-08-27_11:59 - Login realizado. SessionID capturado: 5730751__5BB36CA7-7FB6-417F-B4A6-A7F8AEC2C09B</t>
  </si>
  <si>
    <t>2015-08-27_11:59 - Chamando mensagem de requisição</t>
  </si>
  <si>
    <t>2015-08-27_11:59 - Capturando resultado final</t>
  </si>
  <si>
    <t>2015-08-27_11:59 - Efetuando logout</t>
  </si>
  <si>
    <t>2015-08-27_11:59 - Logout realizado</t>
  </si>
  <si>
    <t>2015-08-27_11:59 - -------------Fim da exportação transações de projeto-------------</t>
  </si>
  <si>
    <t>2015-08-27_12:09 - -------------Início da exportação transações de projeto-------------</t>
  </si>
  <si>
    <t>2015-08-27_12:09 - Arquivo xog sendo gravado em: C:\xog_movimentacao_servico\xog_20150827_1209.xml</t>
  </si>
  <si>
    <t>2015-08-27_12:09 - Ambiente selecionado: DEV</t>
  </si>
  <si>
    <t>2015-08-27_12:09 -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</si>
  <si>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2015-08-27_12:09 - Enviando requisição de login</t>
  </si>
  <si>
    <t>2015-08-27_12:09 - Login realizado. SessionID capturado: 5730754__441E1BAB-A54B-4D8C-93A4-44045B06BD10</t>
  </si>
  <si>
    <t>2015-08-27_12:09 - Chamando mensagem de requisição</t>
  </si>
  <si>
    <t>2015-08-27_12:09 - Capturando resultado final</t>
  </si>
  <si>
    <t>2015-08-27_12:09 - Efetuando logout</t>
  </si>
  <si>
    <t>2015-08-27_12:09 - Logout realizado</t>
  </si>
  <si>
    <t>2015-08-27_12:09 - -------------Fim da exportação transações de projeto-------------</t>
  </si>
  <si>
    <t>2015-08-27_12:18 - -------------Início da exportação transações de projeto-------------</t>
  </si>
  <si>
    <t>2015-08-27_12:18 - Arquivo xog sendo gravado em: C:\xog_movimentacao_servico\xog_20150827_1218.xml</t>
  </si>
  <si>
    <t>2015-08-27_12:18 - Ambiente selecionado: DEV</t>
  </si>
  <si>
    <t>2015-08-27_12:18 -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</si>
  <si>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2015-08-27_12:18 - Enviando requisição de login</t>
  </si>
  <si>
    <t>2015-08-27_12:18 - Login realizado. SessionID capturado: 5730756__DD45EC10-C08E-4039-8911-9C58F2844840</t>
  </si>
  <si>
    <t>2015-08-27_12:18 - Chamando mensagem de requisição</t>
  </si>
  <si>
    <t>2015-08-27_12:18 - Capturando resultado final</t>
  </si>
  <si>
    <t>2015-08-27_12:18 - Efetuando logout</t>
  </si>
  <si>
    <t>2015-08-27_12:18 - Logout realizado</t>
  </si>
  <si>
    <t>2015-08-27_12:18 - -------------Fim da exportação transações de projeto-------------</t>
  </si>
  <si>
    <t>2015-08-27_12:34 - Ambiente selecionado: DEV</t>
  </si>
  <si>
    <t>2015-08-27_12:34 - Escrevendo tarefas...</t>
  </si>
  <si>
    <t>2015-08-27_12:35 - Escrevendo locais...</t>
  </si>
  <si>
    <t>2015-08-27_12:35 - Escrevendo períodos...</t>
  </si>
  <si>
    <t>2015-08-27_12:35 - Escrevendo fornecedores...</t>
  </si>
  <si>
    <t>2015-08-27_12:35 - Escrevendo departamentos...</t>
  </si>
  <si>
    <t>2015-08-27_12:35 - Escrevendo centros de custo...</t>
  </si>
  <si>
    <t>2015-08-27_12:35 - Ambiente selecionado: DEV</t>
  </si>
  <si>
    <t>2015-08-27_12:35 - Escrevendo tarefas...</t>
  </si>
  <si>
    <t>2015-08-27_13:26 - Ambiente selecionado: DEV</t>
  </si>
  <si>
    <t>2015-08-27_13:26 - Escrevendo tarefas...</t>
  </si>
  <si>
    <t>2015-08-27_13:26 - Escrevendo locais...</t>
  </si>
  <si>
    <t>2015-08-27_13:26 - Escrevendo períodos...</t>
  </si>
  <si>
    <t>2015-08-27_13:26 - Escrevendo fornecedores...</t>
  </si>
  <si>
    <t>2015-08-27_13:26 - Escrevendo departamentos...</t>
  </si>
  <si>
    <t>2015-08-27_13:26 - Escrevendo centros de custo...</t>
  </si>
  <si>
    <t>2015-08-27_13:28 - Ambiente selecionado: DEV</t>
  </si>
  <si>
    <t>2015-08-27_13:28 - Escrevendo tarefas...</t>
  </si>
  <si>
    <t>2015-08-27_13:28 - Escrevendo locais...</t>
  </si>
  <si>
    <t>2015-08-27_13:28 - Escrevendo períodos...</t>
  </si>
  <si>
    <t>2015-08-27_13:28 - Escrevendo fornecedores...</t>
  </si>
  <si>
    <t>2015-08-27_13:28 - Escrevendo departamentos...</t>
  </si>
  <si>
    <t>2015-08-27_13:28 - Escrevendo centros de custo...</t>
  </si>
  <si>
    <t>2015-08-27_13:29 - Ambiente selecionado: DEV</t>
  </si>
  <si>
    <t>2015-08-27_13:29 - Escrevendo tarefas...</t>
  </si>
  <si>
    <t>2015-08-27_13:34 - Ambiente selecionado: DEV</t>
  </si>
  <si>
    <t>2015-08-27_13:34 - Escrevendo tarefas...</t>
  </si>
  <si>
    <t>2015-08-27_13:34 - Escrevendo locais...</t>
  </si>
  <si>
    <t>2015-08-27_13:34 - Escrevendo períodos...</t>
  </si>
  <si>
    <t>2015-08-27_13:34 - Escrevendo fornecedores...</t>
  </si>
  <si>
    <t>2015-08-27_13:34 - Escrevendo departamentos...</t>
  </si>
  <si>
    <t>2015-08-27_13:34 - Escrevendo centros de custo...</t>
  </si>
  <si>
    <t>2015-08-27_13:35 - Ambiente selecionado: DEV</t>
  </si>
  <si>
    <t>2015-08-27_13:35 - Escrevendo tarefas...</t>
  </si>
  <si>
    <t>2015-08-27_13:35 - Escrevendo locais...</t>
  </si>
  <si>
    <t>2015-08-27_13:35 - Escrevendo períodos...</t>
  </si>
  <si>
    <t>2015-08-27_13:35 - Escrevendo fornecedores...</t>
  </si>
  <si>
    <t>2015-08-27_13:35 - Escrevendo departamentos...</t>
  </si>
  <si>
    <t>2015-08-27_13:35 - Escrevendo centros de custo...</t>
  </si>
  <si>
    <t>2015-08-27_20:07 - Ambiente selecionado: DEV</t>
  </si>
  <si>
    <t>2015-08-27_20:07 - Escrevendo tarefas...</t>
  </si>
  <si>
    <t>2015-08-27_20:07 - Escrevendo locais...</t>
  </si>
  <si>
    <t>2015-08-27_20:07 - Escrevendo períodos...</t>
  </si>
  <si>
    <t>2015-08-27_20:07 - Escrevendo fornecedores...</t>
  </si>
  <si>
    <t>2015-08-27_20:07 - Escrevendo departamentos...</t>
  </si>
  <si>
    <t>2015-08-27_20:07 - Escrevendo centros de custo...</t>
  </si>
  <si>
    <t>2015-08-27_20:08 - Escrevendo tarefas...</t>
  </si>
  <si>
    <t>2015-08-27_20:08 - Escrevendo locais...</t>
  </si>
  <si>
    <t>2015-08-27_20:08 - Escrevendo períodos...</t>
  </si>
  <si>
    <t>2015-08-27_20:08 - Escrevendo fornecedores...</t>
  </si>
  <si>
    <t>2015-08-27_20:08 - Escrevendo departamentos...</t>
  </si>
  <si>
    <t>2015-08-27_20:23 - -------------Início do plano de custo de ativos-------------</t>
  </si>
  <si>
    <t>2015-08-27_20:23 - Arquivo xog sendo gravado em: C:\xog_plan_cost\xog_20150827_2023.xml</t>
  </si>
  <si>
    <t>2015-08-27_20:23 - Ambiente selecionado: DEV</t>
  </si>
  <si>
    <t>2015-08-27_20:23 -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</si>
  <si>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2015-08-27_20:23 - Enviando requisição de login</t>
  </si>
  <si>
    <t>2015-08-27_20:23 - Login realizado. SessionID capturado: 5730867__50DF2560-8BFF-4A3A-A6E1-F0731E42FD56</t>
  </si>
  <si>
    <t>2015-08-27_20:23 - Chamando mensagem de requisição</t>
  </si>
  <si>
    <t>2015-08-27_20:23 - Capturando resultado final</t>
  </si>
  <si>
    <t>2015-08-27_20:23 - Efetuando logout</t>
  </si>
  <si>
    <t>2015-08-27_20:23 - Logout realizado</t>
  </si>
  <si>
    <t>2015-08-27_20:23 - -------------Fim da exportação plano de custo de serviços-------------</t>
  </si>
  <si>
    <t>2015-08-27_20:26 - -------------Início do plano de custo de ativos-------------</t>
  </si>
  <si>
    <t>2015-08-27_20:26 - Arquivo xog sendo gravado em: C:\xog_plan_cost\xog_20150827_2026.xml</t>
  </si>
  <si>
    <t>2015-08-27_20:26 - Ambiente selecionado: DEV</t>
  </si>
  <si>
    <t>2015-08-27_20:26 -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</si>
  <si>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2015-08-27_20:26 - Enviando requisição de login</t>
  </si>
  <si>
    <t>2015-08-27_20:26 - Login realizado. SessionID capturado: 5730868__C620818F-0B00-4775-BC47-A007BC898AA3</t>
  </si>
  <si>
    <t>2015-08-27_20:26 - Chamando mensagem de requisição</t>
  </si>
  <si>
    <t>2015-08-27_20:26 - Capturando resultado final</t>
  </si>
  <si>
    <t>2015-08-27_20:26 - Efetuando logout</t>
  </si>
  <si>
    <t>2015-08-27_20:26 - Logout realizado</t>
  </si>
  <si>
    <t>2015-08-27_20:26 - -------------Fim da exportação plano de custo de serviços-------------</t>
  </si>
  <si>
    <t>2015-08-27_20:31 - -------------Início do plano de custo de ativos-------------</t>
  </si>
  <si>
    <t>2015-08-27_20:31 - Arquivo xog sendo gravado em: C:\xog_plan_cost\xog_20150827_2031.xml</t>
  </si>
  <si>
    <t>2015-08-27_20:31 - Ambiente selecionado: DEV</t>
  </si>
  <si>
    <t>2015-08-27_20:31 -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</si>
  <si>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2015-08-27_20:31 - Enviando requisição de login</t>
  </si>
  <si>
    <t>2015-08-27_20:31 - Login realizado. SessionID capturado: 5730869__B7B1A21C-D692-4F7A-8B8E-64B152B08F23</t>
  </si>
  <si>
    <t>2015-08-27_20:31 - Chamando mensagem de requisição</t>
  </si>
  <si>
    <t>2015-08-27_20:31 - Capturando resultado final</t>
  </si>
  <si>
    <t>2015-08-27_20:31 - Efetuando logout</t>
  </si>
  <si>
    <t>2015-08-27_20:31 - Logout realizado</t>
  </si>
  <si>
    <t>2015-08-27_20:31 - -------------Fim da exportação plano de custo de serviços-------------</t>
  </si>
  <si>
    <t>2015-08-27_20:34 - -------------Início do plano de custo de ativos-------------</t>
  </si>
  <si>
    <t>2015-08-27_20:34 - Arquivo xog sendo gravado em: C:\xog_plan_cost\xog_20150827_2034.xml</t>
  </si>
  <si>
    <t>2015-08-27_20:35 - -------------Início da exportação transações de projeto-------------</t>
  </si>
  <si>
    <t>2015-08-27_20:35 - Arquivo xog sendo gravado em: C:\xog_movimentacao_servico\xog_20150827_2035.xml</t>
  </si>
  <si>
    <t>2015-08-27_20:35 - Ambiente selecionado: DEV</t>
  </si>
  <si>
    <t>2015-08-27_20:35 -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</si>
  <si>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2015-08-27_20:35 - Enviando requisição de login</t>
  </si>
  <si>
    <t>2015-08-27_20:35 - Login realizado. SessionID capturado: 5730870__33170C51-9772-44E8-A067-36565D560966</t>
  </si>
  <si>
    <t>2015-08-27_20:35 - Chamando mensagem de requisição</t>
  </si>
  <si>
    <t>2015-08-27_20:35 - Capturando resultado final</t>
  </si>
  <si>
    <t>2015-08-27_20:35 - Efetuando logout</t>
  </si>
  <si>
    <t>2015-08-27_20:35 - Logout realizado</t>
  </si>
  <si>
    <t>2015-08-27_20:35 - -------------Fim da exportação transações de projeto-------------</t>
  </si>
  <si>
    <t>2015-08-28_09:31 - Ambiente selecionado: DEV</t>
  </si>
  <si>
    <t>2015-08-28_09:31 - Escrevendo tarefas...</t>
  </si>
  <si>
    <t>2015-08-28_09:31 - Escrevendo locais...</t>
  </si>
  <si>
    <t>2015-08-28_09:31 - Escrevendo períodos...</t>
  </si>
  <si>
    <t>2015-08-28_09:31 - Escrevendo fornecedores...</t>
  </si>
  <si>
    <t>2015-08-28_09:31 - Escrevendo departamentos...</t>
  </si>
  <si>
    <t>2015-08-28_09:31 - Escrevendo centros de custo...</t>
  </si>
  <si>
    <t>2015-08-28_09:33 - Escrevendo centros de custo...</t>
  </si>
  <si>
    <t>2015-08-28_09:33 - Ambiente selecionado: DEV</t>
  </si>
  <si>
    <t>2015-08-28_09:33 - Escrevendo tarefas...</t>
  </si>
  <si>
    <t>2015-08-28_09:33 - Escrevendo locais...</t>
  </si>
  <si>
    <t>2015-08-28_09:33 - Escrevendo períodos...</t>
  </si>
  <si>
    <t>2015-08-28_09:33 - Escrevendo fornecedores...</t>
  </si>
  <si>
    <t>2015-08-28_09:34 - Escrevendo departamentos...</t>
  </si>
  <si>
    <t>2015-08-28_09:34 - Escrevendo centros de custo...</t>
  </si>
  <si>
    <t>2015-08-28_09:34 - Ambiente selecionado: DEV</t>
  </si>
  <si>
    <t>2015-08-28_09:34 - Escrevendo tarefas...</t>
  </si>
  <si>
    <t>2015-08-28_09:34 - Escrevendo locais...</t>
  </si>
  <si>
    <t>2015-08-28_09:36 - Escrevendo períodos...</t>
  </si>
  <si>
    <t>2015-08-28_09:36 - Escrevendo fornecedores...</t>
  </si>
  <si>
    <t>2015-08-28_09:36 - Escrevendo departamentos...</t>
  </si>
  <si>
    <t>2015-08-28_09:36 - Escrevendo centros de custo...</t>
  </si>
  <si>
    <t>2015-08-28_09:36 - Ambiente selecionado: DEV</t>
  </si>
  <si>
    <t>2015-08-28_09:36 - Escrevendo tarefas...</t>
  </si>
  <si>
    <t>2015-08-28_09:36 - Escrevendo locais...</t>
  </si>
  <si>
    <t>2015-08-28_14:05 - -------------Início da exportação transações de projeto-------------</t>
  </si>
  <si>
    <t>2015-08-28_14:05 - Arquivo xog sendo gravado em: C:\xog_movimentacao_servico\xog_20150828_1405.xml</t>
  </si>
  <si>
    <t>2015-08-28_14:05 - Ambiente selecionado: DEV</t>
  </si>
  <si>
    <t>2015-08-28_14:05 -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</si>
  <si>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2015-08-28_14:05 - Enviando requisição de login</t>
  </si>
  <si>
    <t>2015-08-28_14:06 - Login realizado. SessionID capturado: 5730951__FD23844A-CC81-4545-BC25-2C0B7CD9921F</t>
  </si>
  <si>
    <t>2015-08-28_14:06 - Chamando mensagem de requisição</t>
  </si>
  <si>
    <t>2015-08-28_14:06 - Capturando resultado final</t>
  </si>
  <si>
    <t>2015-08-28_14:06 - Efetuando logout</t>
  </si>
  <si>
    <t>2015-08-28_14:06 - Logout realizado</t>
  </si>
  <si>
    <t>2015-08-28_14:06 - -------------Fim da exportação transações de projeto-------------</t>
  </si>
  <si>
    <t>2015-08-30_18:34 - Ambiente selecionado: DEV</t>
  </si>
  <si>
    <t>2015-08-30_18:34 - Escrevendo tarefas...</t>
  </si>
  <si>
    <t>2015-08-30_18:34 - Escrevendo locais...</t>
  </si>
  <si>
    <t>2015-08-30_18:34 - Escrevendo períodos...</t>
  </si>
  <si>
    <t>2015-08-30_18:34 - Escrevendo fornecedores...</t>
  </si>
  <si>
    <t>2015-08-30_18:34 - Escrevendo departamentos...</t>
  </si>
  <si>
    <t>2015-08-30_18:34 - Escrevendo centros de custo...</t>
  </si>
  <si>
    <t>2015-08-30_18:36 - Escrevendo centros de custo...</t>
  </si>
  <si>
    <t>2015-08-30_18:36 - Ambiente selecionado: DEV</t>
  </si>
  <si>
    <t>2015-08-30_18:39 - Ambiente selecionado: DEV</t>
  </si>
  <si>
    <t>2015-08-30_18:39 - Escrevendo tarefas...</t>
  </si>
  <si>
    <t>2015-08-30_18:39 - Escrevendo locais...</t>
  </si>
  <si>
    <t>2015-08-30_18:39 - Escrevendo períodos...</t>
  </si>
  <si>
    <t>2015-08-30_18:39 - Escrevendo fornecedores...</t>
  </si>
  <si>
    <t>2015-08-30_18:40 - Escrevendo departamentos...</t>
  </si>
  <si>
    <t>2015-08-30_18:40 - Escrevendo centros de custo...</t>
  </si>
  <si>
    <t>2015-08-30_18:40 - Ambiente selecionado: DEV</t>
  </si>
  <si>
    <t>2015-08-30_18:40 - Escrevendo tarefas...</t>
  </si>
  <si>
    <t>2015-08-30_18:40 - Escrevendo locais...</t>
  </si>
  <si>
    <t>2015-08-30_18:41 - Escrevendo períodos...</t>
  </si>
  <si>
    <t>2015-08-30_18:41 - Escrevendo fornecedores...</t>
  </si>
  <si>
    <t>2015-08-30_18:41 - Escrevendo departamentos...</t>
  </si>
  <si>
    <t>2015-08-30_18:41 - Escrevendo centros de custo...</t>
  </si>
  <si>
    <t>2015-08-30_18:41 - Ambiente selecionado: DEV</t>
  </si>
  <si>
    <t>2015-08-30_18:42 - Ambiente selecionado: DEV</t>
  </si>
  <si>
    <t>2015-08-30_18:42 - Escrevendo tarefas...</t>
  </si>
  <si>
    <t>2015-08-30_18:42 - Escrevendo locais...</t>
  </si>
  <si>
    <t>2015-08-30_18:42 - Escrevendo períodos...</t>
  </si>
  <si>
    <t>2015-08-30_18:42 - Escrevendo fornecedores...</t>
  </si>
  <si>
    <t>2015-08-30_18:42 - Escrevendo departamentos...</t>
  </si>
  <si>
    <t>2015-08-30_18:42 - Escrevendo centros de custo...</t>
  </si>
  <si>
    <t>2016-03-10_11:50 - -------------Início do plano de custo de ativos-------------</t>
  </si>
  <si>
    <t>2016-03-10_11:50 - Arquivo xog sendo gravado em: C:\task\task_20160310_1150.xml</t>
  </si>
  <si>
    <t>2016-03-10_11:51 - -------------Início do plano de custo de ativos-------------</t>
  </si>
  <si>
    <t>2016-03-10_11:51 - Arquivo xog sendo gravado em: C:\task\task_20160310_1151.xml</t>
  </si>
  <si>
    <t>2016-03-10_11:52 - -------------Início do plano de custo de ativos-------------</t>
  </si>
  <si>
    <t>2016-03-10_11:52 - Arquivo xog sendo gravado em: C:\task\task_20160310_1152.xml</t>
  </si>
  <si>
    <t>2016-03-10_11:53 - Proxy identificado</t>
  </si>
  <si>
    <t>2016-03-10_11:53 - Ambiente selecionado: TEST</t>
  </si>
  <si>
    <t>2016-03-10_11:53 - Requisição de login: &lt;soapenv:Envelope xmlns:soapenv="http://schemas.xmlsoap.org/soap/envelope/" xmlns:xog="http://www.niku.com/xog"&gt;&lt;soapenv:Header/&gt;&lt;soapenv:Body&gt;&lt;xog:Login&gt;&lt;xog:Username&gt;admindtt&lt;/xog:Username&gt;&lt;xog:Password&gt;asd&lt;/xog:Password&gt;&lt;/xog:Login&gt;&lt;/soapenv:Body&gt;&lt;/soapenv:Envelope&gt;</t>
  </si>
  <si>
    <t>2016-03-10_11:53 - -------------Fim da exportação plano de custo de serviços-------------</t>
  </si>
  <si>
    <t>2016-03-10_15:55 - -------------Início do plano de custo de ativos-------------</t>
  </si>
  <si>
    <t>2016-03-10_15:55 - Arquivo xog sendo gravado em: C:\task\task_20160310_1555.xml</t>
  </si>
  <si>
    <t>2016-03-10_15:56 - -------------Início do plano de custo de ativos-------------</t>
  </si>
  <si>
    <t>2016-03-10_15:56 - Arquivo xog sendo gravado em: C:\task\task_20160310_1556.xml</t>
  </si>
  <si>
    <t>2016-03-10_15:58 - -------------Início do plano de custo de ativos-------------</t>
  </si>
  <si>
    <t>2016-03-10_15:58 - Arquivo xog sendo gravado em: C:\task\task_20160310_1558.xml</t>
  </si>
  <si>
    <t>2016-03-10_15:59 - -------------Início do plano de custo de ativos-------------</t>
  </si>
  <si>
    <t>2016-03-10_15:59 - Arquivo xog sendo gravado em: C:\task\task_20160310_1559.xml</t>
  </si>
  <si>
    <t>2016-03-10_16:00 - -------------Início do plano de custo de ativos-------------</t>
  </si>
  <si>
    <t>2016-03-10_16:00 - Arquivo xog sendo gravado em: C:\task\task_20160310_1600.xml</t>
  </si>
  <si>
    <t>2016-03-10_16:01 - Proxy identificado</t>
  </si>
  <si>
    <t>2016-03-10_16:01 - Ambiente selecionado: TEST</t>
  </si>
  <si>
    <t>2016-03-10_16:01 - Requisição de login: &lt;soapenv:Envelope xmlns:soapenv="http://schemas.xmlsoap.org/soap/envelope/" xmlns:xog="http://www.niku.com/xog"&gt;&lt;soapenv:Header/&gt;&lt;soapenv:Body&gt;&lt;xog:Login&gt;&lt;xog:Username&gt;admindtt&lt;/xog:Username&gt;&lt;xog:Password&gt;asd&lt;/xog:Password&gt;&lt;/xog:Login&gt;&lt;/soapenv:Body&gt;&lt;/soapenv:Envelope&gt;</t>
  </si>
  <si>
    <t>2016-03-10_16:01 - -------------Fim da exportação plano de custo de serviços-------------</t>
  </si>
  <si>
    <t>2016-03-10_16:14 - -------------Início do plano de custo de ativos-------------</t>
  </si>
  <si>
    <t>2016-03-10_16:14 - Arquivo xog sendo gravado em: C:\task\task_20160310_1614.xml</t>
  </si>
  <si>
    <t>2016-03-10_16:14 - Proxy identificado</t>
  </si>
  <si>
    <t>2016-03-10_16:14 - Ambiente selecionado: TEST</t>
  </si>
  <si>
    <t>2016-03-10_16:14 - Requisição de login: &lt;soapenv:Envelope xmlns:soapenv="http://schemas.xmlsoap.org/soap/envelope/" xmlns:xog="http://www.niku.com/xog"&gt;&lt;soapenv:Header/&gt;&lt;soapenv:Body&gt;&lt;xog:Login&gt;&lt;xog:Username&gt;admindtt&lt;/xog:Username&gt;&lt;xog:Password&gt;asd&lt;/xog:Password&gt;&lt;/xog:Login&gt;&lt;/soapenv:Body&gt;&lt;/soapenv:Envelope&gt;</t>
  </si>
  <si>
    <t>2016-03-10_16:14 - -------------Fim da exportação plano de custo de serviços-------------</t>
  </si>
  <si>
    <t>2016-03-10_16:16 - -------------Início do plano de custo de ativos-------------</t>
  </si>
  <si>
    <t>2016-03-10_16:16 - Arquivo xog sendo gravado em: C:\task\task_20160310_1616.xml</t>
  </si>
  <si>
    <t>2016-03-10_16:16 - Proxy identificado</t>
  </si>
  <si>
    <t>2016-03-10_16:16 - Ambiente selecionado: TEST</t>
  </si>
  <si>
    <t>2016-03-10_16:16 -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</si>
  <si>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2016-03-10_16:16 - -------------Fim da exportação plano de custo de serviços-------------</t>
  </si>
  <si>
    <t>2016-03-10_16:25 - -------------Início do plano de custo de ativos-------------</t>
  </si>
  <si>
    <t>2016-03-10_16:25 - Arquivo xog sendo gravado em: C:\task\task_20160310_1625.xml</t>
  </si>
  <si>
    <t>2016-03-10_16:25 - Proxy identificado</t>
  </si>
  <si>
    <t>2016-03-10_16:25 - Ambiente selecionado: TEST</t>
  </si>
  <si>
    <t>2016-03-10_16:25 -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</si>
  <si>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2016-03-10_16:25 - -------------Fim da exportação plano de custo de serviços-------------</t>
  </si>
  <si>
    <t>2016-03-10_16:27 - -------------Início do plano de custo de ativos-------------</t>
  </si>
  <si>
    <t>2016-03-10_16:27 - Arquivo xog sendo gravado em: C:\task\task_20160310_1627.xml</t>
  </si>
  <si>
    <t>2016-03-10_16:27 - Proxy identificado</t>
  </si>
  <si>
    <t>2016-03-10_16:27 - Ambiente selecionado: TEST</t>
  </si>
  <si>
    <t>2016-03-10_16:27 -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</si>
  <si>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2016-03-10_16:28 - Enviando requisição de login</t>
  </si>
  <si>
    <t>2016-03-10_16:28 - Login realizado. SessionID capturado: 10244693__F1E0036F-DF7D-40EF-A3EB-BCA33F5959E4</t>
  </si>
  <si>
    <t>2016-03-10_16:28 - Chamando mensagem de requisição</t>
  </si>
  <si>
    <t>2016-03-10_16:28 - Capturando resultado final</t>
  </si>
  <si>
    <t>2016-03-10_16:28 - Efetuando logout</t>
  </si>
  <si>
    <t>2016-03-10_16:28 - Logout realizado</t>
  </si>
  <si>
    <t>2016-03-10_16:28 - -------------Fim da exportação plano de custo de serviços-------------</t>
  </si>
  <si>
    <t>2016-03-10_16:29 - -------------Início do plano de custo de ativos-------------</t>
  </si>
  <si>
    <t>2016-03-10_16:29 - Arquivo xog sendo gravado em: C:\task\task_20160310_1629.xml</t>
  </si>
  <si>
    <t>2016-03-10_16:29 - Proxy identificado</t>
  </si>
  <si>
    <t>2016-03-10_16:29 - Ambiente selecionado: TEST</t>
  </si>
  <si>
    <t>2016-03-10_16:29 -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</si>
  <si>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2016-03-10_16:29 - Enviando requisição de login</t>
  </si>
  <si>
    <t>2016-03-10_16:29 - Login realizado. SessionID capturado: 10244725__F447DD2A-B055-4BFD-8007-88950DBBFB89</t>
  </si>
  <si>
    <t>2016-03-10_16:29 - Chamando mensagem de requisição</t>
  </si>
  <si>
    <t>2016-03-10_16:29 - Capturando resultado final</t>
  </si>
  <si>
    <t>2016-03-10_16:29 - Efetuando logout</t>
  </si>
  <si>
    <t>2016-03-10_16:29 - Logout realizado</t>
  </si>
  <si>
    <t>2016-03-10_16:29 - -------------Fim da exportação plano de custo de serviços-------------</t>
  </si>
  <si>
    <t>2016-03-10_16:31 - -------------Início do plano de custo de ativos-------------</t>
  </si>
  <si>
    <t>2016-03-10_16:31 - Arquivo xog sendo gravado em: C:\task\task_20160310_1631.xml</t>
  </si>
  <si>
    <t>2016-03-10_16:31 - Proxy identificado</t>
  </si>
  <si>
    <t>2016-03-10_16:31 - Ambiente selecionado: TEST</t>
  </si>
  <si>
    <t>2016-03-10_16:31 -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</si>
  <si>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2016-03-10_16:31 - Enviando requisição de login</t>
  </si>
  <si>
    <t>2016-03-10_16:31 - Login realizado. SessionID capturado: 10244780__68520E7F-3E1D-4AA5-AE8C-B846FFFF3A5D</t>
  </si>
  <si>
    <t>2016-03-10_16:31 - Chamando mensagem de requisição</t>
  </si>
  <si>
    <t>2016-03-10_16:31 - Capturando resultado final</t>
  </si>
  <si>
    <t>2016-03-10_16:31 - Efetuando logout</t>
  </si>
  <si>
    <t>2016-03-10_16:31 - Logout realizado</t>
  </si>
  <si>
    <t>2016-03-10_16:31 - -------------Fim da exportação plano de custo de serviços-------------</t>
  </si>
  <si>
    <t>ID</t>
  </si>
  <si>
    <t>ORGANOGRAMA</t>
  </si>
  <si>
    <t>INFORMAÇÕES DOS RECURSOS</t>
  </si>
  <si>
    <t>2017-03-06_15:43 - -------------Início do plano de custo de ativos-------------</t>
  </si>
  <si>
    <t>2017-03-06_15:43 - Arquivo xog sendo gravado em: C:\xog\resource\resource_write_20170306_1543.xml</t>
  </si>
  <si>
    <t>2017-03-06_16:10 - -------------Início do plano de custo de ativos-------------</t>
  </si>
  <si>
    <t>2017-03-06_16:10 - Arquivo xog sendo gravado em: C:\xog\resource\resource_write_20170306_1610.xml</t>
  </si>
  <si>
    <t>2017-03-06_16:17 - -------------Início do plano de custo de ativos-------------</t>
  </si>
  <si>
    <t>2017-03-06_16:17 - Arquivo xog sendo gravado em: C:\xog\resource\resource_write_20170306_1617.xml</t>
  </si>
  <si>
    <t>2017-03-06_16:28 - -------------Início do plano de custo de ativos-------------</t>
  </si>
  <si>
    <t>2017-03-06_16:28 - Arquivo xog sendo gravado em: C:\xog\resource\resource_write_20170306_1628.xml</t>
  </si>
  <si>
    <t>2017-03-06_16:30 - -------------Início do plano de custo de ativos-------------</t>
  </si>
  <si>
    <t>2017-03-06_16:30 - Arquivo xog sendo gravado em: C:\xog\resource\resource_write_20170306_1630.xml</t>
  </si>
  <si>
    <t>2017-03-06_16:32 - -------------Início do plano de custo de ativos-------------</t>
  </si>
  <si>
    <t>2017-03-06_16:32 - Arquivo xog sendo gravado em: C:\xog\resource\resource_write_20170306_1632.xml</t>
  </si>
  <si>
    <t>2017-03-06_16:38 - -------------Início do plano de custo de ativos-------------</t>
  </si>
  <si>
    <t>2017-03-06_16:38 - Arquivo xog sendo gravado em: C:\xog\resource\resource_write_20170306_1638.xml</t>
  </si>
  <si>
    <t>2017-03-06_16:39 - -------------Início do plano de custo de ativos-------------</t>
  </si>
  <si>
    <t>2017-03-06_16:39 - Arquivo xog sendo gravado em: C:\xog\resource\resource_write_20170306_1639.xml</t>
  </si>
  <si>
    <t>2017-03-06_16:42 - -------------Início do plano de custo de ativos-------------</t>
  </si>
  <si>
    <t>2017-03-06_16:42 - Arquivo xog sendo gravado em: C:\xog\resource\resource_write_20170306_1642.xml</t>
  </si>
  <si>
    <t>2017-03-06_16:44 - -------------Início do plano de custo de ativos-------------</t>
  </si>
  <si>
    <t>2017-03-06_16:44 - Arquivo xog sendo gravado em: C:\xog\resource\resource_write_20170306_1644.xml</t>
  </si>
  <si>
    <t>2017-03-06_16:45 - -------------Início do plano de custo de ativos-------------</t>
  </si>
  <si>
    <t>2017-03-06_16:45 - Arquivo xog sendo gravado em: C:\xog\resource\resource_write_20170306_1645.xml</t>
  </si>
  <si>
    <t>2017-03-06_16:47 - -------------Início do plano de custo de ativos-------------</t>
  </si>
  <si>
    <t>2017-03-06_16:47 - Arquivo xog sendo gravado em: C:\xog\resource\resource_write_20170306_1647.xml</t>
  </si>
  <si>
    <t>2017-03-06_16:49 - -------------Início do plano de custo de ativos-------------</t>
  </si>
  <si>
    <t>2017-03-06_16:49 - Arquivo xog sendo gravado em: C:\xog\resource\resource_write_20170306_1649.xml</t>
  </si>
  <si>
    <t>2017-03-06_16:51 - -------------Início do plano de custo de ativos-------------</t>
  </si>
  <si>
    <t>2017-03-06_16:51 - Arquivo xog sendo gravado em: C:\xog\resource\resource_write_20170306_1651.xml</t>
  </si>
  <si>
    <t>2017-03-06_16:52 - -------------Início do plano de custo de ativos-------------</t>
  </si>
  <si>
    <t>2017-03-06_16:52 - Arquivo xog sendo gravado em: C:\xog\resource\resource_write_20170306_1652.xml</t>
  </si>
  <si>
    <t>2017-03-06_16:58 - -------------Início do plano de custo de ativos-------------</t>
  </si>
  <si>
    <t>2017-03-06_16:58 - Arquivo xog sendo gravado em: C:\xog\resource\resource_write_20170306_1658.xml</t>
  </si>
  <si>
    <t>ADDRESS</t>
  </si>
  <si>
    <t>CLIENT</t>
  </si>
  <si>
    <t>USER</t>
  </si>
  <si>
    <t>PASS</t>
  </si>
  <si>
    <t>2017-03-08_10:15 - -------------Início do plano de custo de ativos-------------</t>
  </si>
  <si>
    <t>2017-03-08_10:15 - Arquivo xog sendo gravado em: C:\xog\resource\user_write_20170308_1015.xml</t>
  </si>
  <si>
    <t>2017-03-08_11:04 - -------------Início do plano de custo de ativos-------------</t>
  </si>
  <si>
    <t>2017-03-08_11:04 - Arquivo xog sendo gravado em: C:\xog\resource\resource_write_20170308_1104.xml</t>
  </si>
  <si>
    <t>2017-03-08_11:10 - -------------Início do plano de custo de ativos-------------</t>
  </si>
  <si>
    <t>2017-03-08_11:10 - Arquivo xog sendo gravado em: C:\xog\resource\user_write_20170308_1110.xml</t>
  </si>
  <si>
    <t>2017-03-08_11:14 - -------------Início do plano de custo de ativos-------------</t>
  </si>
  <si>
    <t>2017-03-08_11:14 - Arquivo xog sendo gravado em: C:\xog\resource\user_write_20170308_1114.xml</t>
  </si>
  <si>
    <t>2017-03-08_11:39 - -------------Início do plano de custo de ativos-------------</t>
  </si>
  <si>
    <t>2017-03-08_11:39 - Arquivo xog sendo gravado em: C:\xog\resource\user_write_20170308_1139.xml</t>
  </si>
  <si>
    <t>2017-03-08_11:39 -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</si>
  <si>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2017-03-08_11:39 - Enviando requisição de login</t>
  </si>
  <si>
    <t>2017-03-08_11:39 - Login realizado. SessionID capturado: 17923099__EE658C5B-1DCA-418B-AC45-30F7394A0AED</t>
  </si>
  <si>
    <t>2017-03-08_11:39 - Chamando mensagem de requisição</t>
  </si>
  <si>
    <t>2017-03-08_11:39 - Capturando resultado final</t>
  </si>
  <si>
    <t>2017-03-08_11:39 - Efetuando logout</t>
  </si>
  <si>
    <t>2017-03-08_11:39 - Logout realizado</t>
  </si>
  <si>
    <t>2017-03-08_11:39 - -------------Fim da exportação plano de custo de serviços-------------</t>
  </si>
  <si>
    <t>2017-03-08_12:00 - -------------Início do plano de custo de ativos-------------</t>
  </si>
  <si>
    <t>2017-03-08_12:00 - Arquivo xog sendo gravado em: C:\xog\resource\user_write_20170308_1200.xml</t>
  </si>
  <si>
    <t>2017-03-08_13:39 - -------------Início do plano de custo de ativos-------------</t>
  </si>
  <si>
    <t>2017-03-08_13:39 - Arquivo xog sendo gravado em: C:\xog\resource\resource_write_20170308_1339.xml</t>
  </si>
  <si>
    <t>2017-03-08_13:44 - -------------Início do plano de custo de ativos-------------</t>
  </si>
  <si>
    <t>2017-03-08_13:44 - Arquivo xog sendo gravado em: C:\xog\resource\resource_write_20170308_1344.xml</t>
  </si>
  <si>
    <t>2017-03-08_13:45 - -------------Início do plano de custo de ativos-------------</t>
  </si>
  <si>
    <t>2017-03-08_13:45 - Arquivo xog sendo gravado em: C:\xog\resource\resource_write_20170308_1345.xml</t>
  </si>
  <si>
    <t>2017-03-08_13:45 -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</si>
  <si>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2017-03-08_13:45 - Enviando requisição de login</t>
  </si>
  <si>
    <t>2017-03-08_13:45 - Login realizado. SessionID capturado: 17923105__7BED9BBC-149E-4E94-9143-DDA8E2FB171F</t>
  </si>
  <si>
    <t>2017-03-08_13:45 - Chamando mensagem de requisição</t>
  </si>
  <si>
    <t>2017-03-08_13:45 - Capturando resultado final</t>
  </si>
  <si>
    <t>2017-03-08_13:45 - Efetuando logout</t>
  </si>
  <si>
    <t>2017-03-08_13:45 - Logout realizado</t>
  </si>
  <si>
    <t>2017-03-08_13:45 - -------------Fim da exportação plano de custo de serviços-------------</t>
  </si>
  <si>
    <t>2017-03-08_13:46 - -------------Início do plano de custo de ativos-------------</t>
  </si>
  <si>
    <t>2017-03-08_13:46 - Arquivo xog sendo gravado em: C:\xog\resource\user_write_20170308_1346.xml</t>
  </si>
  <si>
    <t>2017-03-08_13:47 - -------------Início do plano de custo de ativos-------------</t>
  </si>
  <si>
    <t>2017-03-08_13:47 - Arquivo xog sendo gravado em: C:\xog\resource\user_write_20170308_1347.xml</t>
  </si>
  <si>
    <t>2017-03-08_13:49 - -------------Início do plano de custo de ativos-------------</t>
  </si>
  <si>
    <t>2017-03-08_13:49 - Arquivo xog sendo gravado em: C:\xog\resource\user_write_20170308_1349.xml</t>
  </si>
  <si>
    <t>2017-03-08_13:51 - -------------Início do plano de custo de ativos-------------</t>
  </si>
  <si>
    <t>2017-03-08_13:51 - Arquivo xog sendo gravado em: C:\xog\resource\user_write_20170308_1351.xml</t>
  </si>
  <si>
    <t>2017-03-08_13:52 - -------------Início do plano de custo de ativos-------------</t>
  </si>
  <si>
    <t>2017-03-08_13:52 - Arquivo xog sendo gravado em: C:\xog\resource\user_write_20170308_1352.xml</t>
  </si>
  <si>
    <t>2017-03-08_13:53 - -------------Início do plano de custo de ativos-------------</t>
  </si>
  <si>
    <t>2017-03-08_13:53 - Arquivo xog sendo gravado em: C:\xog\resource\user_write_20170308_1353.xml</t>
  </si>
  <si>
    <t>2017-03-08_13:54 - -------------Início do plano de custo de ativos-------------</t>
  </si>
  <si>
    <t>2017-03-08_13:54 - Arquivo xog sendo gravado em: C:\xog\resource\user_write_20170308_1354.xml</t>
  </si>
  <si>
    <t>2017-03-08_13:56 - -------------Início do plano de custo de ativos-------------</t>
  </si>
  <si>
    <t>2017-03-08_13:56 - Arquivo xog sendo gravado em: C:\xog\resource\user_write_20170308_1356.xml</t>
  </si>
  <si>
    <t>2017-03-08_13:58 - -------------Início do plano de custo de ativos-------------</t>
  </si>
  <si>
    <t>2017-03-08_13:58 - Arquivo xog sendo gravado em: C:\xog\resource\user_write_20170308_1358.xml</t>
  </si>
  <si>
    <t>2017-03-08_13:58 - -------------Fim da exportação plano de custo de serviços-------------</t>
  </si>
  <si>
    <t>2017-03-08_13:59 - -------------Início do plano de custo de ativos-------------</t>
  </si>
  <si>
    <t>2017-03-08_13:59 - Arquivo xog sendo gravado em: C:\xog\resource\user_write_20170308_1359.xml</t>
  </si>
  <si>
    <t>2017-03-08_14:00 - -------------Início do plano de custo de ativos-------------</t>
  </si>
  <si>
    <t>2017-03-08_14:00 - Arquivo xog sendo gravado em: C:\xog\resource\user_write_20170308_1400.xml</t>
  </si>
  <si>
    <t>2017-03-08_14:00 - -------------Fim da exportação plano de custo de serviços-------------</t>
  </si>
  <si>
    <t>2017-03-08_14:01 - -------------Início do plano de custo de ativos-------------</t>
  </si>
  <si>
    <t>2017-03-08_14:01 - Arquivo xog sendo gravado em: C:\xog\resource\user_write_20170308_1401.xml</t>
  </si>
  <si>
    <t>2017-03-08_14:02 - -------------Início do plano de custo de ativos-------------</t>
  </si>
  <si>
    <t>2017-03-08_14:02 - Arquivo xog sendo gravado em: C:\xog\resource\user_write_20170308_1402.xml</t>
  </si>
  <si>
    <t>2017-03-08_14:03 - -------------Início do plano de custo de ativos-------------</t>
  </si>
  <si>
    <t>2017-03-08_14:03 - Arquivo xog sendo gravado em: C:\xog\resource\user_write_20170308_1403.xml</t>
  </si>
  <si>
    <t>2017-03-08_14:04 - -------------Início do plano de custo de ativos-------------</t>
  </si>
  <si>
    <t>2017-03-08_14:04 - Arquivo xog sendo gravado em: C:\xog\resource\user_write_20170308_1404.xml</t>
  </si>
  <si>
    <t>2017-03-08_14:04 - -------------Fim da exportação plano de custo de serviços-------------</t>
  </si>
  <si>
    <t>2017-03-08_14:05 - -------------Início do plano de custo de ativos-------------</t>
  </si>
  <si>
    <t>2017-03-08_14:05 - Arquivo xog sendo gravado em: C:\xog\resource\user_write_20170308_1405.xml</t>
  </si>
  <si>
    <t>2017-03-08_14:05 -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</si>
  <si>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2017-03-08_14:05 - Enviando requisição de login</t>
  </si>
  <si>
    <t>2017-03-08_14:05 - Login realizado. SessionID capturado: 17923107__AC4DDE03-5CFC-4BCB-BABB-65A9FEC0E255</t>
  </si>
  <si>
    <t>2017-03-08_14:05 - Chamando mensagem de requisição</t>
  </si>
  <si>
    <t>2017-03-08_14:05 - Capturando resultado final</t>
  </si>
  <si>
    <t>2017-03-08_14:05 - Efetuando logout</t>
  </si>
  <si>
    <t>2017-03-08_14:05 - Logout realizado</t>
  </si>
  <si>
    <t>2017-03-08_14:05 - -------------Fim da exportação plano de custo de serviços-------------</t>
  </si>
  <si>
    <t>2017-03-08_14:06 - -------------Início do plano de custo de ativos-------------</t>
  </si>
  <si>
    <t>2017-03-08_14:06 - Arquivo xog sendo gravado em: C:\xog\resource\user_write_20170308_1406.xml</t>
  </si>
  <si>
    <t>2017-03-08_14:13 - -------------Início do plano de custo de ativos-------------</t>
  </si>
  <si>
    <t>2017-03-08_14:13 - Arquivo xog sendo gravado em: C:\xog\resource\user_write_20170308_1413.xml</t>
  </si>
  <si>
    <t>2017-03-08_14:18 - -------------Início do plano de custo de ativos-------------</t>
  </si>
  <si>
    <t>2017-03-08_14:18 - Arquivo xog sendo gravado em: C:\xog\resource\user_write_20170308_1418.xml</t>
  </si>
  <si>
    <t>2017-03-08_14:20 - -------------Início do plano de custo de ativos-------------</t>
  </si>
  <si>
    <t>2017-03-08_14:20 - Arquivo xog sendo gravado em: C:\xog\resource\user_write_20170308_1420.xml</t>
  </si>
  <si>
    <t>2017-03-08_14:22 - -------------Início do plano de custo de ativos-------------</t>
  </si>
  <si>
    <t>2017-03-08_14:22 - Arquivo xog sendo gravado em: C:\xog\resource\user_write_20170308_1422.xml</t>
  </si>
  <si>
    <t>2017-03-08_14:24 - -------------Início do plano de custo de ativos-------------</t>
  </si>
  <si>
    <t>2017-03-08_14:24 - Arquivo xog sendo gravado em: C:\xog\resource\user_write_20170308_1424.xml</t>
  </si>
  <si>
    <t>2017-03-08_14:24 -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</si>
  <si>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2017-03-08_14:24 - Enviando requisição de login</t>
  </si>
  <si>
    <t>2017-03-08_14:24 - Login realizado. SessionID capturado: 17923119__02B5FC5E-7F0F-4B1D-8C81-308D11282154</t>
  </si>
  <si>
    <t>2017-03-08_14:24 - Chamando mensagem de requisição</t>
  </si>
  <si>
    <t>2017-03-08_14:24 - Capturando resultado final</t>
  </si>
  <si>
    <t>2017-03-08_14:24 - Efetuando logout</t>
  </si>
  <si>
    <t>2017-03-08_14:24 - Logout realizado</t>
  </si>
  <si>
    <t>2017-03-08_14:24 - -------------Fim da exportação plano de custo de serviços-------------</t>
  </si>
  <si>
    <t>2017-03-08_14:25 - -------------Início do plano de custo de ativos-------------</t>
  </si>
  <si>
    <t>2017-03-08_14:25 - Arquivo xog sendo gravado em: C:\xog\resource\user_write_20170308_1425.xml</t>
  </si>
  <si>
    <t>2017-03-08_14:25 -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</si>
  <si>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2017-03-08_14:25 - Enviando requisição de login</t>
  </si>
  <si>
    <t>2017-03-08_14:25 - Login realizado. SessionID capturado: 17923120__BA6D36CF-3BF6-471C-A7BD-7C7CFDA55859</t>
  </si>
  <si>
    <t>2017-03-08_14:25 - Chamando mensagem de requisição</t>
  </si>
  <si>
    <t>2017-03-08_14:25 - Capturando resultado final</t>
  </si>
  <si>
    <t>2017-03-08_14:25 - Efetuando logout</t>
  </si>
  <si>
    <t>2017-03-08_14:25 - Logout realizado</t>
  </si>
  <si>
    <t>2017-03-08_14:25 - -------------Fim da exportação plano de custo de serviços-------------</t>
  </si>
  <si>
    <t>2017-03-08_15:11 - -------------Início do plano de custo de ativos-------------</t>
  </si>
  <si>
    <t>2017-03-08_15:11 - Arquivo xog sendo gravado em: C:\xog\resource\user_write_20170308_1511.xml</t>
  </si>
  <si>
    <t>2017-03-08_16:33 - -------------Início do plano de custo de ativos-------------</t>
  </si>
  <si>
    <t>2017-03-08_16:33 - Arquivo xog sendo gravado em: C:\xog\resource\user_write_20170308_1633.xml</t>
  </si>
  <si>
    <t>2017-03-08_17:15 - -------------Início do plano de custo de ativos-------------</t>
  </si>
  <si>
    <t>2017-03-08_17:15 - Arquivo xog sendo gravado em: C:\xog\resource\resource_write_20170308_1715.xml</t>
  </si>
  <si>
    <t>2017-03-08_17:16 - -------------Início do plano de custo de ativos-------------</t>
  </si>
  <si>
    <t>2017-03-08_17:16 - Arquivo xog sendo gravado em: C:\xog\resource\resource_write_20170308_1716.xml</t>
  </si>
  <si>
    <t>2017-03-08_17:17 - -------------Início do plano de custo de ativos-------------</t>
  </si>
  <si>
    <t>2017-03-08_17:17 - Arquivo xog sendo gravado em: C:\xog\resource\resource_write_20170308_1717.xml</t>
  </si>
  <si>
    <t>2017-03-08_17:18 - -------------Início do plano de custo de ativos-------------</t>
  </si>
  <si>
    <t>2017-03-08_17:18 - Arquivo xog sendo gravado em: C:\xog\resource\resource_write_20170308_1718.xml</t>
  </si>
  <si>
    <t>2017-03-08_17:32 - -------------Início do plano de custo de ativos-------------</t>
  </si>
  <si>
    <t>2017-03-08_17:32 - Arquivo xog sendo gravado em: C:\xog\resource\resource_write_20170308_1732.xml</t>
  </si>
  <si>
    <t>SOBRENOME</t>
  </si>
  <si>
    <t>NOME</t>
  </si>
  <si>
    <t>NOME DE USUÁRIO</t>
  </si>
  <si>
    <t>ID DO RECURSO</t>
  </si>
  <si>
    <t>ENDEREÇO DE E-MAIL</t>
  </si>
  <si>
    <t>TIPO DE CONTRATAÇÃO</t>
  </si>
  <si>
    <t>EXTERNO</t>
  </si>
  <si>
    <t>STATUS</t>
  </si>
  <si>
    <t>FUSO HORÁRIO</t>
  </si>
  <si>
    <t>LOCALIDADE</t>
  </si>
  <si>
    <t>GERENTE DE RECURSOS</t>
  </si>
  <si>
    <t>AUTENTICAÇÃO EXTERNA</t>
  </si>
  <si>
    <t>NÍVEL</t>
  </si>
  <si>
    <t/>
  </si>
  <si>
    <t>SANOFI - PROD</t>
  </si>
  <si>
    <t>On Demand</t>
  </si>
  <si>
    <t>INFRA</t>
  </si>
  <si>
    <t>Client</t>
  </si>
  <si>
    <t>User</t>
  </si>
  <si>
    <t>Pass</t>
  </si>
  <si>
    <t>Address</t>
  </si>
  <si>
    <t>infrastructure</t>
  </si>
  <si>
    <t>2017-03-10_10:17 - -------------Início do plano de custo de ativos-------------</t>
  </si>
  <si>
    <t>2017-03-10_10:17 - Arquivo xog sendo gravado em: C:\xog\resource\resource_write_20170310_1017.xml</t>
  </si>
  <si>
    <t>2017-03-10_10:23 - -------------Início do plano de custo de ativos-------------</t>
  </si>
  <si>
    <t>2017-03-10_10:23 - Arquivo xog sendo gravado em: C:\xog\resource\resource_write_20170310_1023.xml</t>
  </si>
  <si>
    <t>NAME</t>
  </si>
  <si>
    <t>DESCRIPTION</t>
  </si>
  <si>
    <t>CODE</t>
  </si>
  <si>
    <t>PARTITION</t>
  </si>
  <si>
    <t>PARTITON MODE</t>
  </si>
  <si>
    <t>ACTIVE</t>
  </si>
  <si>
    <t>2017-03-10_18:01 - Escrevendo tarefas...</t>
  </si>
  <si>
    <t>2017-03-10_18:05 - Escrevendo tarefas...</t>
  </si>
  <si>
    <t>2017-03-10_18:07 - Escrevendo tarefas...</t>
  </si>
  <si>
    <t>2017-03-10_18:10 - Escrevendo tarefas...</t>
  </si>
  <si>
    <t>2017-03-10_18:12 - Escrevendo tarefas...</t>
  </si>
  <si>
    <t>2017-03-10_18:17 - Escrevendo tarefas...</t>
  </si>
  <si>
    <t>2017-03-10_18:18 - Escrevendo tarefas...</t>
  </si>
  <si>
    <t>2017-03-10_18:33 - Escrevendo tarefas...</t>
  </si>
  <si>
    <t>2017-03-10_18:35 - Escrevendo tarefas...</t>
  </si>
  <si>
    <t>2017-03-10_18:37 - Escrevendo tarefas...</t>
  </si>
  <si>
    <t>2017-03-13_15:12 - -------------Início do plano de custo de ativos-------------</t>
  </si>
  <si>
    <t>2017-03-13_15:12 - Arquivo xog sendo gravado em: C:\xog\Deloitte\lookup_write_20170313_1512.xml</t>
  </si>
  <si>
    <t>2017-03-13_15:27 - -------------Início do plano de custo de ativos-------------</t>
  </si>
  <si>
    <t>2017-03-13_15:27 - Arquivo xog sendo gravado em: C:\xog\Deloitte\lookup_write_20170313_1527.xml</t>
  </si>
  <si>
    <t>2017-03-13_15:31 - Escrevendo tarefas...</t>
  </si>
  <si>
    <t>2017-03-13_15:31 - -------------Início do plano de custo de ativos-------------</t>
  </si>
  <si>
    <t>2017-03-13_15:31 - Arquivo xog sendo gravado em: C:\xog\Deloitte\lookup_write_20170313_1531.xml</t>
  </si>
  <si>
    <t>2017-03-13_18:06 - -------------Início do plano de custo de ativos-------------</t>
  </si>
  <si>
    <t>2017-03-13_18:06 - Arquivo xog sendo gravado em: C:\xog\Deloitte\lookup_write_20170313_1806.xml</t>
  </si>
  <si>
    <t>Lookup ID</t>
  </si>
  <si>
    <t>Lookup Name</t>
  </si>
  <si>
    <t>Lookup Desc</t>
  </si>
  <si>
    <t>2017-03-13_18:55 - -------------Início do plano de custo de ativos-------------</t>
  </si>
  <si>
    <t>2017-03-13_18:55 - Arquivo xog sendo gravado em: C:\xog\Deloitte\lookup_write_20170313_1855.xml</t>
  </si>
  <si>
    <t>2017-03-14_14:05 - Escrevendo tarefas...</t>
  </si>
  <si>
    <t>2017-03-14_14:12 - Escrevendo tarefas...</t>
  </si>
  <si>
    <t>2017-03-14_14:14 - Proxy identificado</t>
  </si>
  <si>
    <t>2017-03-14_14:14 - Escrevendo tarefas...</t>
  </si>
  <si>
    <t>2017-03-14_14:17 - Proxy identificado</t>
  </si>
  <si>
    <t>2017-03-14_14:17 - Escrevendo tarefas...</t>
  </si>
  <si>
    <t>2017-03-14_14:20 - Proxy identificado</t>
  </si>
  <si>
    <t>2017-03-14_14:21 - Proxy identificado</t>
  </si>
  <si>
    <t>2017-03-14_14:21 - Escrevendo tarefas...</t>
  </si>
  <si>
    <t>2017-03-14_14:22 - Proxy identificado</t>
  </si>
  <si>
    <t>2017-03-14_14:22 - Escrevendo tarefas...</t>
  </si>
  <si>
    <t>2017-03-14_14:24 - Proxy identificado</t>
  </si>
  <si>
    <t>2017-03-14_14:24 - Escrevendo tarefas...</t>
  </si>
  <si>
    <t>2017-03-14_14:25 - Proxy identificado</t>
  </si>
  <si>
    <t>2017-03-14_14:25 - Escrevendo tarefas...</t>
  </si>
  <si>
    <t>2017-03-14_14:28 - -------------Início do plano de custo de ativos-------------</t>
  </si>
  <si>
    <t>2017-03-14_14:28 - Arquivo xog sendo gravado em: C:\xog\Deloitte\lookup_write_20170314_1428.xml</t>
  </si>
  <si>
    <t>2017-03-14_14:32 - -------------Início do plano de custo de ativos-------------</t>
  </si>
  <si>
    <t>2017-03-14_14:32 - Arquivo xog sendo gravado em: C:\xog\Deloitte\lookup_write_20170314_1432.xml</t>
  </si>
  <si>
    <t>2017-03-14_14:35 - -------------Início do plano de custo de ativos-------------</t>
  </si>
  <si>
    <t>2017-03-14_14:35 - Arquivo xog sendo gravado em: C:\xog\Deloitte\lookup_write_20170314_1435.xml</t>
  </si>
  <si>
    <t>2017-03-14_14:38 - -------------Início do plano de custo de ativos-------------</t>
  </si>
  <si>
    <t>2017-03-14_14:38 - Arquivo xog sendo gravado em: C:\xog\Deloitte\lookup_write_20170314_1438.xml</t>
  </si>
  <si>
    <t>2017-03-14_14:39 - -------------Início do plano de custo de ativos-------------</t>
  </si>
  <si>
    <t>2017-03-14_14:39 - Arquivo xog sendo gravado em: C:\xog\Deloitte\lookup_write_20170314_1439.xml</t>
  </si>
  <si>
    <t>2017-03-14_14:40 - -------------Início do plano de custo de ativos-------------</t>
  </si>
  <si>
    <t>2017-03-14_14:40 - Arquivo xog sendo gravado em: C:\xog\Deloitte\lookup_write_20170314_1440.xml</t>
  </si>
  <si>
    <t>2017-03-14_14:41 - -------------Início do plano de custo de ativos-------------</t>
  </si>
  <si>
    <t>2017-03-14_14:41 - Arquivo xog sendo gravado em: C:\xog\Deloitte\lookup_write_20170314_1441.xml</t>
  </si>
  <si>
    <t>2017-03-14_14:42 - -------------Início do plano de custo de ativos-------------</t>
  </si>
  <si>
    <t>2017-03-14_14:42 - Arquivo xog sendo gravado em: C:\xog\Deloitte\lookup_write_20170314_1442.xml</t>
  </si>
  <si>
    <t>2017-03-14_14:43 - -------------Início do plano de custo de ativos-------------</t>
  </si>
  <si>
    <t>2017-03-14_14:43 - Arquivo xog sendo gravado em: C:\xog\Deloitte\lookup_write_20170314_1443.xml</t>
  </si>
  <si>
    <t>2017-03-14_14:47 - -------------Início do plano de custo de ativos-------------</t>
  </si>
  <si>
    <t>2017-03-14_14:47 - Arquivo xog sendo gravado em: C:\xog\Deloitte\lookup_write_20170314_1447.xml</t>
  </si>
  <si>
    <t>2017-03-14_14:56 - -------------Início do plano de custo de ativos-------------</t>
  </si>
  <si>
    <t>2017-03-14_14:56 - Arquivo xog sendo gravado em: C:\xog\Deloitte\lookup_write_20170314_1456.xml</t>
  </si>
  <si>
    <t>2017-03-14_15:18 - Proxy identificado</t>
  </si>
  <si>
    <t>2017-03-14_15:18 - Escrevendo tarefas...</t>
  </si>
  <si>
    <t>2017-03-14_15:19 - Proxy identificado</t>
  </si>
  <si>
    <t>2017-03-14_15:19 - Escrevendo tarefas...</t>
  </si>
  <si>
    <t>2017-03-14_15:20 - -------------Início do plano de custo de ativos-------------</t>
  </si>
  <si>
    <t>2017-03-14_15:20 - Arquivo xog sendo gravado em: C:\xog\Deloitte\lookup_write_20170314_1520.xml</t>
  </si>
  <si>
    <t>2017-03-14_15:20 - Proxy identificado</t>
  </si>
  <si>
    <t>2017-03-14_15:20 -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</si>
  <si>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2017-03-14_15:20 - Enviando requisição de login</t>
  </si>
  <si>
    <t>2017-03-14_15:20 - Login realizado. SessionID capturado: 8277029__4CDE4239-5E58-46D6-8FBF-39FBCDF6238E</t>
  </si>
  <si>
    <t>2017-03-14_15:20 - Chamando mensagem de requisição</t>
  </si>
  <si>
    <t>2017-03-14_15:20 - Capturando resultado final</t>
  </si>
  <si>
    <t>2017-03-14_15:20 - Efetuando logout</t>
  </si>
  <si>
    <t>2017-03-14_15:20 - Logout realizado</t>
  </si>
  <si>
    <t>2017-03-14_15:20 - -------------Fim da exportação plano de custo de serviços-------------</t>
  </si>
  <si>
    <t>2017-03-14_15:20 - Escrevendo tarefas...</t>
  </si>
  <si>
    <t>2017-03-14_15:29 - Proxy identificado</t>
  </si>
  <si>
    <t>2017-03-14_15:29 - Escrevendo tarefas...</t>
  </si>
  <si>
    <t>2017-03-14_15:54 - -------------Início do plano de custo de ativos-------------</t>
  </si>
  <si>
    <t>2017-03-14_15:54 - Arquivo xog sendo gravado em: C:\xog\Deloitte\lookup_write_20170314_1554.xml</t>
  </si>
  <si>
    <t>2017-03-14_15:54 - Proxy identificado</t>
  </si>
  <si>
    <t>2017-03-14_15:54 -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</si>
  <si>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2017-03-14_15:54 - Enviando requisição de login</t>
  </si>
  <si>
    <t>2017-03-14_15:54 - Login realizado. SessionID capturado: 8277859__92C9CE8D-21B3-437F-A4F7-D247EED8DE90</t>
  </si>
  <si>
    <t>2017-03-14_15:54 - Chamando mensagem de requisição</t>
  </si>
  <si>
    <t>2017-03-14_15:54 - Capturando resultado final</t>
  </si>
  <si>
    <t>2017-03-14_15:54 - Efetuando logout</t>
  </si>
  <si>
    <t>2017-03-14_15:54 - Logout realizado</t>
  </si>
  <si>
    <t>2017-03-14_15:54 - -------------Fim da exportação plano de custo de serviços-------------</t>
  </si>
  <si>
    <t>2017-03-14_16:03 - -------------Início do plano de custo de ativos-------------</t>
  </si>
  <si>
    <t>2017-03-14_16:03 - Arquivo xog sendo gravado em: C:\xog\Deloitte\lookup_write_20170314_1603.xml</t>
  </si>
  <si>
    <t>2017-03-14_16:05 - -------------Início do plano de custo de ativos-------------</t>
  </si>
  <si>
    <t>2017-03-14_16:05 - Arquivo xog sendo gravado em: C:\xog\Deloitte\lookup_write_20170314_1605.xml</t>
  </si>
  <si>
    <t>2017-03-14_16:07 - -------------Início do plano de custo de ativos-------------</t>
  </si>
  <si>
    <t>2017-03-14_16:07 - Arquivo xog sendo gravado em: C:\xog\Deloitte\lookup_write_20170314_1607.xml</t>
  </si>
  <si>
    <t>2017-03-14_16:12 - -------------Início do plano de custo de ativos-------------</t>
  </si>
  <si>
    <t>2017-03-14_16:12 - Arquivo xog sendo gravado em: C:\xog\Deloitte\lookup_write_20170314_1612.xml</t>
  </si>
  <si>
    <t>2017-03-14_16:13 - -------------Início do plano de custo de ativos-------------</t>
  </si>
  <si>
    <t>2017-03-14_16:13 - Arquivo xog sendo gravado em: C:\xog\Deloitte\lookup_write_20170314_1613.xml</t>
  </si>
  <si>
    <t>2017-03-14_16:13 - Proxy identificado</t>
  </si>
  <si>
    <t>2017-03-14_16:13 -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</si>
  <si>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2017-03-14_16:13 - Enviando requisição de login</t>
  </si>
  <si>
    <t>2017-03-14_16:13 - Login realizado. SessionID capturado: 8279327__71A73494-654D-4EA3-8D3E-A2E98E3F489D</t>
  </si>
  <si>
    <t>2017-03-14_16:13 - Chamando mensagem de requisição</t>
  </si>
  <si>
    <t>2017-03-14_16:13 - Capturando resultado final</t>
  </si>
  <si>
    <t>2017-03-14_16:13 - Efetuando logout</t>
  </si>
  <si>
    <t>2017-03-14_16:13 - Logout realizado</t>
  </si>
  <si>
    <t>2017-03-14_16:13 - -------------Fim da exportação plano de custo de serviços-------------</t>
  </si>
  <si>
    <t>2017-03-14_16:17 - Proxy identificado</t>
  </si>
  <si>
    <t>2017-03-14_16:17 - Escrevendo tarefas...</t>
  </si>
  <si>
    <t>2017-03-14_16:20 - Proxy identificado</t>
  </si>
  <si>
    <t>2017-03-14_16:20 - Escrevendo tarefas...</t>
  </si>
  <si>
    <t>2017-03-14_16:21 - Proxy identificado</t>
  </si>
  <si>
    <t>2017-03-14_16:21 - Escrevendo tarefas...</t>
  </si>
  <si>
    <t>2017-03-14_16:24 - Proxy identificado</t>
  </si>
  <si>
    <t>2017-03-14_16:24 - Escrevendo tarefas...</t>
  </si>
  <si>
    <t>2017-03-14_16:27 - -------------Início do plano de custo de ativos-------------</t>
  </si>
  <si>
    <t>2017-03-14_16:27 - Arquivo xog sendo gravado em: C:\xog\Deloitte\lookup_write_20170314_1627.xml</t>
  </si>
  <si>
    <t>2017-03-14_16:27 - Proxy identificado</t>
  </si>
  <si>
    <t>2017-03-14_16:27 -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</si>
  <si>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2017-03-14_16:27 - Enviando requisição de login</t>
  </si>
  <si>
    <t>2017-03-14_16:27 - Login realizado. SessionID capturado: 8279664__DFD13B5D-3E06-4786-A6BC-0A6C7BCAC025</t>
  </si>
  <si>
    <t>2017-03-14_16:27 - Chamando mensagem de requisição</t>
  </si>
  <si>
    <t>2017-03-14_16:27 - Capturando resultado final</t>
  </si>
  <si>
    <t>2017-03-14_16:27 - Efetuando logout</t>
  </si>
  <si>
    <t>2017-03-14_16:27 - Logout realizado</t>
  </si>
  <si>
    <t>2017-03-14_16:27 - -------------Fim da exportação plano de custo de serviços-------------</t>
  </si>
  <si>
    <t>2017-03-14_16:30 - Proxy identificado</t>
  </si>
  <si>
    <t>2017-03-14_16:30 - Escrevendo tarefas...</t>
  </si>
  <si>
    <t>2017-03-14_16:32 - -------------Início do plano de custo de ativos-------------</t>
  </si>
  <si>
    <t>2017-03-14_16:32 - Arquivo xog sendo gravado em: C:\xog\Deloitte\lookup_write_20170314_1632.xml</t>
  </si>
  <si>
    <t>2017-03-14_16:32 - Proxy identificado</t>
  </si>
  <si>
    <t>2017-03-14_16:32 -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</si>
  <si>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2017-03-14_16:32 - Enviando requisição de login</t>
  </si>
  <si>
    <t>2017-03-14_16:32 - Login realizado. SessionID capturado: 8279795__30FBB644-89B7-48E9-BACF-1BB7DAA89688</t>
  </si>
  <si>
    <t>2017-03-14_16:32 - Chamando mensagem de requisição</t>
  </si>
  <si>
    <t>2017-03-14_16:32 - Capturando resultado final</t>
  </si>
  <si>
    <t>2017-03-14_16:32 - Efetuando logout</t>
  </si>
  <si>
    <t>2017-03-14_16:32 - Logout realizado</t>
  </si>
  <si>
    <t>2017-03-14_16:32 - -------------Fim da exportação plano de custo de serviços-------------</t>
  </si>
  <si>
    <t>2017-03-14_16:38 - -------------Início do plano de custo de ativos-------------</t>
  </si>
  <si>
    <t>2017-03-14_16:38 - Arquivo xog sendo gravado em: C:\xog\Deloitte\lookup_write_20170314_1638.xml</t>
  </si>
  <si>
    <t>2017-03-14_16:39 - -------------Início do plano de custo de ativos-------------</t>
  </si>
  <si>
    <t>2017-03-14_16:39 - Arquivo xog sendo gravado em: C:\xog\Deloitte\lookup_write_20170314_1639.xml</t>
  </si>
  <si>
    <t>2017-03-14_16:39 - Proxy identificado</t>
  </si>
  <si>
    <t>2017-03-14_16:39 -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</si>
  <si>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2017-03-14_16:39 - Enviando requisição de login</t>
  </si>
  <si>
    <t>2017-03-14_16:39 - Login realizado. SessionID capturado: 8279976__B4389B2B-CAA1-4457-B4B6-162AEF9BF333</t>
  </si>
  <si>
    <t>2017-03-14_16:39 - Chamando mensagem de requisição</t>
  </si>
  <si>
    <t>2017-03-14_16:39 - Capturando resultado final</t>
  </si>
  <si>
    <t>2017-03-14_16:39 - Efetuando logout</t>
  </si>
  <si>
    <t>2017-03-14_16:39 - Logout realizado</t>
  </si>
  <si>
    <t>2017-03-14_16:39 - -------------Fim da exportação plano de custo de serviços-------------</t>
  </si>
  <si>
    <t>2017-03-14_16:46 - -------------Início do plano de custo de ativos-------------</t>
  </si>
  <si>
    <t>2017-03-14_16:46 - Arquivo xog sendo gravado em: C:\xog\Deloitte\lookup_write_20170314_1646.xml</t>
  </si>
  <si>
    <t>2017-03-14_16:51 - -------------Início do plano de custo de ativos-------------</t>
  </si>
  <si>
    <t>2017-03-14_16:51 - Arquivo xog sendo gravado em: C:\xog\Deloitte\lookup_write_20170314_1651.xml</t>
  </si>
  <si>
    <t>2017-03-14_16:51 - Proxy identificado</t>
  </si>
  <si>
    <t>2017-03-14_16:51 -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</si>
  <si>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2017-03-14_16:51 - Enviando requisição de login</t>
  </si>
  <si>
    <t>2017-03-14_16:51 - Login realizado. SessionID capturado: 8280257__DAB18A78-8404-4B68-9F19-961063D546B4</t>
  </si>
  <si>
    <t>2017-03-14_16:51 - Chamando mensagem de requisição</t>
  </si>
  <si>
    <t>2017-03-14_16:51 - Capturando resultado final</t>
  </si>
  <si>
    <t>2017-03-14_16:51 - Efetuando logout</t>
  </si>
  <si>
    <t>2017-03-14_16:51 - Logout realizado</t>
  </si>
  <si>
    <t>2017-03-14_16:51 - -------------Fim da exportação plano de custo de serviços-------------</t>
  </si>
  <si>
    <t>2017-03-14_16:56 - -------------Início do plano de custo de ativos-------------</t>
  </si>
  <si>
    <t>2017-03-14_16:56 - Arquivo xog sendo gravado em: C:\xog\Deloitte\lookup_write_20170314_1656.xml</t>
  </si>
  <si>
    <t>2017-03-14_16:56 - Proxy identificado</t>
  </si>
  <si>
    <t>2017-03-14_16:56 -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</si>
  <si>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2017-03-14_16:56 - Enviando requisição de login</t>
  </si>
  <si>
    <t>2017-03-14_16:56 - Login realizado. SessionID capturado: 8280372__94D2A790-ECF4-4ED1-98C8-1E6513110A9D</t>
  </si>
  <si>
    <t>2017-03-14_16:56 - Chamando mensagem de requisição</t>
  </si>
  <si>
    <t>2017-03-14_16:56 - Capturando resultado final</t>
  </si>
  <si>
    <t>2017-03-14_16:56 - Efetuando logout</t>
  </si>
  <si>
    <t>2017-03-14_16:56 - Logout realizado</t>
  </si>
  <si>
    <t>2017-03-14_16:56 - Login realizado. SessionID capturado: 8280388__805AE5D0-6BD5-4A52-9D09-A2BF9F777285</t>
  </si>
  <si>
    <t>2017-03-14_16:56 - -------------Fim da exportação plano de custo de serviços-------------</t>
  </si>
  <si>
    <t>2017-03-14_17:01 - -------------Início do plano de custo de ativos-------------</t>
  </si>
  <si>
    <t>2017-03-14_17:01 - Arquivo xog sendo gravado em: C:\xog\Deloitte\lookup_write_20170314_1701.xml</t>
  </si>
  <si>
    <t>2017-03-14_17:01 - Proxy identificado</t>
  </si>
  <si>
    <t>2017-03-14_17:01 -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</si>
  <si>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2017-03-14_17:01 - Enviando requisição de login</t>
  </si>
  <si>
    <t>2017-03-14_17:01 - Login realizado. SessionID capturado: 8280495__02485697-88DE-4AF5-A410-3552E6401ED6</t>
  </si>
  <si>
    <t>2017-03-14_17:01 - Chamando mensagem de requisição</t>
  </si>
  <si>
    <t>2017-03-14_17:01 - Capturando resultado final</t>
  </si>
  <si>
    <t>2017-03-14_17:01 - Efetuando logout</t>
  </si>
  <si>
    <t>2017-03-14_17:01 - Logout realizado</t>
  </si>
  <si>
    <t>2017-03-14_17:01 - -------------Fim da exportação plano de custo de serviços-------------</t>
  </si>
  <si>
    <t>2017-03-14_17:07 - -------------Início do plano de custo de ativos-------------</t>
  </si>
  <si>
    <t>2017-03-14_17:07 - Arquivo xog sendo gravado em: C:\xog\Deloitte\lookup_write_20170314_1707.xml</t>
  </si>
  <si>
    <t>2017-03-14_17:07 - Proxy identificado</t>
  </si>
  <si>
    <t>2017-03-14_17:07 -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</si>
  <si>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2017-03-14_17:07 - Enviando requisição de login</t>
  </si>
  <si>
    <t>2017-03-14_17:07 - Login realizado. SessionID capturado: 8280648__A13AC739-AB78-4CB1-A381-0BABFF689921</t>
  </si>
  <si>
    <t>2017-03-14_17:07 - Chamando mensagem de requisição</t>
  </si>
  <si>
    <t>2017-03-14_17:07 - Capturando resultado final</t>
  </si>
  <si>
    <t>2017-03-14_17:07 - Efetuando logout</t>
  </si>
  <si>
    <t>2017-03-14_17:07 - Logout realizado</t>
  </si>
  <si>
    <t>2017-03-14_17:07 - -------------Fim da exportação plano de custo de serviços-------------</t>
  </si>
  <si>
    <t>2017-03-14_18:46 - -------------Início do plano de custo de ativos-------------</t>
  </si>
  <si>
    <t>2017-03-14_18:46 - Arquivo xog sendo gravado em: C:\xog\Deloitte\lookup_write_20170314_1846.xml</t>
  </si>
  <si>
    <t>2017-03-14_18:46 - Proxy identificado</t>
  </si>
  <si>
    <t>2017-03-14_18:46 -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</si>
  <si>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2017-03-14_18:46 - Enviando requisição de login</t>
  </si>
  <si>
    <t>2017-03-14_18:46 - Login realizado. SessionID capturado: 8283056__D1CF8DA3-C19E-4FA0-8CFC-A92029238708</t>
  </si>
  <si>
    <t>2017-03-14_18:46 - Chamando mensagem de requisição</t>
  </si>
  <si>
    <t>2017-03-14_18:46 - Capturando resultado final</t>
  </si>
  <si>
    <t>2017-03-14_18:46 - Efetuando logout</t>
  </si>
  <si>
    <t>2017-03-14_18:46 - Logout realizado</t>
  </si>
  <si>
    <t>2017-03-14_18:46 - -------------Fim da exportação plano de custo de serviços-------------</t>
  </si>
  <si>
    <t>2017-03-14_18:58 - -------------Início do plano de custo de ativos-------------</t>
  </si>
  <si>
    <t>2017-03-14_18:58 - Arquivo xog sendo gravado em: C:\xog\Deloitte\lookup_write_20170314_1858.xml</t>
  </si>
  <si>
    <t>2017-03-14_18:58 - Proxy identificado</t>
  </si>
  <si>
    <t>2017-03-14_18:58 -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</si>
  <si>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2017-03-14_18:58 - Enviando requisição de login</t>
  </si>
  <si>
    <t>2017-03-14_18:58 - Login realizado. SessionID capturado: 8283341__0FB179FE-8601-452A-8ADC-0FF4D14B9FBD</t>
  </si>
  <si>
    <t>2017-03-14_18:58 - Chamando mensagem de requisição</t>
  </si>
  <si>
    <t>2017-03-14_18:58 - Capturando resultado final</t>
  </si>
  <si>
    <t>2017-03-14_18:58 - Efetuando logout</t>
  </si>
  <si>
    <t>2017-03-14_18:58 - Logout realizado</t>
  </si>
  <si>
    <t>2017-03-14_18:58 - -------------Fim da exportação plano de custo de serviços-------------</t>
  </si>
  <si>
    <t>Mariucha Castro</t>
  </si>
  <si>
    <t>Leila Lima</t>
  </si>
  <si>
    <t>Andreia Sapienza</t>
  </si>
  <si>
    <t>Livia Tozzini</t>
  </si>
  <si>
    <t>Solange Beneducci</t>
  </si>
  <si>
    <t>Fabrizio Ratier</t>
  </si>
  <si>
    <t xml:space="preserve">Marcelo Lazzaris   </t>
  </si>
  <si>
    <t>Paulo Pires</t>
  </si>
  <si>
    <t>Renato Lencio</t>
  </si>
  <si>
    <t>Anibal Neto</t>
  </si>
  <si>
    <t>Juliano Arnais</t>
  </si>
  <si>
    <t>Leila</t>
  </si>
  <si>
    <t>Andreia</t>
  </si>
  <si>
    <t>Livia</t>
  </si>
  <si>
    <t>Solange</t>
  </si>
  <si>
    <t>Marilisa</t>
  </si>
  <si>
    <t xml:space="preserve">Fabrizio </t>
  </si>
  <si>
    <t>Marcelo</t>
  </si>
  <si>
    <t>Paulo</t>
  </si>
  <si>
    <t>Felipe</t>
  </si>
  <si>
    <t>Renato</t>
  </si>
  <si>
    <t>Wagner</t>
  </si>
  <si>
    <t>Erich</t>
  </si>
  <si>
    <t>Florencia</t>
  </si>
  <si>
    <t>Anibal</t>
  </si>
  <si>
    <t>Juliano</t>
  </si>
  <si>
    <t>leila.lima</t>
  </si>
  <si>
    <t>andreia.sapienza</t>
  </si>
  <si>
    <t>livia.tozzini</t>
  </si>
  <si>
    <t>solange.beneducci</t>
  </si>
  <si>
    <t>marilisa.pacheco</t>
  </si>
  <si>
    <t>fabrizio.ratier</t>
  </si>
  <si>
    <t>marcelo.lazzaris</t>
  </si>
  <si>
    <t>paulo.pires</t>
  </si>
  <si>
    <t>felipe.lucca</t>
  </si>
  <si>
    <t>renato.lencio</t>
  </si>
  <si>
    <t>wagner.andrade</t>
  </si>
  <si>
    <t>erich.amaral</t>
  </si>
  <si>
    <t>florencia.duarte</t>
  </si>
  <si>
    <t>anibal.neto</t>
  </si>
  <si>
    <t>juliano.arnais</t>
  </si>
  <si>
    <t>leila.lima@sanofi.com</t>
  </si>
  <si>
    <t>andreia.sapienza@sanofi.com</t>
  </si>
  <si>
    <t>livia.tozzini@sanofi.com</t>
  </si>
  <si>
    <t>solange.beneducci@sanofi.com</t>
  </si>
  <si>
    <t>marilisa.pacheco@sanofi.com</t>
  </si>
  <si>
    <t>fabrizio.ratier@sanofi.com</t>
  </si>
  <si>
    <t>marcelo.lazzaris@sanofi.com</t>
  </si>
  <si>
    <t>paulo.pires@sanofi.com</t>
  </si>
  <si>
    <t>felipe.lucca@sanofi.com</t>
  </si>
  <si>
    <t>renato.lencio@sanofi.com</t>
  </si>
  <si>
    <t>wagner.andrade@sanofi.com</t>
  </si>
  <si>
    <t>erich.amaral@sanofi.com</t>
  </si>
  <si>
    <t>florencia.duarte@sanofi.com</t>
  </si>
  <si>
    <t>anibal.neto@sanofi.com</t>
  </si>
  <si>
    <t>juliano.arnais@sanofi.com</t>
  </si>
  <si>
    <t>2017-03-24_14:39 - -------------Início do plano de custo de ativos-------------</t>
  </si>
  <si>
    <t>2017-03-24_14:39 - Arquivo xog sendo gravado em: C:\xog\resource\user_write_20170324_1439.xml</t>
  </si>
  <si>
    <t>2017-03-24_14:39 -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</si>
  <si>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2017-03-24_14:39 - Enviando requisição de login</t>
  </si>
  <si>
    <t>2017-03-24_14:39 - Login realizado. SessionID capturado: 8664427__D16EE70F-D1E8-4DE7-B697-A80C5FE77EE7</t>
  </si>
  <si>
    <t>2017-03-24_14:39 - Chamando mensagem de requisição</t>
  </si>
  <si>
    <t>2017-03-24_14:39 - Capturando resultado final</t>
  </si>
  <si>
    <t>2017-03-24_14:39 - Efetuando logout</t>
  </si>
  <si>
    <t>2017-03-24_14:39 - Logout realizado</t>
  </si>
  <si>
    <t>2017-03-24_14:39 - -------------Fim da exportação plano de custo de serviços-------------</t>
  </si>
  <si>
    <t>2017-03-24_14:39 - Arquivo xog sendo gravado em: C:\xog\resource\resource_write_20170324_1439.xml</t>
  </si>
  <si>
    <t>2017-03-24_14:44 - Escrevendo tarefas...</t>
  </si>
  <si>
    <t>Mariucha</t>
  </si>
  <si>
    <t>Marilisa Pacheco</t>
  </si>
  <si>
    <t>Florencia Duarte</t>
  </si>
  <si>
    <t>Erich Amaral</t>
  </si>
  <si>
    <t>Wagner Andrade</t>
  </si>
  <si>
    <t>Felipe Lucca</t>
  </si>
  <si>
    <t>mariucha.castro@sanofi.com</t>
  </si>
  <si>
    <t>mariucha.castro</t>
  </si>
  <si>
    <t>OBJ_BENEFITDETAIL_SUBCLASS</t>
  </si>
  <si>
    <t>2017-04-07_11:29 - Escrevendo tarefas...</t>
  </si>
  <si>
    <t>amortization_intangibles</t>
  </si>
  <si>
    <t>Amortization of intangibles</t>
  </si>
  <si>
    <t>cost_sales</t>
  </si>
  <si>
    <t>Cost of sales</t>
  </si>
  <si>
    <t>Depreciation (COGS)</t>
  </si>
  <si>
    <t>Depreciation (R&amp;D, G&amp;A)</t>
  </si>
  <si>
    <t>Discounts</t>
  </si>
  <si>
    <t>Distribution costs</t>
  </si>
  <si>
    <t>expenses</t>
  </si>
  <si>
    <t>Expenses</t>
  </si>
  <si>
    <t>GROSS SALES</t>
  </si>
  <si>
    <t>Income Tax</t>
  </si>
  <si>
    <t>Net book value of disposals</t>
  </si>
  <si>
    <t>Other income / expenses</t>
  </si>
  <si>
    <t>Others (major events)</t>
  </si>
  <si>
    <t>Other specific Tax inputs</t>
  </si>
  <si>
    <t>Proceeds from sales of assets</t>
  </si>
  <si>
    <t>Promotion Expenses</t>
  </si>
  <si>
    <t>R&amp;D (amortization of intangibles)</t>
  </si>
  <si>
    <t>R&amp;D (opex)</t>
  </si>
  <si>
    <t>R&amp;D (studies)</t>
  </si>
  <si>
    <t>Restructuring</t>
  </si>
  <si>
    <t>Royalties</t>
  </si>
  <si>
    <t>Sales Force</t>
  </si>
  <si>
    <t>Structural costs (G&amp;A, other)</t>
  </si>
  <si>
    <t>Tax effect</t>
  </si>
  <si>
    <t>Benefit Plan Detail Subclass</t>
  </si>
  <si>
    <t>2017-04-07_11:33 - -------------Início do plano de custo de ativos-------------</t>
  </si>
  <si>
    <t>2017-04-07_11:33 - Arquivo xog sendo gravado em: C:\xog\Deloitte\lookup_write_20170407_1133.xml</t>
  </si>
  <si>
    <t>2017-04-07_11:33 -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</si>
  <si>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2017-04-07_11:33 - Enviando requisição de login</t>
  </si>
  <si>
    <t>2017-04-07_11:33 - Login realizado. SessionID capturado: 9195797__745E82C4-84B1-4DDE-8E37-D0B4E453EB65</t>
  </si>
  <si>
    <t>2017-04-07_11:33 - Chamando mensagem de requisição</t>
  </si>
  <si>
    <t>2017-04-07_11:33 - Capturando resultado final</t>
  </si>
  <si>
    <t>2017-04-07_11:33 - Efetuando logout</t>
  </si>
  <si>
    <t>2017-04-07_11:33 - Logout realizado</t>
  </si>
  <si>
    <t>2017-04-07_11:33 - -------------Fim da exportação plano de custo de serviços-------------</t>
  </si>
  <si>
    <t>2017-04-07_11:37 - Escrevendo tarefas...</t>
  </si>
  <si>
    <t>2017-04-07_11:38 - -------------Início do plano de custo de ativos-------------</t>
  </si>
  <si>
    <t>2017-04-07_11:38 - Arquivo xog sendo gravado em: C:\xog\Deloitte\lookup_write_20170407_1138.xml</t>
  </si>
  <si>
    <t>2017-04-07_11:38 -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</si>
  <si>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2017-04-07_11:38 - Enviando requisição de login</t>
  </si>
  <si>
    <t>2017-04-07_11:38 - Login realizado. SessionID capturado: 9195916__A46EC5B7-B8FF-4234-A882-7C744F65AC7A</t>
  </si>
  <si>
    <t>2017-04-07_11:38 - Chamando mensagem de requisição</t>
  </si>
  <si>
    <t>2017-04-07_11:38 - Capturando resultado final</t>
  </si>
  <si>
    <t>2017-04-07_11:38 - Efetuando logout</t>
  </si>
  <si>
    <t>2017-04-07_11:38 - Logout realizado</t>
  </si>
  <si>
    <t>2017-04-07_11:38 - -------------Fim da exportação plano de custo de serviços-------------</t>
  </si>
  <si>
    <t>P&amp;L (KBRL)</t>
  </si>
  <si>
    <t>Growth, %</t>
  </si>
  <si>
    <t>% of Gross Sales</t>
  </si>
  <si>
    <t>NET SALES</t>
  </si>
  <si>
    <t>COGS</t>
  </si>
  <si>
    <t>% of Net Sales</t>
  </si>
  <si>
    <t>GROSS MARGIN</t>
  </si>
  <si>
    <t>PRODUCT CONTRIBUTION</t>
  </si>
  <si>
    <t>BUSINESS OPERATING INCOME</t>
  </si>
  <si>
    <t>Effective Tax Rate, %</t>
  </si>
  <si>
    <t>BUSINESS NET INCOME</t>
  </si>
  <si>
    <t>NET INCOME</t>
  </si>
  <si>
    <t>EBIT</t>
  </si>
  <si>
    <t>EBITDA</t>
  </si>
  <si>
    <t>2017-04-10_13:34 - Proxy identificado</t>
  </si>
  <si>
    <t>2017-04-10_13:34 - Escrevendo Projetos...</t>
  </si>
  <si>
    <t>2017-04-10_13:35 - Proxy identificado</t>
  </si>
  <si>
    <t>2017-04-10_13:35 - Escrevendo Projetos...</t>
  </si>
  <si>
    <t>2017-04-10_13:37 - Proxy identificado</t>
  </si>
  <si>
    <t>2017-04-10_13:37 - Escrevendo Projetos...</t>
  </si>
  <si>
    <t>2017-04-10_13:41 - Proxy identificado</t>
  </si>
  <si>
    <t>2017-04-10_13:41 - Escrevendo tarefas...</t>
  </si>
  <si>
    <t>dtt_qry_benefit_plan_subclass</t>
  </si>
  <si>
    <t>2017-04-10_13:42 - Proxy identificado</t>
  </si>
  <si>
    <t>2017-04-10_13:42 - Escrevendo Projetos...</t>
  </si>
  <si>
    <t>2017-04-10_13:46 - Proxy identificado</t>
  </si>
  <si>
    <t>2017-04-10_13:46 - Escrevendo Projetos...</t>
  </si>
  <si>
    <t>2017-04-10_13:50 - Proxy identificado</t>
  </si>
  <si>
    <t>2017-04-10_13:50 - Escrevendo tarefas...</t>
  </si>
  <si>
    <t>2017-04-10_13:51 - Proxy identificado</t>
  </si>
  <si>
    <t>2017-04-10_13:51 - Escrevendo tarefas...</t>
  </si>
  <si>
    <t>2017-04-10_14:15 - Proxy identificado</t>
  </si>
  <si>
    <t>2017-04-10_14:15 - Escrevendo tarefas...</t>
  </si>
  <si>
    <t>2017-04-10_14:16 - Proxy identificado</t>
  </si>
  <si>
    <t>2017-04-10_14:17 - Proxy identificado</t>
  </si>
  <si>
    <t>2017-04-10_14:17 - Escrevendo tarefas...</t>
  </si>
  <si>
    <t>2017-04-10_14:25 - Proxy identificado</t>
  </si>
  <si>
    <t>2017-04-10_14:25 - Escrevendo tarefas...</t>
  </si>
  <si>
    <t>2017-04-10_14:26 - Proxy identificado</t>
  </si>
  <si>
    <t>2017-04-10_14:26 - Escrevendo tarefas...</t>
  </si>
  <si>
    <t>BP Subclass Name</t>
  </si>
  <si>
    <t>BP Subclass Code</t>
  </si>
  <si>
    <t>BP Class Name</t>
  </si>
  <si>
    <t>BP Class Code</t>
  </si>
  <si>
    <t>2017-04-10_14:46 - Proxy identificado</t>
  </si>
  <si>
    <t>2017-04-10_14:46 - Escrevendo tarefas...</t>
  </si>
  <si>
    <t>dtt_qry_benefit_plan_class</t>
  </si>
  <si>
    <t>net_sales</t>
  </si>
  <si>
    <t>2017-04-10_14:47 - Proxy identificado</t>
  </si>
  <si>
    <t>2017-04-10_14:47 - Escrevendo tarefas...</t>
  </si>
  <si>
    <t>2017-04-10_14:48 - Proxy identificado</t>
  </si>
  <si>
    <t>2017-04-10_14:48 - Escrevendo tarefas...</t>
  </si>
  <si>
    <t>Subclass</t>
  </si>
  <si>
    <t>Class</t>
  </si>
  <si>
    <t>2017-04-10_15:29 - -------------Início da exportação transações de projeto-------------</t>
  </si>
  <si>
    <t>2017-04-10_15:29 - Arquivo xog sendo gravado em: C:\xog_sanofi\BenefitPlan_20170410_152911.xml</t>
  </si>
  <si>
    <t>2017-04-10_15:31 - -------------Início da exportação transações de projeto-------------</t>
  </si>
  <si>
    <t>2017-04-10_15:31 - Arquivo xog sendo gravado em: C:\xog_sanofi\BenefitPlan_20170410_153119.xml</t>
  </si>
  <si>
    <t>2017-04-10_15:32 - -------------Início da exportação transações de projeto-------------</t>
  </si>
  <si>
    <t>2017-04-10_15:32 - Arquivo xog sendo gravado em: C:\xog_sanofi\BenefitPlan_20170410_153204.xml</t>
  </si>
  <si>
    <t>2017-04-10_15:32 - Arquivo xog sendo gravado em: C:\xog_sanofi\BenefitPlan_20170410_153211.xml</t>
  </si>
  <si>
    <t>2017-04-10_15:33 - -------------Início da exportação transações de projeto-------------</t>
  </si>
  <si>
    <t>2017-04-10_15:33 - Arquivo xog sendo gravado em: C:\xog_sanofi\BenefitPlan_20170410_153353.xml</t>
  </si>
  <si>
    <t>2017-04-10_15:34 - -------------Início da exportação transações de projeto-------------</t>
  </si>
  <si>
    <t>2017-04-10_15:34 - Arquivo xog sendo gravado em: C:\xog_sanofi\BenefitPlan_20170410_153405.xml</t>
  </si>
  <si>
    <t>2017-04-10_15:34 - Arquivo xog sendo gravado em: C:\xog_sanofi\BenefitPlan_20170410_153440.xml</t>
  </si>
  <si>
    <t>2017-04-10_15:35 - -------------Início da exportação transações de projeto-------------</t>
  </si>
  <si>
    <t>2017-04-10_15:35 - Arquivo xog sendo gravado em: C:\xog_sanofi\BenefitPlan_20170410_153526.xml</t>
  </si>
  <si>
    <t>2017-04-10_15:35 - Arquivo xog sendo gravado em: C:\xog_sanofi\BenefitPlan_20170410_153538.xml</t>
  </si>
  <si>
    <t>2017-04-10_15:36 - -------------Início da exportação transações de projeto-------------</t>
  </si>
  <si>
    <t>2017-04-10_15:36 - Arquivo xog sendo gravado em: C:\xog_sanofi\BenefitPlan_20170410_153609.xml</t>
  </si>
  <si>
    <t>2017-04-10_15:36 - Arquivo xog sendo gravado em: C:\xog_sanofi\BenefitPlan_20170410_153636.xml</t>
  </si>
  <si>
    <t>2017-04-10_15:37 - -------------Início da exportação transações de projeto-------------</t>
  </si>
  <si>
    <t>2017-04-10_15:37 - Arquivo xog sendo gravado em: C:\xog_sanofi\BenefitPlan_20170410_153744.xml</t>
  </si>
  <si>
    <t>2017-04-10_16:01 - -------------Início da exportação transações de projeto-------------</t>
  </si>
  <si>
    <t>2017-04-10_16:01 - Arquivo xog sendo gravado em: C:\xog_sanofi\BenefitPlan_20170410_160143.xml</t>
  </si>
  <si>
    <t>2017-04-10_16:02 - -------------Início da exportação transações de projeto-------------</t>
  </si>
  <si>
    <t>2017-04-10_16:02 - Arquivo xog sendo gravado em: C:\xog_sanofi\BenefitPlan_20170410_160241.xml</t>
  </si>
  <si>
    <t>2017-04-10_16:05 - -------------Início da exportação transações de projeto-------------</t>
  </si>
  <si>
    <t>2017-04-10_16:05 - Arquivo xog sendo gravado em: C:\xog_sanofi\BenefitPlan_20170410_160519.xml</t>
  </si>
  <si>
    <t>2017-04-10_16:30 - -------------Início da exportação transações de projeto-------------</t>
  </si>
  <si>
    <t>2017-04-10_16:30 - Arquivo xog sendo gravado em: C:\xog_sanofi\BenefitPlan_20170410_163014.xml</t>
  </si>
  <si>
    <t>2017-04-10_16:32 - -------------Início da exportação transações de projeto-------------</t>
  </si>
  <si>
    <t>2017-04-10_16:32 - Arquivo xog sendo gravado em: C:\xog_sanofi\BenefitPlan_20170410_163233.xml</t>
  </si>
  <si>
    <t>2017-04-10_16:36 - -------------Início da exportação transações de projeto-------------</t>
  </si>
  <si>
    <t>2017-04-10_16:36 - Arquivo xog sendo gravado em: C:\xog_sanofi\BenefitPlan_20170410_163620.xml</t>
  </si>
  <si>
    <t>2017-04-10_16:37 - -------------Início da exportação transações de projeto-------------</t>
  </si>
  <si>
    <t>2017-04-10_16:37 - Arquivo xog sendo gravado em: C:\xog_sanofi\BenefitPlan_20170410_163700.xml</t>
  </si>
  <si>
    <t>2017-04-10_16:41 - -------------Início da exportação transações de projeto-------------</t>
  </si>
  <si>
    <t>2017-04-10_16:41 - Arquivo xog sendo gravado em: C:\xog_sanofi\BenefitPlan_20170410_164106.xml</t>
  </si>
  <si>
    <t>2017-04-10_16:45 - -------------Início da exportação transações de projeto-------------</t>
  </si>
  <si>
    <t>2017-04-10_16:45 - Arquivo xog sendo gravado em: C:\xog_sanofi\BenefitPlan_20170410_164520.xml</t>
  </si>
  <si>
    <t>2017-04-10_16:46 - -------------Início da exportação transações de projeto-------------</t>
  </si>
  <si>
    <t>2017-04-10_16:46 - Arquivo xog sendo gravado em: C:\xog_sanofi\BenefitPlan_20170410_164649.xml</t>
  </si>
  <si>
    <t>2017-04-10_16:50 - -------------Início da exportação transações de projeto-------------</t>
  </si>
  <si>
    <t>2017-04-10_16:50 - Arquivo xog sendo gravado em: C:\xog_sanofi\BenefitPlan_20170410_165025.xml</t>
  </si>
  <si>
    <t>2017-04-10_16:51 - -------------Início da exportação transações de projeto-------------</t>
  </si>
  <si>
    <t>2017-04-10_16:51 - Arquivo xog sendo gravado em: C:\xog_sanofi\BenefitPlan_20170410_165129.xml</t>
  </si>
  <si>
    <t>2017-04-10_16:51 - Arquivo xog sendo gravado em: C:\xog_sanofi\BenefitPlan_20170410_165151.xml</t>
  </si>
  <si>
    <t>2017-04-10_16:52 - -------------Início da exportação transações de projeto-------------</t>
  </si>
  <si>
    <t>2017-04-10_16:52 - Arquivo xog sendo gravado em: C:\xog_sanofi\BenefitPlan_20170410_165212.xml</t>
  </si>
  <si>
    <t>2017-04-10_16:53 - -------------Início da exportação transações de projeto-------------</t>
  </si>
  <si>
    <t>2017-04-10_16:53 - Arquivo xog sendo gravado em: C:\xog_sanofi\BenefitPlan_20170410_165310.xml</t>
  </si>
  <si>
    <t>Order</t>
  </si>
  <si>
    <t>2017-04-10_16:55 - -------------Início da exportação transações de projeto-------------</t>
  </si>
  <si>
    <t>2017-04-10_16:55 - Arquivo xog sendo gravado em: C:\xog_sanofi\BenefitPlan_20170410_165553.xml</t>
  </si>
  <si>
    <t>2017-04-10_16:56 - -------------Início da exportação transações de projeto-------------</t>
  </si>
  <si>
    <t>2017-04-10_16:56 - Arquivo xog sendo gravado em: C:\xog_sanofi\BenefitPlan_20170410_165635.xml</t>
  </si>
  <si>
    <t>2017-04-10_16:57 - -------------Início da exportação transações de projeto-------------</t>
  </si>
  <si>
    <t>2017-04-10_16:57 - Arquivo xog sendo gravado em: C:\xog_sanofi\BenefitPlan_20170410_165757.xml</t>
  </si>
  <si>
    <t>2017-04-10_16:58 - -------------Início da exportação transações de projeto-------------</t>
  </si>
  <si>
    <t>2017-04-10_16:58 - Arquivo xog sendo gravado em: C:\xog_sanofi\BenefitPlan_20170410_165815.xml</t>
  </si>
  <si>
    <t>2017-04-10_16:58 - Arquivo xog sendo gravado em: C:\xog_sanofi\BenefitPlan_20170410_165837.xml</t>
  </si>
  <si>
    <t>2017-04-10_17:01 - -------------Início da exportação transações de projeto-------------</t>
  </si>
  <si>
    <t>2017-04-10_17:01 - Arquivo xog sendo gravado em: C:\xog_sanofi\BenefitPlan_20170410_170152.xml</t>
  </si>
  <si>
    <t>2017-04-10_17:02 - -------------Início da exportação transações de projeto-------------</t>
  </si>
  <si>
    <t>2017-04-10_17:02 - Arquivo xog sendo gravado em: C:\xog_sanofi\BenefitPlan_20170410_170240.xml</t>
  </si>
  <si>
    <t>2017-04-10_17:04 - -------------Início da exportação transações de projeto-------------</t>
  </si>
  <si>
    <t>2017-04-10_17:04 - Arquivo xog sendo gravado em: C:\xog_sanofi\BenefitPlan_20170410_170437.xml</t>
  </si>
  <si>
    <t>TOTAL</t>
  </si>
  <si>
    <t>2017-04-10_18:48 - -------------Início da exportação transações de projeto-------------</t>
  </si>
  <si>
    <t>2017-04-10_18:48 - Arquivo xog sendo gravado em: C:\xog_sanofi\BenefitPlan_20170410_184804.xml</t>
  </si>
  <si>
    <t>2017-04-10_18:59 - -------------Início da exportação transações de projeto-------------</t>
  </si>
  <si>
    <t>2017-04-10_18:59 - Arquivo xog sendo gravado em: C:\xog_sanofi\BenefitPlan_20170410_185924.xml</t>
  </si>
  <si>
    <t>2017-04-10_18:59 - Proxy identificado</t>
  </si>
  <si>
    <t>2017-04-10_18:59 -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</si>
  <si>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2017-04-10_18:59 - Enviando requisição de login</t>
  </si>
  <si>
    <t>2017-04-10_18:59 - Login realizado. SessionID capturado: 9323423__2F2ED2FB-5586-4CB5-AAE5-B725E62707AE</t>
  </si>
  <si>
    <t>2017-04-10_18:59 - Chamando mensagem de requisição</t>
  </si>
  <si>
    <t>2017-04-10_18:59 - Capturando resultado final</t>
  </si>
  <si>
    <t>2017-04-10_18:59 - Efetuando logout</t>
  </si>
  <si>
    <t>2017-04-10_18:59 - Logout realizado</t>
  </si>
  <si>
    <t>2017-04-10_18:59 - -------------Fim da exportação transações de projeto-------------</t>
  </si>
  <si>
    <t>2017-04-10_19:00 - -------------Início da exportação transações de projeto-------------</t>
  </si>
  <si>
    <t>2017-04-10_19:00 - Arquivo xog sendo gravado em: C:\xog_sanofi\BenefitPlan_20170410_190055.xml</t>
  </si>
  <si>
    <t>2017-04-10_19:10 - -------------Início da exportação transações de projeto-------------</t>
  </si>
  <si>
    <t>2017-04-10_19:10 - Arquivo xog sendo gravado em: C:\xog_sanofi\BenefitPlan_20170410_191008.xml</t>
  </si>
  <si>
    <t>2017-04-10_19:10 - Proxy identificado</t>
  </si>
  <si>
    <t>2017-04-10_19:10 -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</si>
  <si>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2017-04-10_19:10 - Enviando requisição de login</t>
  </si>
  <si>
    <t>2017-04-10_19:10 - Login realizado. SessionID capturado: 9323685__746FD4F4-AB84-4952-A737-40475BF76E1E</t>
  </si>
  <si>
    <t>2017-04-10_19:10 - Chamando mensagem de requisição</t>
  </si>
  <si>
    <t>2017-04-10_19:10 - Capturando resultado final</t>
  </si>
  <si>
    <t>2017-04-10_19:10 - Efetuando logout</t>
  </si>
  <si>
    <t>2017-04-10_19:10 - Logout realizado</t>
  </si>
  <si>
    <t>2017-04-10_19:10 - -------------Fim da exportação transações de projeto-------------</t>
  </si>
  <si>
    <t>2017-04-10_19:11 - -------------Início da exportação transações de projeto-------------</t>
  </si>
  <si>
    <t>2017-04-10_19:11 - Arquivo xog sendo gravado em: C:\xog_sanofi\BenefitPlan_20170410_191135.xml</t>
  </si>
  <si>
    <t>2017-04-10_19:11 - Proxy identificado</t>
  </si>
  <si>
    <t>2017-04-10_19:11 -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</si>
  <si>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2017-04-10_19:11 - Enviando requisição de login</t>
  </si>
  <si>
    <t>2017-04-10_19:11 - Login realizado. SessionID capturado: 9323721__D7F676D7-980E-4338-B101-58553F8DEE8A</t>
  </si>
  <si>
    <t>2017-04-10_19:11 - Chamando mensagem de requisição</t>
  </si>
  <si>
    <t>2017-04-10_19:11 - Capturando resultado final</t>
  </si>
  <si>
    <t>2017-04-10_19:11 - Efetuando logout</t>
  </si>
  <si>
    <t>2017-04-10_19:11 - Logout realizado</t>
  </si>
  <si>
    <t>2017-04-10_19:11 - -------------Fim da exportação transações de projeto-------------</t>
  </si>
  <si>
    <t>2017-04-10_19:13 - -------------Início da exportação transações de projeto-------------</t>
  </si>
  <si>
    <t>2017-04-10_19:13 - Arquivo xog sendo gravado em: C:\xog_sanofi\BenefitPlan_20170410_191333.xml</t>
  </si>
  <si>
    <t>2017-04-10_19:13 - Proxy identificado</t>
  </si>
  <si>
    <t>2017-04-10_19:13 -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</si>
  <si>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2017-04-10_19:13 - Enviando requisição de login</t>
  </si>
  <si>
    <t>2017-04-10_19:13 - Login realizado. SessionID capturado: 9323769__2834F3E5-C464-4CB4-94AB-FC48EA66B0E3</t>
  </si>
  <si>
    <t>2017-04-10_19:13 - Chamando mensagem de requisição</t>
  </si>
  <si>
    <t>2017-04-10_19:13 - Capturando resultado final</t>
  </si>
  <si>
    <t>2017-04-10_19:13 - Efetuando logout</t>
  </si>
  <si>
    <t>2017-04-10_19:13 - Logout realizado</t>
  </si>
  <si>
    <t>2017-04-10_19:13 - -------------Fim da exportação transações de projeto-------------</t>
  </si>
  <si>
    <t>2017-04-10_19:14 - Proxy identificado</t>
  </si>
  <si>
    <t>2017-04-10_19:14 - Escrevendo tarefas...</t>
  </si>
  <si>
    <t>cogs</t>
  </si>
  <si>
    <t>discounts</t>
  </si>
  <si>
    <t>distrib_costs</t>
  </si>
  <si>
    <t>gross_sales</t>
  </si>
  <si>
    <t>income_tax</t>
  </si>
  <si>
    <t>promotion_expenses</t>
  </si>
  <si>
    <t>rd_opex</t>
  </si>
  <si>
    <t>rd_studies</t>
  </si>
  <si>
    <t>restructuring</t>
  </si>
  <si>
    <t>royalties</t>
  </si>
  <si>
    <t>sales_force</t>
  </si>
  <si>
    <t>tax_effect</t>
  </si>
  <si>
    <t>2017-04-10_19:16 - -------------Início da exportação transações de projeto-------------</t>
  </si>
  <si>
    <t>2017-04-10_19:16 - Arquivo xog sendo gravado em: C:\xog_sanofi\BenefitPlan_20170410_191620.xml</t>
  </si>
  <si>
    <t>2017-04-10_19:16 - Proxy identificado</t>
  </si>
  <si>
    <t>2017-04-10_19:16 -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</si>
  <si>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2017-04-10_19:16 - Enviando requisição de login</t>
  </si>
  <si>
    <t>2017-04-10_19:16 - Login realizado. SessionID capturado: 9323840__3ACE9972-4C85-46E9-A5B5-359F8B185877</t>
  </si>
  <si>
    <t>2017-04-10_19:16 - Chamando mensagem de requisição</t>
  </si>
  <si>
    <t>2017-04-10_19:16 - Capturando resultado final</t>
  </si>
  <si>
    <t>2017-04-10_19:16 - Efetuando logout</t>
  </si>
  <si>
    <t>2017-04-10_19:16 - Logout realizado</t>
  </si>
  <si>
    <t>2017-04-10_19:16 - -------------Fim da exportação transações de projeto-------------</t>
  </si>
  <si>
    <t>2017-04-10_19:19 - -------------Início da exportação transações de projeto-------------</t>
  </si>
  <si>
    <t>2017-04-10_19:19 - Arquivo xog sendo gravado em: C:\xog_sanofi\BenefitPlan_20170410_191924.xml</t>
  </si>
  <si>
    <t>2017-04-10_19:19 - Proxy identificado</t>
  </si>
  <si>
    <t>2017-04-10_19:19 -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</si>
  <si>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2017-04-10_19:19 - Enviando requisição de login</t>
  </si>
  <si>
    <t>2017-04-10_19:19 - Login realizado. SessionID capturado: 9323915__B4B4D140-7C28-4B50-A94B-13BCB8C29D8B</t>
  </si>
  <si>
    <t>2017-04-10_19:19 - Chamando mensagem de requisição</t>
  </si>
  <si>
    <t>2017-04-10_19:19 - Capturando resultado final</t>
  </si>
  <si>
    <t>2017-04-10_19:19 - Efetuando logout</t>
  </si>
  <si>
    <t>2017-04-10_19:19 - Logout realizado</t>
  </si>
  <si>
    <t>2017-04-10_19:19 - -------------Fim da exportação transações de projeto-------------</t>
  </si>
  <si>
    <t>2017-04-11_10:08 - Proxy identificado</t>
  </si>
  <si>
    <t>2017-04-11_10:08 - Escrevendo tarefas...</t>
  </si>
  <si>
    <t>2017-04-11_10:21 - Proxy identificado</t>
  </si>
  <si>
    <t>2017-04-11_10:21 - Escrevendo tarefas...</t>
  </si>
  <si>
    <t>2017-04-11_10:37 - -------------Início da exportação transações de projeto-------------</t>
  </si>
  <si>
    <t>2017-04-11_10:37 - Arquivo xog sendo gravado em: C:\xog_sanofi\BenefitPlan_20170411_103706.xml</t>
  </si>
  <si>
    <t>2017-04-11_10:37 - -------------Fim da exportação transações de projeto-------------</t>
  </si>
  <si>
    <t>2017-04-11_10:50 - -------------Início da exportação transações de projeto-------------</t>
  </si>
  <si>
    <t>2017-04-11_10:50 - Arquivo xog sendo gravado em: C:\xog_sanofi\benefitPlan_write_20170411_105005.xml</t>
  </si>
  <si>
    <t>2017-04-11_10:50 - -------------Fim da exportação transações de projeto-------------</t>
  </si>
  <si>
    <t>2017-04-11_10:50 - Arquivo xog sendo gravado em: C:\xog_sanofi\benefitPlan_20170411_105034.xml</t>
  </si>
  <si>
    <t>2017-04-11_10:55 - Proxy identificado</t>
  </si>
  <si>
    <t>2017-04-11_10:55 - Escrevendo tarefas...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</si>
  <si>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</si>
  <si>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</si>
  <si>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</si>
  <si>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</si>
  <si>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</si>
  <si>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</si>
  <si>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</si>
  <si>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</si>
  <si>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</si>
  <si>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</si>
  <si>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</si>
  <si>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</si>
  <si>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</si>
  <si>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</si>
  <si>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</si>
  <si>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</si>
  <si>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</si>
  <si>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</si>
  <si>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</si>
  <si>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</si>
  <si>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</si>
  <si>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</si>
  <si>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</si>
  <si>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</si>
  <si>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</si>
  <si>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</si>
  <si>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</si>
  <si>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</si>
  <si>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</si>
  <si>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</si>
  <si>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</si>
  <si>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</si>
  <si>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</si>
  <si>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</si>
  <si>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</si>
  <si>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</si>
  <si>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</si>
  <si>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</si>
  <si>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</si>
  <si>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</si>
  <si>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</si>
  <si>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</si>
  <si>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</si>
  <si>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</si>
  <si>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</si>
  <si>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</si>
  <si>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</si>
  <si>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</si>
  <si>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</si>
  <si>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</si>
  <si>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</si>
  <si>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</si>
  <si>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</si>
  <si>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</si>
  <si>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</si>
  <si>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</si>
  <si>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2017-04-11_10:58 - -------------Início da exportação transações de projeto-------------</t>
  </si>
  <si>
    <t>2017-04-11_10:58 - Arquivo xog sendo gravado em: C:\xog_sanofi\benefitPlan_20170411_105859.xml</t>
  </si>
  <si>
    <t>2017-04-11_10:58 - Proxy identificado</t>
  </si>
  <si>
    <t>2017-04-11_10:58 -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</si>
  <si>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2017-04-11_10:58 - Enviando requisição de login</t>
  </si>
  <si>
    <t>2017-04-11_10:59 - Login realizado. SessionID capturado: 9349670__20F348C4-BC39-4A96-AAFC-4EB4FC05FA41</t>
  </si>
  <si>
    <t>2017-04-11_10:59 - Chamando mensagem de requisição</t>
  </si>
  <si>
    <t>2017-04-11_10:59 - Capturando resultado final</t>
  </si>
  <si>
    <t>2017-04-11_10:59 - Efetuando logout</t>
  </si>
  <si>
    <t>2017-04-11_10:59 - Logout realizado</t>
  </si>
  <si>
    <t>2017-04-11_10:59 - -------------Fim da exportação transações de projeto-------------</t>
  </si>
  <si>
    <t>2017-04-11_10:59 - -------------Início da exportação transações de projeto-------------</t>
  </si>
  <si>
    <t>2017-04-11_10:59 - Arquivo xog sendo gravado em: C:\xog_sanofi\benefitPlan_20170411_105954.xml</t>
  </si>
  <si>
    <t>2017-04-11_10:59 - Proxy identificado</t>
  </si>
  <si>
    <t>2017-04-11_10:59 -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</si>
  <si>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2017-04-11_10:59 - Enviando requisição de login</t>
  </si>
  <si>
    <t>2017-04-11_10:59 - Login realizado. SessionID capturado: 9349694__1FA110F0-EFAE-40BB-99B1-2F917358B02E</t>
  </si>
  <si>
    <t>Investments Code</t>
  </si>
  <si>
    <t>Investments Name</t>
  </si>
  <si>
    <t>dtt_qry_prj_info</t>
  </si>
  <si>
    <t>2017-04-11_14:02 - Proxy identificado</t>
  </si>
  <si>
    <t>2017-04-11_14:02 - Writing Benefit Plan Class...</t>
  </si>
  <si>
    <t>2017-04-11_14:02 - Writing Benefit Plan Subclass...</t>
  </si>
  <si>
    <t>2017-04-11_14:02 - Writing Project Informations...</t>
  </si>
  <si>
    <t>PROJECT OVERVIEW</t>
  </si>
  <si>
    <t>FINANCIAL KPIs</t>
  </si>
  <si>
    <t>DISC., AFTER TAX, NOT RISK ADJ.</t>
  </si>
  <si>
    <t>DISCOUNTED</t>
  </si>
  <si>
    <t>NON-DISC.</t>
  </si>
  <si>
    <t>NPV (w/TV)</t>
  </si>
  <si>
    <t>NPV (w/o TV)</t>
  </si>
  <si>
    <t>CV/I</t>
  </si>
  <si>
    <t>COM. VALUE</t>
  </si>
  <si>
    <t>COMMERCIAL VALUE / INVESTMENT (ROI)</t>
  </si>
  <si>
    <t>IRR</t>
  </si>
  <si>
    <t>WACC</t>
  </si>
  <si>
    <r>
      <t xml:space="preserve">PAYBACK </t>
    </r>
    <r>
      <rPr>
        <b/>
        <sz val="8"/>
        <rFont val="Arial"/>
        <family val="2"/>
        <charset val="238"/>
      </rPr>
      <t>(from launch)</t>
    </r>
  </si>
  <si>
    <r>
      <t xml:space="preserve">PAYBACK </t>
    </r>
    <r>
      <rPr>
        <b/>
        <sz val="8"/>
        <rFont val="Arial"/>
        <family val="2"/>
        <charset val="238"/>
      </rPr>
      <t>(from acquisition)</t>
    </r>
  </si>
  <si>
    <t>MIM SUPPLY % OF TOTAL VOLUME</t>
  </si>
  <si>
    <t>VOLUME COMMITMENT</t>
  </si>
  <si>
    <t>FINANCIAL CONSIDERATION (KBRL)</t>
  </si>
  <si>
    <t>INVESTMENT (KBRL)</t>
  </si>
  <si>
    <t>NPV (kBRL)</t>
  </si>
  <si>
    <t>2017-04-11_18:24 - -------------Início da exportação transações de projeto-------------</t>
  </si>
  <si>
    <t>2017-04-11_18:24 - Arquivo xog sendo gravado em: C:\xog_sanofi\prj_projects_20170411_182428.xml</t>
  </si>
  <si>
    <t>2017-04-11_18:30 - -------------Início da exportação transações de projeto-------------</t>
  </si>
  <si>
    <t>2017-04-11_18:30 - Arquivo xog sendo gravado em: C:\xog_sanofi\prj_projects_20170411_183028.xml</t>
  </si>
  <si>
    <t>2017-04-11_18:31 - -------------Início da exportação transações de projeto-------------</t>
  </si>
  <si>
    <t>2017-04-11_18:31 - Arquivo xog sendo gravado em: C:\xog_sanofi\prj_projects_20170411_183131.xml</t>
  </si>
  <si>
    <t>2017-04-11_18:32 - Proxy identificado</t>
  </si>
  <si>
    <t>2017-04-11_18:32 - Writing Benefit Plan Class...</t>
  </si>
  <si>
    <t>2017-04-11_18:32 - Writing Benefit Plan Subclass...</t>
  </si>
  <si>
    <t>2017-04-11_18:32 - Writing Project Informations...</t>
  </si>
  <si>
    <t>2017-04-11_18:40 - -------------Início da exportação transações de projeto-------------</t>
  </si>
  <si>
    <t>2017-04-11_18:40 - Arquivo xog sendo gravado em: C:\xog_sanofi\prj_projects_20170411_184000.xml</t>
  </si>
  <si>
    <t>2017-04-11_18:46 - -------------Início da exportação transações de projeto-------------</t>
  </si>
  <si>
    <t>2017-04-11_18:46 - Arquivo xog sendo gravado em: C:\xog_sanofi\prj_projects_20170411_184617.xml</t>
  </si>
  <si>
    <t>2017-04-12_09:59 - Proxy identificado</t>
  </si>
  <si>
    <t>2017-04-12_10:00 - Proxy identificado</t>
  </si>
  <si>
    <t>2017-04-12_10:00 - Writing Benefit Plan Class...</t>
  </si>
  <si>
    <t>2017-04-12_10:00 - Writing Benefit Plan Subclass...</t>
  </si>
  <si>
    <t>2017-04-12_10:00 - Writing Project Informations...</t>
  </si>
  <si>
    <t>2017-04-12_10:05 - -------------Início da exportação transações de projeto-------------</t>
  </si>
  <si>
    <t>2017-04-12_10:05 - Arquivo xog sendo gravado em: C:\xog_sanofi\prj_projects_20170412_100512.xml</t>
  </si>
  <si>
    <t>2017-04-12_10:05 - -------------Fim da exportação transações de projeto-------------</t>
  </si>
  <si>
    <t>2017-04-12_10:05 - Arquivo xog sendo gravado em: C:\xog_sanofi\benefitPlan_20170412_100512.xml</t>
  </si>
  <si>
    <t>2017-04-12_10:05 - Proxy identificado</t>
  </si>
  <si>
    <t>2017-04-12_10:05 -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</si>
  <si>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2017-04-12_10:05 - Enviando requisição de login</t>
  </si>
  <si>
    <t>2017-04-12_10:05 - Login realizado. SessionID capturado: 9386231__D5702FD8-1836-4705-95A3-74F5CBC1D2A4</t>
  </si>
  <si>
    <t>2017-04-12_10:05 - Chamando mensagem de requisição</t>
  </si>
  <si>
    <t>2017-04-12_10:05 - Capturando resultado final</t>
  </si>
  <si>
    <t>2017-04-12_10:05 - Efetuando logout</t>
  </si>
  <si>
    <t>2017-04-12_10:05 - Logout realizado</t>
  </si>
  <si>
    <t>2017-04-12_10:05 - Arquivo xog sendo gravado em: C:\xog_sanofi\prj_projects_20170412_100559.xml</t>
  </si>
  <si>
    <t>2017-04-12_10:05 - Login realizado. SessionID capturado: 9386250__27823492-4112-4014-B160-342519855AD0</t>
  </si>
  <si>
    <t>2017-04-12_10:05 - Arquivo xog sendo gravado em: C:\xog_sanofi\benefitPlan_20170412_100559.xml</t>
  </si>
  <si>
    <t>2017-04-12_10:06 - Proxy identificado</t>
  </si>
  <si>
    <t>2017-04-12_10:06 -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</si>
  <si>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2017-04-12_10:06 - Enviando requisição de login</t>
  </si>
  <si>
    <t>2017-04-12_10:06 - Login realizado. SessionID capturado: 9386252__999CB0B8-D669-48E9-8C94-C08CEA6F1536</t>
  </si>
  <si>
    <t>2017-04-12_10:06 - Chamando mensagem de requisição</t>
  </si>
  <si>
    <t>2017-04-12_10:06 - Capturando resultado final</t>
  </si>
  <si>
    <t>2017-04-12_10:06 - Efetuando logout</t>
  </si>
  <si>
    <t>2017-04-12_10:06 - Logout realizado</t>
  </si>
  <si>
    <t>2017-04-12_10:06 - -------------Fim da exportação transações de projeto-------------</t>
  </si>
  <si>
    <t>2017-04-12_10:07 - -------------Início da exportação transações de projeto-------------</t>
  </si>
  <si>
    <t>2017-04-12_10:07 - Arquivo xog sendo gravado em: C:\xog_sanofi\prj_projects_20170412_100716.xml</t>
  </si>
  <si>
    <t>2017-04-12_10:07 - Proxy identificado</t>
  </si>
  <si>
    <t>2017-04-12_10:07 -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</si>
  <si>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2017-04-12_10:07 - Enviando requisição de login</t>
  </si>
  <si>
    <t>2017-04-12_10:07 - Login realizado. SessionID capturado: 9386283__0739E24C-29E6-4F1D-83DF-B89D1E68408E</t>
  </si>
  <si>
    <t>2017-04-12_10:07 - Chamando mensagem de requisição</t>
  </si>
  <si>
    <t>2017-04-12_10:07 - Capturando resultado final</t>
  </si>
  <si>
    <t>2017-04-12_10:07 - Efetuando logout</t>
  </si>
  <si>
    <t>2017-04-12_10:07 - Logout realizado</t>
  </si>
  <si>
    <t>2017-04-12_10:07 - -------------Fim da exportação transações de projeto-------------</t>
  </si>
  <si>
    <t>2017-04-12_10:07 - Arquivo xog sendo gravado em: C:\xog_sanofi\benefitPlan_20170412_100717.xml</t>
  </si>
  <si>
    <t>2017-04-12_10:07 - Login realizado. SessionID capturado: 9386285__B3C1234A-2979-4F16-9BA5-DBBBD45F4AC4</t>
  </si>
  <si>
    <t>2017-04-12_10:24 - -------------Início da exportação transações de projeto-------------</t>
  </si>
  <si>
    <t>2017-04-12_10:24 - Arquivo xog sendo gravado em: C:\xog_sanofi\prj_projects_20170412_102403.xml</t>
  </si>
  <si>
    <t>2017-04-12_10:24 - Proxy identificado</t>
  </si>
  <si>
    <t>2017-04-12_10:24 -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</si>
  <si>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2017-04-12_10:24 - Enviando requisição de login</t>
  </si>
  <si>
    <t>2017-04-12_10:24 - Login realizado. SessionID capturado: 9386697__4BACF637-A081-400E-B50B-0EEF5AA4CE65</t>
  </si>
  <si>
    <t>2017-04-12_10:24 - Chamando mensagem de requisição</t>
  </si>
  <si>
    <t>2017-04-12_10:24 - Capturando resultado final</t>
  </si>
  <si>
    <t>2017-04-12_10:24 - Efetuando logout</t>
  </si>
  <si>
    <t>2017-04-12_10:24 - Logout realizado</t>
  </si>
  <si>
    <t>2017-04-12_10:24 - -------------Fim da exportação transações de projeto-------------</t>
  </si>
  <si>
    <t>2017-04-12_10:24 - Arquivo xog sendo gravado em: C:\xog_sanofi\benefitPlan_20170412_102406.xml</t>
  </si>
  <si>
    <t>2017-04-12_10:24 - Login realizado. SessionID capturado: 9386698__1F346B80-F0BB-43A0-AE1C-298C25DDCF7F</t>
  </si>
  <si>
    <t>Detail Debug?</t>
  </si>
  <si>
    <t>2017-04-12_11:00 - Proxy identificado</t>
  </si>
  <si>
    <t>2017-04-12_11:00 - Writing Benefit Plan Class...</t>
  </si>
  <si>
    <t>2017-04-12_11:00 - Writing Benefit Plan Subclass...</t>
  </si>
  <si>
    <t>2017-04-12_11:00 - Writing Project Informations...</t>
  </si>
  <si>
    <t>2017-04-24_14:17 - -------------Início da exportação transações de projeto-------------</t>
  </si>
  <si>
    <t>2017-04-24_14:17 - Arquivo xog sendo gravado em: C:\xog_sanofi\co_san_vol_ksu_20170424_141726.xml</t>
  </si>
  <si>
    <t>2017-04-24_14:19 - -------------Início da exportação transações de projeto-------------</t>
  </si>
  <si>
    <t>2017-04-24_14:19 - Arquivo xog sendo gravado em: C:\xog_sanofi\co_san_vol_ksu_20170424_141902.xml</t>
  </si>
  <si>
    <t>2017-04-24_14:19 - Arquivo xog sendo gravado em: C:\xog_sanofi\co_san_vol_ksu_20170424_141934.xml</t>
  </si>
  <si>
    <t>2017-04-24_14:19 - Arquivo xog sendo gravado em: C:\xog_sanofi\co_san_vol_ksu_20170424_141953.xml</t>
  </si>
  <si>
    <t>2017-04-24_14:20 - -------------Início da exportação transações de projeto-------------</t>
  </si>
  <si>
    <t>2017-04-24_14:20 - Arquivo xog sendo gravado em: C:\xog_sanofi\co_san_vol_ksu_20170424_142033.xml</t>
  </si>
  <si>
    <t>2017-04-24_14:24 - -------------Início da exportação transações de projeto-------------</t>
  </si>
  <si>
    <t>2017-04-24_14:24 - Arquivo xog sendo gravado em: C:\xog_sanofi\co_san_vol_ksu_20170424_142409.xml</t>
  </si>
  <si>
    <t>2017-04-24_14:24 - Arquivo xog sendo gravado em: C:\xog_sanofi\co_san_vol_ksu_20170424_142438.xml</t>
  </si>
  <si>
    <t>2017-04-24_14:25 - -------------Início da exportação transações de projeto-------------</t>
  </si>
  <si>
    <t>2017-04-24_14:25 - Arquivo xog sendo gravado em: C:\xog_sanofi\co_san_vol_ksu_20170424_142539.xml</t>
  </si>
  <si>
    <t>2017-04-24_14:26 - -------------Início da exportação transações de projeto-------------</t>
  </si>
  <si>
    <t>2017-04-24_14:26 - Arquivo xog sendo gravado em: C:\xog_sanofi\co_san_vol_ksu_20170424_142631.xml</t>
  </si>
  <si>
    <t>2017-04-24_14:27 - -------------Início da exportação transações de projeto-------------</t>
  </si>
  <si>
    <t>2017-04-24_14:27 - Arquivo xog sendo gravado em: C:\xog_sanofi\co_san_vol_ksu_20170424_142755.xml</t>
  </si>
  <si>
    <t>2017-04-24_14:28 - -------------Início da exportação transações de projeto-------------</t>
  </si>
  <si>
    <t>2017-04-24_14:28 - Arquivo xog sendo gravado em: C:\xog_sanofi\co_san_vol_ksu_20170424_142808.xml</t>
  </si>
  <si>
    <t>2017-04-24_14:31 - -------------Início da exportação transações de projeto-------------</t>
  </si>
  <si>
    <t>2017-04-24_14:31 - Arquivo xog sendo gravado em: C:\xog_sanofi\co_san_vol_ksu_20170424_143114.xml</t>
  </si>
  <si>
    <t>2017-04-24_14:31 - Arquivo xog sendo gravado em: C:\xog_sanofi\co_san_vol_ksu_20170424_143130.xml</t>
  </si>
  <si>
    <t>2017-04-24_14:32 - -------------Início da exportação transações de projeto-------------</t>
  </si>
  <si>
    <t>2017-04-24_14:32 - Arquivo xog sendo gravado em: C:\xog_sanofi\co_san_vol_ksu_20170424_143207.xml</t>
  </si>
  <si>
    <t>2017-04-24_14:32 - Arquivo xog sendo gravado em: C:\xog_sanofi\co_san_vol_ksu_20170424_143214.xml</t>
  </si>
  <si>
    <t>2017-04-24_14:32 - Arquivo xog sendo gravado em: C:\xog_sanofi\co_san_vol_ksu_20170424_143227.xml</t>
  </si>
  <si>
    <t>2017-04-24_14:32 - Arquivo xog sendo gravado em: C:\xog_sanofi\co_san_vol_ksu_20170424_143243.xml</t>
  </si>
  <si>
    <t>2017-04-24_14:33 - -------------Início da exportação transações de projeto-------------</t>
  </si>
  <si>
    <t>2017-04-24_14:33 - Arquivo xog sendo gravado em: C:\xog_sanofi\co_san_vol_ksu_20170424_143333.xml</t>
  </si>
  <si>
    <t>2017-04-24_14:34 - -------------Início da exportação transações de projeto-------------</t>
  </si>
  <si>
    <t>2017-04-24_14:34 - Arquivo xog sendo gravado em: C:\xog_sanofi\co_san_vol_ksu_20170424_143430.xml</t>
  </si>
  <si>
    <t>2017-04-24_15:14 - -------------Início da exportação transações de projeto-------------</t>
  </si>
  <si>
    <t>2017-04-24_15:14 - Arquivo xog sendo gravado em: C:\xog_sanofi\co_san_vol_ksu_20170424_151403.xml</t>
  </si>
  <si>
    <t>2017-04-24_15:16 - -------------Início da exportação transações de projeto-------------</t>
  </si>
  <si>
    <t>2017-04-24_15:16 - Arquivo xog sendo gravado em: C:\xog_sanofi\co_san_vol_ksu_20170424_151611.xml</t>
  </si>
  <si>
    <t>2017-04-24_15:19 - -------------Início da exportação transações de projeto-------------</t>
  </si>
  <si>
    <t>2017-04-24_15:19 - Arquivo xog sendo gravado em: C:\xog_sanofi\co_san_vol_ksu_20170424_151901.xml</t>
  </si>
  <si>
    <t>2017-04-24_15:29 - -------------Início da exportação transações de projeto-------------</t>
  </si>
  <si>
    <t>2017-04-24_15:29 - Arquivo xog sendo gravado em: C:\xog_sanofi\co_san_vol_ksu_20170424_152926.xml</t>
  </si>
  <si>
    <t>2017-04-24_15:32 - -------------Início da exportação transações de projeto-------------</t>
  </si>
  <si>
    <t>2017-04-24_15:32 - Arquivo xog sendo gravado em: C:\xog_sanofi\co_san_vol_ksu_20170424_153233.xml</t>
  </si>
  <si>
    <t>2017-04-24_15:35 - -------------Início da exportação transações de projeto-------------</t>
  </si>
  <si>
    <t>2017-04-24_15:35 - Arquivo xog sendo gravado em: C:\xog_sanofi\co_san_vol_ksu_20170424_153555.xml</t>
  </si>
  <si>
    <t>2017-04-24_15:39 - -------------Início da exportação transações de projeto-------------</t>
  </si>
  <si>
    <t>2017-04-24_15:39 - Arquivo xog sendo gravado em: C:\xog_sanofi\co_san_vol_ksu_20170424_153919.xml</t>
  </si>
  <si>
    <t>2017-04-24_15:47 - -------------Início da exportação transações de projeto-------------</t>
  </si>
  <si>
    <t>2017-04-24_15:47 - Arquivo xog sendo gravado em: C:\xog_sanofi\co_san_vol_ksu_20170424_154703.xml</t>
  </si>
  <si>
    <t>2017-04-24_15:48 - -------------Início da exportação transações de projeto-------------</t>
  </si>
  <si>
    <t>2017-04-24_15:48 - Arquivo xog sendo gravado em: C:\xog_sanofi\co_san_vol_ksu_20170424_154803.xml</t>
  </si>
  <si>
    <t>2017-04-24_15:50 - -------------Início da exportação transações de projeto-------------</t>
  </si>
  <si>
    <t>2017-04-24_15:50 - Arquivo xog sendo gravado em: C:\xog_sanofi\co_san_vol_ksu_20170424_155038.xml</t>
  </si>
  <si>
    <t>2017-04-24_15:53 - -------------Início da exportação transações de projeto-------------</t>
  </si>
  <si>
    <t>2017-04-24_15:53 - Arquivo xog sendo gravado em: C:\xog_sanofi\co_san_vol_ksu_20170424_155359.xml</t>
  </si>
  <si>
    <t>2017-04-24_16:31 - -------------Início da exportação transações de projeto-------------</t>
  </si>
  <si>
    <t>2017-04-24_16:31 - Arquivo xog sendo gravado em: C:\xog_sanofi\co_san_vol_ksu_20170424_163155.xml</t>
  </si>
  <si>
    <t>2017-04-24_16:34 - -------------Início da exportação transações de projeto-------------</t>
  </si>
  <si>
    <t>2017-04-24_16:34 - Arquivo xog sendo gravado em: C:\xog_sanofi\co_san_vol_ksu_20170424_163458.xml</t>
  </si>
  <si>
    <t>2017-04-24_16:34 - Proxy identificado</t>
  </si>
  <si>
    <t>2017-04-24_16:34 -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</si>
  <si>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2017-04-24_16:34 - Enviando requisição de login</t>
  </si>
  <si>
    <t>2017-04-24_16:34 - Login realizado. SessionID capturado: 9859653__2773E184-04A2-49A1-BE31-0A64E1A19DA7</t>
  </si>
  <si>
    <t>2017-04-24_16:34 - Chamando mensagem de requisição</t>
  </si>
  <si>
    <t>2017-04-24_16:34 - Capturando resultado final</t>
  </si>
  <si>
    <t>2017-04-24_16:34 - Efetuando logout</t>
  </si>
  <si>
    <t>2017-04-24_16:35 - Logout realizado</t>
  </si>
  <si>
    <t>2017-04-24_16:35 - -------------Fim da exportação transações de projeto-------------</t>
  </si>
  <si>
    <t>2017-04-24_18:34 - -------------Início da exportação transações de projeto-------------</t>
  </si>
  <si>
    <t>2017-04-24_18:34 - Arquivo xog sendo gravado em: C:\xog_sanofi\co_san_vol_ksu_20170424_183404.xml</t>
  </si>
  <si>
    <t>2017-04-24_18:34 - Proxy identificado</t>
  </si>
  <si>
    <t>2017-04-24_18:34 -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</si>
  <si>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2017-04-24_18:34 - Enviando requisição de login</t>
  </si>
  <si>
    <t>2017-04-24_18:34 - Login realizado. SessionID capturado: 9862536__8750D486-3097-450C-9228-160A708506FB</t>
  </si>
  <si>
    <t>2017-04-24_18:34 - Chamando mensagem de requisição</t>
  </si>
  <si>
    <t>2017-04-24_18:34 - Capturando resultado final</t>
  </si>
  <si>
    <t>2017-04-24_18:34 - Efetuando logout</t>
  </si>
  <si>
    <t>2017-04-24_18:34 - Logout realizado</t>
  </si>
  <si>
    <t>2017-04-24_18:34 - -------------Fim da exportação transações de projeto-------------</t>
  </si>
  <si>
    <t>2017-04-24_18:35 - Proxy identificado</t>
  </si>
  <si>
    <t>2017-04-24_18:35 - Writing Benefit Plan Class...</t>
  </si>
  <si>
    <t>2017-04-24_18:35 - Writing Benefit Plan Subclass...</t>
  </si>
  <si>
    <t>2017-04-24_18:35 - Writing Project Informations...</t>
  </si>
  <si>
    <t>2017-04-24_18:37 - -------------Início da exportação transações de projeto-------------</t>
  </si>
  <si>
    <t>2017-04-24_18:37 - Arquivo xog sendo gravado em: C:\xog_sanofi\prj_projects_20170424_183726.xml</t>
  </si>
  <si>
    <t>2017-04-24_18:37 - Proxy identificado</t>
  </si>
  <si>
    <t>2017-04-24_18:37 -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</si>
  <si>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2017-04-24_18:37 - Enviando requisição de login</t>
  </si>
  <si>
    <t>2017-04-24_18:37 - Login realizado. SessionID capturado: 9862622__D01AE0CE-A795-4132-8F1D-9AEE8FDE46D6</t>
  </si>
  <si>
    <t>2017-04-24_18:37 - Chamando mensagem de requisição</t>
  </si>
  <si>
    <t>2017-04-24_18:37 - Capturando resultado final</t>
  </si>
  <si>
    <t>2017-04-24_18:37 - Efetuando logout</t>
  </si>
  <si>
    <t>2017-04-24_18:37 - Logout realizado</t>
  </si>
  <si>
    <t>2017-04-24_18:37 - -------------Fim da exportação transações de projeto-------------</t>
  </si>
  <si>
    <t>2017-04-24_18:37 - Arquivo xog sendo gravado em: C:\xog_sanofi\benefitPlan_20170424_183729.xml</t>
  </si>
  <si>
    <t>2017-04-24_18:37 - Login realizado. SessionID capturado: 9862624__8A55E797-8F14-4274-BC44-2A312B7DC091</t>
  </si>
  <si>
    <t>No</t>
  </si>
  <si>
    <t>Form</t>
  </si>
  <si>
    <t>Strength</t>
  </si>
  <si>
    <t>SU in pack</t>
  </si>
  <si>
    <t>RSFcst</t>
  </si>
  <si>
    <t>REFcst</t>
  </si>
  <si>
    <t>CSFcst</t>
  </si>
  <si>
    <t>CEFcst</t>
  </si>
  <si>
    <t>2017-04-28_13:12 - Writing Benefit Plan Class...</t>
  </si>
  <si>
    <t>2017-04-28_13:12 - Writing Benefit Plan Subclass...</t>
  </si>
  <si>
    <t>2017-04-28_13:12 - Writing Project Informations...</t>
  </si>
  <si>
    <t>RSNew</t>
  </si>
  <si>
    <t>RENew</t>
  </si>
  <si>
    <t>CSNew</t>
  </si>
  <si>
    <t>CENew</t>
  </si>
  <si>
    <t>Forecast / Sales</t>
  </si>
  <si>
    <t>PPG (%)</t>
  </si>
  <si>
    <t>Generic Market</t>
  </si>
  <si>
    <t>Gx penetration (%)</t>
  </si>
  <si>
    <t>Sanofi Gx Price</t>
  </si>
  <si>
    <t>PPG %</t>
  </si>
  <si>
    <t>SGx Net Price</t>
  </si>
  <si>
    <t>COGS per Unit (%)</t>
  </si>
  <si>
    <t>COGS per Unit (€)</t>
  </si>
  <si>
    <t>Value (Ths. €)</t>
  </si>
  <si>
    <t>Gross Sales</t>
  </si>
  <si>
    <t>Discount%</t>
  </si>
  <si>
    <t>Net Sales</t>
  </si>
  <si>
    <t>Gross margin</t>
  </si>
  <si>
    <t>GM%</t>
  </si>
  <si>
    <t>n.a.</t>
  </si>
  <si>
    <t>Total</t>
  </si>
  <si>
    <t>Sanofi Gx</t>
  </si>
  <si>
    <t>Sanofi Gx MS (%) from Gx</t>
  </si>
  <si>
    <t>PnL</t>
  </si>
  <si>
    <t xml:space="preserve">PROFENID RELAX  </t>
  </si>
  <si>
    <t>Profenid relax</t>
  </si>
  <si>
    <t>SKU</t>
  </si>
  <si>
    <t>Dosage</t>
  </si>
  <si>
    <t>2017-05-02_14:41 - -------------Início da exportação transações de projeto-------------</t>
  </si>
  <si>
    <t>2017-05-02_14:41 - Arquivo xog sendo gravado em: C:\xog_sanofi\prj_sales_fcst_20170502_144155.xml</t>
  </si>
  <si>
    <t>2017-05-02_14:42 - -------------Início da exportação transações de projeto-------------</t>
  </si>
  <si>
    <t>2017-05-02_14:42 - Arquivo xog sendo gravado em: C:\xog_sanofi\prj_sales_fcst_20170502_144211.xml</t>
  </si>
  <si>
    <t>2017-05-02_14:45 - -------------Início da exportação transações de projeto-------------</t>
  </si>
  <si>
    <t>2017-05-02_14:45 - Arquivo xog sendo gravado em: C:\xog_sanofi\prj_sales_fcst_20170502_144502.xml</t>
  </si>
  <si>
    <t>total</t>
  </si>
  <si>
    <t>ppg</t>
  </si>
  <si>
    <t>gen_mkt</t>
  </si>
  <si>
    <t>gx_penet</t>
  </si>
  <si>
    <t>san_gx</t>
  </si>
  <si>
    <t>san_gx_ms</t>
  </si>
  <si>
    <t>price_san_gx</t>
  </si>
  <si>
    <t>price_ppg</t>
  </si>
  <si>
    <t>price_sgx_net_price</t>
  </si>
  <si>
    <t>price_cogs_unit</t>
  </si>
  <si>
    <t>price_cogs_unit_brl</t>
  </si>
  <si>
    <t>v_gross_sales</t>
  </si>
  <si>
    <t>v_discount</t>
  </si>
  <si>
    <t>v_net_sales</t>
  </si>
  <si>
    <t>v_cogs</t>
  </si>
  <si>
    <t>v_gross_margim</t>
  </si>
  <si>
    <t>v_gm</t>
  </si>
  <si>
    <t>Type</t>
  </si>
  <si>
    <t>percentage</t>
  </si>
  <si>
    <t>value</t>
  </si>
  <si>
    <t>Attributes</t>
  </si>
  <si>
    <t>Form1</t>
  </si>
  <si>
    <t>Form2</t>
  </si>
  <si>
    <t>Form3</t>
  </si>
  <si>
    <t>Form4</t>
  </si>
  <si>
    <t>Form5</t>
  </si>
  <si>
    <t>Form6</t>
  </si>
  <si>
    <t>Form7</t>
  </si>
  <si>
    <t>Form8</t>
  </si>
  <si>
    <t>Form9</t>
  </si>
  <si>
    <t>2017-05-02_15:20 - -------------Início da exportação transações de projeto-------------</t>
  </si>
  <si>
    <t>2017-05-02_15:20 - Arquivo xog sendo gravado em: C:\xog_sanofi\prj_sales_fcst_20170502_152043.xml</t>
  </si>
  <si>
    <t>2017-05-02_15:21 - -------------Início da exportação transações de projeto-------------</t>
  </si>
  <si>
    <t>2017-05-02_15:21 - Arquivo xog sendo gravado em: C:\xog_sanofi\prj_sales_fcst_20170502_152118.xml</t>
  </si>
  <si>
    <t>2017-05-02_15:32 - -------------Início da exportação transações de projeto-------------</t>
  </si>
  <si>
    <t>2017-05-02_15:32 - Arquivo xog sendo gravado em: C:\xog_sanofi\prj_sales_fcst_20170502_153240.xml</t>
  </si>
  <si>
    <t>Agroup</t>
  </si>
  <si>
    <t>2017-05-02_15:35 - -------------Início da exportação transações de projeto-------------</t>
  </si>
  <si>
    <t>2017-05-02_15:35 - Arquivo xog sendo gravado em: C:\xog_sanofi\prj_sales_fcst_20170502_153514.xml</t>
  </si>
  <si>
    <t>2017-05-02_15:37 - -------------Início da exportação transações de projeto-------------</t>
  </si>
  <si>
    <t>2017-05-02_15:37 - Arquivo xog sendo gravado em: C:\xog_sanofi\prj_sales_fcst_20170502_153711.xml</t>
  </si>
  <si>
    <t>2017-05-02_15:40 - -------------Início da exportação transações de projeto-------------</t>
  </si>
  <si>
    <t>2017-05-02_15:40 - Arquivo xog sendo gravado em: C:\xog_sanofi\prj_sales_fcst_20170502_154012.xml</t>
  </si>
  <si>
    <t>2017-05-02_15:41 - -------------Início da exportação transações de projeto-------------</t>
  </si>
  <si>
    <t>2017-05-02_15:41 - Arquivo xog sendo gravado em: C:\xog_sanofi\prj_sales_fcst_20170502_154154.xml</t>
  </si>
  <si>
    <t>2017-05-02_15:43 - -------------Início da exportação transações de projeto-------------</t>
  </si>
  <si>
    <t>2017-05-02_15:43 - Arquivo xog sendo gravado em: C:\xog_sanofi\prj_sales_fcst_20170502_154344.xml</t>
  </si>
  <si>
    <t>2017-05-02_15:44 - -------------Início da exportação transações de projeto-------------</t>
  </si>
  <si>
    <t>2017-05-02_15:44 - Arquivo xog sendo gravado em: C:\xog_sanofi\prj_sales_fcst_20170502_154439.xml</t>
  </si>
  <si>
    <t>2017-05-02_16:19 - -------------Início da exportação transações de projeto-------------</t>
  </si>
  <si>
    <t>2017-05-02_16:19 - Arquivo xog sendo gravado em: C:\xog_sanofi\prj_sales_fcst_20170502_161910.xml</t>
  </si>
  <si>
    <t>2017-05-02_16:21 - -------------Início da exportação transações de projeto-------------</t>
  </si>
  <si>
    <t>2017-05-02_16:21 - Arquivo xog sendo gravado em: C:\xog_sanofi\prj_sales_fcst_20170502_162148.xml</t>
  </si>
  <si>
    <t>2017-05-02_16:24 - -------------Início da exportação transações de projeto-------------</t>
  </si>
  <si>
    <t>2017-05-02_16:24 - Arquivo xog sendo gravado em: C:\xog_sanofi\prj_sales_fcst_20170502_162448.xml</t>
  </si>
  <si>
    <t>2017-05-02_16:34 - -------------Início da exportação transações de projeto-------------</t>
  </si>
  <si>
    <t>2017-05-02_16:34 - Arquivo xog sendo gravado em: C:\xog_sanofi\prj_sales_fcst_20170502_163435.xml</t>
  </si>
  <si>
    <t>2017-05-02_17:00 - -------------Início da exportação transações de projeto-------------</t>
  </si>
  <si>
    <t>2017-05-02_17:00 - Arquivo xog sendo gravado em: C:\xog_sanofi\prj_sales_fcst_20170502_170014.xml</t>
  </si>
  <si>
    <t>2017-05-02_17:01 - -------------Início da exportação transações de projeto-------------</t>
  </si>
  <si>
    <t>2017-05-02_17:01 - Arquivo xog sendo gravado em: C:\xog_sanofi\prj_sales_fcst_20170502_170131.xml</t>
  </si>
  <si>
    <t>2017-05-02_17:01 - Arquivo xog sendo gravado em: C:\xog_sanofi\prj_sales_fcst_20170502_170144.xml</t>
  </si>
  <si>
    <t>2017-05-02_17:02 - -------------Início da exportação transações de projeto-------------</t>
  </si>
  <si>
    <t>2017-05-02_17:02 - Arquivo xog sendo gravado em: C:\xog_sanofi\prj_sales_fcst_20170502_170216.xml</t>
  </si>
  <si>
    <t>2017-05-02_17:07 - -------------Início da exportação transações de projeto-------------</t>
  </si>
  <si>
    <t>2017-05-02_17:07 - Arquivo xog sendo gravado em: C:\xog_sanofi\prj_sales_fcst_20170502_170711.xml</t>
  </si>
  <si>
    <t>2017-05-02_17:15 - -------------Início da exportação transações de projeto-------------</t>
  </si>
  <si>
    <t>2017-05-02_17:15 - Arquivo xog sendo gravado em: C:\xog_sanofi\prj_sales_fcst_20170502_171536.xml</t>
  </si>
  <si>
    <t>2017-05-02_17:25 - -------------Início da exportação transações de projeto-------------</t>
  </si>
  <si>
    <t>2017-05-02_17:25 - Arquivo xog sendo gravado em: C:\xog_sanofi\prj_sales_fcst_20170502_172521.xml</t>
  </si>
  <si>
    <t>2017-05-02_17:26 - -------------Início da exportação transações de projeto-------------</t>
  </si>
  <si>
    <t>2017-05-02_17:26 - Arquivo xog sendo gravado em: C:\xog_sanofi\prj_sales_fcst_20170502_172612.xml</t>
  </si>
  <si>
    <t>2017-05-02_17:27 - -------------Início da exportação transações de projeto-------------</t>
  </si>
  <si>
    <t>2017-05-02_17:27 - Arquivo xog sendo gravado em: C:\xog_sanofi\prj_sales_fcst_20170502_172751.xml</t>
  </si>
  <si>
    <t>2017-05-02_17:52 - -------------Início da exportação transações de projeto-------------</t>
  </si>
  <si>
    <t>2017-05-02_17:52 - Arquivo xog sendo gravado em: C:\xog_sanofi\prj_sf_20170502_175216.xml</t>
  </si>
  <si>
    <t>2017-05-02_18:07 - -------------Início da exportação transações de projeto-------------</t>
  </si>
  <si>
    <t>2017-05-02_18:07 - Arquivo xog sendo gravado em: C:\xog_sanofi\prj_sfd_20170502_180719.xml</t>
  </si>
  <si>
    <t>2017-05-02_18:09 - -------------Início da exportação transações de projeto-------------</t>
  </si>
  <si>
    <t>2017-05-02_18:09 - Arquivo xog sendo gravado em: C:\xog_sanofi\prj_sfd_20170502_180932.xml</t>
  </si>
  <si>
    <t>2017-05-02_18:11 - -------------Início da exportação transações de projeto-------------</t>
  </si>
  <si>
    <t>2017-05-02_18:11 - Arquivo xog sendo gravado em: C:\xog_sanofi\prj_sfd_20170502_181126.xml</t>
  </si>
  <si>
    <t>2017-05-02_18:19 - -------------Início da exportação transações de projeto-------------</t>
  </si>
  <si>
    <t>2017-05-02_18:19 - Arquivo xog sendo gravado em: C:\xog_sanofi\prj_sfd_20170502_181926.xml</t>
  </si>
  <si>
    <t>2017-05-02_18:21 - -------------Início da exportação transações de projeto-------------</t>
  </si>
  <si>
    <t>2017-05-02_18:21 - Arquivo xog sendo gravado em: C:\xog_sanofi\prj_sfd_20170502_182103.xml</t>
  </si>
  <si>
    <t>2017-05-02_18:22 - -------------Início da exportação transações de projeto-------------</t>
  </si>
  <si>
    <t>2017-05-02_18:22 - Arquivo xog sendo gravado em: C:\xog_sanofi\prj_sfd_20170502_182208.xml</t>
  </si>
  <si>
    <t>2017-05-02_18:23 - -------------Início da exportação transações de projeto-------------</t>
  </si>
  <si>
    <t>2017-05-02_18:23 - Arquivo xog sendo gravado em: C:\xog_sanofi\prj_sfd_20170502_182304.xml</t>
  </si>
  <si>
    <t>2017-05-02_18:24 - -------------Início da exportação transações de projeto-------------</t>
  </si>
  <si>
    <t>2017-05-02_18:24 - Arquivo xog sendo gravado em: C:\xog_sanofi\prj_sfd_20170502_182418.xml</t>
  </si>
  <si>
    <t>2017-05-02_18:25 - -------------Início da exportação transações de projeto-------------</t>
  </si>
  <si>
    <t>2017-05-02_18:25 - Arquivo xog sendo gravado em: C:\xog_sanofi\prj_sfd_20170502_182528.xml</t>
  </si>
  <si>
    <t>2017-05-02_18:26 - -------------Início da exportação transações de projeto-------------</t>
  </si>
  <si>
    <t>2017-05-02_18:26 - Arquivo xog sendo gravado em: C:\xog_sanofi\prj_sfd_20170502_182635.xml</t>
  </si>
  <si>
    <t>2017-05-02_18:28 - -------------Início da exportação transações de projeto-------------</t>
  </si>
  <si>
    <t>2017-05-02_18:28 - Arquivo xog sendo gravado em: C:\xog_sanofi\prj_sfd_20170502_182824.xml</t>
  </si>
  <si>
    <t>2017-05-02_18:30 - -------------Início da exportação transações de projeto-------------</t>
  </si>
  <si>
    <t>2017-05-02_18:30 - Arquivo xog sendo gravado em: C:\xog_sanofi\prj_sf_20170502_183011.xml</t>
  </si>
  <si>
    <t>2017-05-02_18:37 - -------------Início da exportação transações de projeto-------------</t>
  </si>
  <si>
    <t>2017-05-02_18:37 - Arquivo xog sendo gravado em: C:\xog_sanofi\prj_sf_20170502_183704.xml</t>
  </si>
  <si>
    <t>2017-05-02_18:37 -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</si>
  <si>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2017-05-02_18:37 - Enviando requisição de login</t>
  </si>
  <si>
    <t>2017-05-02_18:37 - Login realizado. SessionID capturado: 10169341__30E105AF-7C21-407D-AE77-22B93CC37F97</t>
  </si>
  <si>
    <t>2017-05-02_18:37 - Chamando mensagem de requisição</t>
  </si>
  <si>
    <t>2017-05-02_18:37 - Capturando resultado final</t>
  </si>
  <si>
    <t>2017-05-02_18:37 - Efetuando logout</t>
  </si>
  <si>
    <t>2017-05-02_18:37 - Logout realizado</t>
  </si>
  <si>
    <t>2017-05-02_18:37 - -------------Fim da exportação transações de projeto-------------</t>
  </si>
  <si>
    <t>2017-05-02_18:46 - -------------Início da exportação transações de projeto-------------</t>
  </si>
  <si>
    <t>2017-05-02_18:46 - Arquivo xog sendo gravado em: C:\xog_sanofi\prj_sf_20170502_184618.xml</t>
  </si>
  <si>
    <t>2017-05-02_18:48 - -------------Início da exportação transações de projeto-------------</t>
  </si>
  <si>
    <t>2017-05-02_18:48 - Arquivo xog sendo gravado em: C:\xog_sanofi\prj_sf_20170502_184823.xml</t>
  </si>
  <si>
    <t>2017-05-02_18:48 -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</si>
  <si>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2017-05-02_18:48 - Enviando requisição de login</t>
  </si>
  <si>
    <t>2017-05-02_18:48 - Login realizado. SessionID capturado: 10169616__94814E12-960E-49F1-A38E-33C5D974499A</t>
  </si>
  <si>
    <t>2017-05-02_18:48 - Chamando mensagem de requisição</t>
  </si>
  <si>
    <t>2017-05-02_18:48 - Capturando resultado final</t>
  </si>
  <si>
    <t>2017-05-02_18:48 - Efetuando logout</t>
  </si>
  <si>
    <t>2017-05-02_18:48 - Logout realizado</t>
  </si>
  <si>
    <t>2017-05-02_18:48 - -------------Fim da exportação transações de projeto-------------</t>
  </si>
  <si>
    <t>2017-05-02_18:51 - -------------Início da exportação transações de projeto-------------</t>
  </si>
  <si>
    <t>2017-05-02_18:51 - Arquivo xog sendo gravado em: C:\xog_sanofi\prj_sf_20170502_185115.xml</t>
  </si>
  <si>
    <t>2017-05-02_18:51 - -------------Fim da exportação transações de projeto-------------</t>
  </si>
  <si>
    <t>2017-05-02_18:52 - -------------Início da exportação transações de projeto-------------</t>
  </si>
  <si>
    <t>2017-05-02_18:52 - Arquivo xog sendo gravado em: C:\xog_sanofi\prj_sf_20170502_185258.xml</t>
  </si>
  <si>
    <t>2017-05-02_18:52 - -------------Fim da exportação transações de projeto-------------</t>
  </si>
  <si>
    <t>2017-05-02_18:54 - -------------Início da exportação transações de projeto-------------</t>
  </si>
  <si>
    <t>2017-05-02_18:54 - Arquivo xog sendo gravado em: C:\xog_sanofi\prj_sf_20170502_185435.xml</t>
  </si>
  <si>
    <t>2017-05-02_18:54 - -------------Fim da exportação transações de projeto-------------</t>
  </si>
  <si>
    <t>2017-05-02_18:56 - -------------Início da exportação transações de projeto-------------</t>
  </si>
  <si>
    <t>2017-05-02_18:56 - Arquivo xog sendo gravado em: C:\xog_sanofi\prj_sf_20170502_185609.xml</t>
  </si>
  <si>
    <t>2017-05-02_18:56 - -------------Fim da exportação transações de projeto-------------</t>
  </si>
  <si>
    <t>2017-05-02_18:56 - Arquivo xog sendo gravado em: C:\xog_sanofi\prj_sf_20170502_185629.xml</t>
  </si>
  <si>
    <t>2017-05-02_18:56 -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</si>
  <si>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2017-05-02_18:56 - Enviando requisição de login</t>
  </si>
  <si>
    <t>2017-05-02_18:56 - Login realizado. SessionID capturado: 10169813__EC9A09C5-C472-4BDE-93EA-F53E5B0C1A9C</t>
  </si>
  <si>
    <t>2017-05-02_18:56 - Chamando mensagem de requisição</t>
  </si>
  <si>
    <t>2017-05-02_18:56 - Capturando resultado final</t>
  </si>
  <si>
    <t>2017-05-02_18:56 - Efetuando logout</t>
  </si>
  <si>
    <t>2017-05-02_18:56 - Logout realizado</t>
  </si>
  <si>
    <t>2017-05-02_18:58 - -------------Início da exportação transações de projeto-------------</t>
  </si>
  <si>
    <t>2017-05-02_18:58 - Arquivo xog sendo gravado em: C:\xog_sanofi\prj_sf_20170502_185853.xml</t>
  </si>
  <si>
    <t>2017-05-02_19:12 - -------------Início da exportação transações de projeto-------------</t>
  </si>
  <si>
    <t>2017-05-02_19:12 - Arquivo xog sendo gravado em: C:\xog_sanofi\prj_sf_20170502_191254.xml</t>
  </si>
  <si>
    <t>2017-05-02_19:12 -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</si>
  <si>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2017-05-02_19:12 - Enviando requisição de login</t>
  </si>
  <si>
    <t>2017-05-02_19:13 - -------------Início da exportação transações de projeto-------------</t>
  </si>
  <si>
    <t>2017-05-02_19:13 - Arquivo xog sendo gravado em: C:\xog_sanofi\prj_sf_20170502_191328.xml</t>
  </si>
  <si>
    <t>2017-05-02_19:13 -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</si>
  <si>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2017-05-02_19:13 - Enviando requisição de login</t>
  </si>
  <si>
    <t>2017-05-02_19:15 - -------------Início da exportação transações de projeto-------------</t>
  </si>
  <si>
    <t>2017-05-02_19:15 - Arquivo xog sendo gravado em: C:\xog_sanofi\prj_sf_20170502_191509.xml</t>
  </si>
  <si>
    <t>2017-05-02_19:15 - Proxy identificado</t>
  </si>
  <si>
    <t>2017-05-02_19:15 -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</si>
  <si>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2017-05-02_19:15 - Enviando requisição de login</t>
  </si>
  <si>
    <t>2017-05-02_19:15 - Login realizado. SessionID capturado: 10170266__D5BC6C37-B9BE-49EE-B787-8771EA7E8C35</t>
  </si>
  <si>
    <t>2017-05-02_19:15 - Chamando mensagem de requisição</t>
  </si>
  <si>
    <t>2017-05-02_19:15 - Capturando resultado final</t>
  </si>
  <si>
    <t>2017-05-02_19:15 - Efetuando logout</t>
  </si>
  <si>
    <t>2017-05-02_19:15 - Logout realizado</t>
  </si>
  <si>
    <t>2017-05-02_19:15 - -------------Fim da exportação transações de projeto-------------</t>
  </si>
  <si>
    <t>2017-05-02_19:17 - -------------Início da exportação transações de projeto-------------</t>
  </si>
  <si>
    <t>2017-05-02_19:17 - Arquivo xog sendo gravado em: C:\xog_sanofi\prj_sf_20170502_191735.xml</t>
  </si>
  <si>
    <t>2017-05-02_19:17 - -------------Fim da exportação transações de projeto-------------</t>
  </si>
  <si>
    <t>2017-05-02_19:21 - -------------Início da exportação transações de projeto-------------</t>
  </si>
  <si>
    <t>2017-05-02_19:21 - Arquivo xog sendo gravado em: C:\xog_sanofi\prj_sf_20170502_192106.xml</t>
  </si>
  <si>
    <t>2017-05-02_19:21 - -------------Fim da exportação transações de projeto-------------</t>
  </si>
  <si>
    <t>2017-05-03_09:47 - -------------Início da exportação transações de projeto-------------</t>
  </si>
  <si>
    <t>2017-05-03_09:47 - Arquivo xog sendo gravado em: C:\xog_sanofi\prj_sf_20170503_094716.xml</t>
  </si>
  <si>
    <t>2017-05-03_09:49 - -------------Início da exportação transações de projeto-------------</t>
  </si>
  <si>
    <t>2017-05-03_09:49 - Arquivo xog sendo gravado em: C:\xog_sanofi\prj_sf_20170503_094913.xml</t>
  </si>
  <si>
    <t>2017-05-03_09:51 - -------------Fim da exportação transações de projeto-------------</t>
  </si>
  <si>
    <t>2017-05-03_10:15 - -------------Início da exportação transações de projeto-------------</t>
  </si>
  <si>
    <t>2017-05-03_10:15 - Arquivo xog sendo gravado em: C:\xog_sanofi\prj_sf_20170503_101508.xml</t>
  </si>
  <si>
    <t>2017-05-03_10:15 - -------------Fim da exportação transações de projeto-------------</t>
  </si>
  <si>
    <t>2017-05-03_10:15 - Arquivo xog sendo gravado em: C:\xog_sanofi\prj_sf_20170503_101532.xml</t>
  </si>
  <si>
    <t>2017-05-03_10:15 - Proxy identificado</t>
  </si>
  <si>
    <t>2017-05-03_10:15 -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</si>
  <si>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2017-05-03_10:15 - Enviando requisição de login</t>
  </si>
  <si>
    <t>2017-05-03_10:15 - Login realizado. SessionID capturado: 10194058__73F82767-D535-4C19-B7B3-E03ABE29323A</t>
  </si>
  <si>
    <t>2017-05-03_10:15 - Chamando mensagem de requisição</t>
  </si>
  <si>
    <t>2017-05-03_10:15 - Capturando resultado final</t>
  </si>
  <si>
    <t>2017-05-03_10:15 - Efetuando logout</t>
  </si>
  <si>
    <t>2017-05-03_10:15 - Logout realizado</t>
  </si>
  <si>
    <t>2017-05-03_10:29 - -------------Início da exportação transações de projeto-------------</t>
  </si>
  <si>
    <t>2017-05-03_10:29 - Arquivo xog sendo gravado em: C:\xog_sanofi\prj_sf_20170503_102912.xml</t>
  </si>
  <si>
    <t>2017-05-03_10:29 - Proxy identificado</t>
  </si>
  <si>
    <t>2017-05-03_10:29 -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</si>
  <si>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2017-05-03_10:29 - Enviando requisição de login</t>
  </si>
  <si>
    <t>2017-05-03_10:29 - Login realizado. SessionID capturado: 10194391__AAFE17DE-2FF2-4A04-9081-A06008139EBF</t>
  </si>
  <si>
    <t>2017-05-03_10:29 - Chamando mensagem de requisição</t>
  </si>
  <si>
    <t>2017-05-03_10:29 - Capturando resultado final</t>
  </si>
  <si>
    <t>2017-05-03_10:29 - Efetuando logout</t>
  </si>
  <si>
    <t>2017-05-03_10:29 - Logout realizado</t>
  </si>
  <si>
    <t>2017-05-03_10:29 - -------------Fim da exportação transações de projeto-------------</t>
  </si>
  <si>
    <t>2017-05-03_10:34 - -------------Início da exportação transações de projeto-------------</t>
  </si>
  <si>
    <t>2017-05-03_10:34 - Arquivo xog sendo gravado em: C:\xog_sanofi\prj_sf_20170503_103443.xml</t>
  </si>
  <si>
    <t>2017-05-03_10:34 - Proxy identificado</t>
  </si>
  <si>
    <t>2017-05-03_10:34 -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</si>
  <si>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2017-05-03_10:34 - Enviando requisição de login</t>
  </si>
  <si>
    <t>2017-05-03_10:34 - Login realizado. SessionID capturado: 10194525__CE380943-8B8F-436A-8736-D0FD81A0F1C2</t>
  </si>
  <si>
    <t>2017-05-03_10:34 - Chamando mensagem de requisição</t>
  </si>
  <si>
    <t>2017-05-03_10:34 - Capturando resultado final</t>
  </si>
  <si>
    <t>2017-05-03_10:34 - Efetuando logout</t>
  </si>
  <si>
    <t>2017-05-03_10:34 - Logout realizado</t>
  </si>
  <si>
    <t>2017-05-03_10:34 - -------------Fim da exportação transações de projeto-------------</t>
  </si>
  <si>
    <t>2017-05-03_10:36 - -------------Início da exportação transações de projeto-------------</t>
  </si>
  <si>
    <t>2017-05-03_10:36 - Arquivo xog sendo gravado em: C:\xog_sanofi\prj_sf_20170503_103646.xml</t>
  </si>
  <si>
    <t>2017-05-03_10:36 - Proxy identificado</t>
  </si>
  <si>
    <t>2017-05-03_10:36 -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</si>
  <si>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2017-05-03_10:36 - Enviando requisição de login</t>
  </si>
  <si>
    <t>2017-05-03_10:36 - Login realizado. SessionID capturado: 10194576__FD39FE93-B71F-4D92-AA4D-F0101C8CF54F</t>
  </si>
  <si>
    <t>2017-05-03_10:36 - Chamando mensagem de requisição</t>
  </si>
  <si>
    <t>2017-05-03_10:36 - Capturando resultado final</t>
  </si>
  <si>
    <t>2017-05-03_10:36 - Efetuando logout</t>
  </si>
  <si>
    <t>2017-05-03_10:36 - Logout realizado</t>
  </si>
  <si>
    <t>2017-05-03_10:36 - -------------Fim da exportação transações de projeto-------------</t>
  </si>
  <si>
    <t>2017-05-03_10:38 - -------------Início da exportação transações de projeto-------------</t>
  </si>
  <si>
    <t>2017-05-03_10:38 - Arquivo xog sendo gravado em: C:\xog_sanofi\prj_sf_20170503_103846.xml</t>
  </si>
  <si>
    <t>2017-05-03_10:39 - -------------Início da exportação transações de projeto-------------</t>
  </si>
  <si>
    <t>2017-05-03_10:39 - Arquivo xog sendo gravado em: C:\xog_sanofi\prj_sf_20170503_103945.xml</t>
  </si>
  <si>
    <t>2017-05-03_10:42 - -------------Início da exportação transações de projeto-------------</t>
  </si>
  <si>
    <t>2017-05-03_10:42 - Arquivo xog sendo gravado em: C:\xog_sanofi\prj_sf_20170503_104234.xml</t>
  </si>
  <si>
    <t>2017-05-03_10:45 - -------------Início da exportação transações de projeto-------------</t>
  </si>
  <si>
    <t>2017-05-03_10:45 - Arquivo xog sendo gravado em: C:\xog_sanofi\prj_sf_20170503_104530.xml</t>
  </si>
  <si>
    <t>2017-05-03_10:45 - Proxy identificado</t>
  </si>
  <si>
    <t>2017-05-03_10:45 -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</si>
  <si>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2017-05-03_10:45 - Enviando requisição de login</t>
  </si>
  <si>
    <t>2017-05-03_10:45 - Login realizado. SessionID capturado: 10194795__DEDABC0C-ED1F-4304-9B9F-AD48EFD8AA2A</t>
  </si>
  <si>
    <t>2017-05-03_10:45 - Chamando mensagem de requisição</t>
  </si>
  <si>
    <t>2017-05-03_10:45 - Capturando resultado final</t>
  </si>
  <si>
    <t>2017-05-03_10:45 - Efetuando logout</t>
  </si>
  <si>
    <t>2017-05-03_10:45 - Logout realizado</t>
  </si>
  <si>
    <t>2017-05-03_10:45 - -------------Fim da exportação transações de projeto-------------</t>
  </si>
  <si>
    <t>2017-05-03_10:51 - -------------Início da exportação transações de projeto-------------</t>
  </si>
  <si>
    <t>2017-05-03_10:51 - Arquivo xog sendo gravado em: C:\xog_sanofi\prj_sf_20170503_105152.xml</t>
  </si>
  <si>
    <t>2017-05-03_10:52 - -------------Início da exportação transações de projeto-------------</t>
  </si>
  <si>
    <t>2017-05-03_10:52 - Arquivo xog sendo gravado em: C:\xog_sanofi\prj_sf_20170503_105225.xml</t>
  </si>
  <si>
    <t>2017-05-03_10:53 - -------------Início da exportação transações de projeto-------------</t>
  </si>
  <si>
    <t>2017-05-03_10:53 - Arquivo xog sendo gravado em: C:\xog_sanofi\prj_sf_20170503_105334.xml</t>
  </si>
  <si>
    <t>2017-05-03_10:55 - -------------Início da exportação transações de projeto-------------</t>
  </si>
  <si>
    <t>2017-05-03_10:55 - Arquivo xog sendo gravado em: C:\xog_sanofi\prj_sf_20170503_105515.xml</t>
  </si>
  <si>
    <t>2017-05-03_10:55 - Proxy identificado</t>
  </si>
  <si>
    <t>2017-05-03_10:55 -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</si>
  <si>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2017-05-03_10:55 - Enviando requisição de login</t>
  </si>
  <si>
    <t>2017-05-03_10:55 - Login realizado. SessionID capturado: 10195031__08490D41-2E82-4421-8841-5FBADB1FAE66</t>
  </si>
  <si>
    <t>2017-05-03_10:55 - Chamando mensagem de requisição</t>
  </si>
  <si>
    <t>2017-05-03_10:55 - Capturando resultado final</t>
  </si>
  <si>
    <t>2017-05-03_10:55 - Efetuando logout</t>
  </si>
  <si>
    <t>2017-05-03_10:55 - Logout realizado</t>
  </si>
  <si>
    <t>2017-05-03_10:55 - -------------Fim da exportação transações de projeto-------------</t>
  </si>
  <si>
    <t>2017-05-03_10:56 - -------------Início da exportação transações de projeto-------------</t>
  </si>
  <si>
    <t>2017-05-03_10:56 - Arquivo xog sendo gravado em: C:\xog_sanofi\prj_sf_20170503_105634.xml</t>
  </si>
  <si>
    <t>2017-05-03_10:58 - -------------Início da exportação transações de projeto-------------</t>
  </si>
  <si>
    <t>2017-05-03_10:58 - Arquivo xog sendo gravado em: C:\xog_sanofi\prj_sf_20170503_105823.xml</t>
  </si>
  <si>
    <t>2017-05-03_10:58 - Proxy identificado</t>
  </si>
  <si>
    <t>2017-05-03_10:58 -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</si>
  <si>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2017-05-03_10:58 - Enviando requisição de login</t>
  </si>
  <si>
    <t>2017-05-03_10:58 - Login realizado. SessionID capturado: 10195103__C86AF8D2-A25C-482A-BB7B-B4B52F83AE57</t>
  </si>
  <si>
    <t>2017-05-03_10:58 - Chamando mensagem de requisição</t>
  </si>
  <si>
    <t>2017-05-03_10:58 - Capturando resultado final</t>
  </si>
  <si>
    <t>2017-05-03_10:58 - Efetuando logout</t>
  </si>
  <si>
    <t>2017-05-03_10:58 - Logout realizado</t>
  </si>
  <si>
    <t>2017-05-03_10:58 - -------------Fim da exportação transações de projeto-------------</t>
  </si>
  <si>
    <t>2017-05-03_10:59 - -------------Início da exportação transações de projeto-------------</t>
  </si>
  <si>
    <t>2017-05-03_10:59 - Arquivo xog sendo gravado em: C:\xog_sanofi\prj_sf_20170503_105908.xml</t>
  </si>
  <si>
    <t>2017-05-03_11:05 - -------------Início da exportação transações de projeto-------------</t>
  </si>
  <si>
    <t>2017-05-03_11:05 - Arquivo xog sendo gravado em: C:\xog_sanofi\prj_sf_20170503_110537.xml</t>
  </si>
  <si>
    <t>2017-05-03_11:07 - -------------Início da exportação transações de projeto-------------</t>
  </si>
  <si>
    <t>2017-05-03_11:07 - Arquivo xog sendo gravado em: C:\xog_sanofi\prj_sf_20170503_110732.xml</t>
  </si>
  <si>
    <t>2017-05-03_11:09 - -------------Início da exportação transações de projeto-------------</t>
  </si>
  <si>
    <t>2017-05-03_11:09 - Arquivo xog sendo gravado em: C:\xog_sanofi\prj_sf_20170503_110934.xml</t>
  </si>
  <si>
    <t>2017-05-03_11:09 - Proxy identificado</t>
  </si>
  <si>
    <t>2017-05-03_11:09 -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</si>
  <si>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2017-05-03_11:09 - Enviando requisição de login</t>
  </si>
  <si>
    <t>2017-05-03_11:09 - Login realizado. SessionID capturado: 10195376__2194A7EB-5F6C-40B3-90AC-AB3B8CA866E1</t>
  </si>
  <si>
    <t>2017-05-03_11:09 - Chamando mensagem de requisição</t>
  </si>
  <si>
    <t>2017-05-03_11:09 - Capturando resultado final</t>
  </si>
  <si>
    <t>2017-05-03_11:09 - Efetuando logout</t>
  </si>
  <si>
    <t>2017-05-03_11:09 - Logout realizado</t>
  </si>
  <si>
    <t>2017-05-03_11:09 - -------------Fim da exportação transações de projeto-------------</t>
  </si>
  <si>
    <t>2017-05-03_18:07 - -------------Início da exportação transações de projeto-------------</t>
  </si>
  <si>
    <t>2017-05-03_18:07 - Arquivo xog sendo gravado em: C:\xog_sanofi\prj_sf_20170503_180720.xml</t>
  </si>
  <si>
    <t>2017-05-03_18:07 - Proxy identificado</t>
  </si>
  <si>
    <t>2017-05-03_18:07 -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</si>
  <si>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2017-05-03_18:07 - Enviando requisição de login</t>
  </si>
  <si>
    <t>2017-05-03_18:07 - Login realizado. SessionID capturado: 10206488__39780132-2F5D-43F5-B331-C3358225A8DB</t>
  </si>
  <si>
    <t>2017-05-03_18:07 - Chamando mensagem de requisição</t>
  </si>
  <si>
    <t>2017-05-03_18:07 - Capturando resultado final</t>
  </si>
  <si>
    <t>2017-05-03_18:07 - Efetuando logout</t>
  </si>
  <si>
    <t>2017-05-03_18:07 - Logout realizado</t>
  </si>
  <si>
    <t>2017-05-03_18:07 - -------------Fim da exportação transações de projeto-------------</t>
  </si>
  <si>
    <t>2017-05-03_18:08 - -------------Início da exportação transações de projeto-------------</t>
  </si>
  <si>
    <t>2017-05-03_18:08 - Arquivo xog sendo gravado em: C:\xog_sanofi\prj_sf_20170503_180840.xml</t>
  </si>
  <si>
    <t>2017-05-03_18:08 - Proxy identificado</t>
  </si>
  <si>
    <t>2017-05-03_18:08 -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</si>
  <si>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2017-05-03_18:08 - Enviando requisição de login</t>
  </si>
  <si>
    <t>2017-05-03_18:08 - Login realizado. SessionID capturado: 10206521__1A1C3C5C-8151-465F-815E-77606C10D4EE</t>
  </si>
  <si>
    <t>2017-05-03_18:08 - Chamando mensagem de requisição</t>
  </si>
  <si>
    <t>2017-05-03_18:08 - Capturando resultado final</t>
  </si>
  <si>
    <t>2017-05-03_18:08 - Efetuando logout</t>
  </si>
  <si>
    <t>2017-05-03_18:08 - Logout realizado</t>
  </si>
  <si>
    <t>2017-05-03_18:08 - -------------Fim da exportação transações de projeto-------------</t>
  </si>
  <si>
    <t>2017-05-03_18:09 - -------------Início da exportação transações de projeto-------------</t>
  </si>
  <si>
    <t>2017-05-03_18:09 - Arquivo xog sendo gravado em: C:\xog_sanofi\prj_sf_20170503_180914.xml</t>
  </si>
  <si>
    <t>2017-05-03_18:09 - Proxy identificado</t>
  </si>
  <si>
    <t>2017-05-03_18:09 -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</si>
  <si>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2017-05-03_18:09 - Enviando requisição de login</t>
  </si>
  <si>
    <t>2017-05-03_18:09 - Login realizado. SessionID capturado: 10206536__2EAF4DC7-B88A-4F14-9FCB-D9676E675DAF</t>
  </si>
  <si>
    <t>2017-05-03_18:09 - Chamando mensagem de requisição</t>
  </si>
  <si>
    <t>2017-05-03_18:09 - Capturando resultado final</t>
  </si>
  <si>
    <t>2017-05-03_18:09 - Efetuando logout</t>
  </si>
  <si>
    <t>2017-05-03_18:09 - Logout realizado</t>
  </si>
  <si>
    <t>2017-05-03_18:09 - -------------Fim da exportação transações de projeto-------------</t>
  </si>
  <si>
    <t>2017-05-03_18:19 - -------------Início da exportação transações de projeto-------------</t>
  </si>
  <si>
    <t>2017-05-03_18:19 - Arquivo xog sendo gravado em: C:\xog_sanofi\prj_sf_20170503_181902.xml</t>
  </si>
  <si>
    <t>2017-05-03_18:19 - Proxy identificado</t>
  </si>
  <si>
    <t>2017-05-03_18:19 -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</si>
  <si>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2017-05-03_18:19 - Enviando requisição de login</t>
  </si>
  <si>
    <t>2017-05-03_18:19 - Login realizado. SessionID capturado: 10206773__4BB51A9D-E3D6-4568-A744-327C72EEE238</t>
  </si>
  <si>
    <t>2017-05-03_18:19 - Chamando mensagem de requisição</t>
  </si>
  <si>
    <t>2017-05-03_18:19 - Capturando resultado final</t>
  </si>
  <si>
    <t>2017-05-03_18:19 - Efetuando logout</t>
  </si>
  <si>
    <t>2017-05-03_18:19 - Logout realizado</t>
  </si>
  <si>
    <t>2017-05-03_18:19 - -------------Fim da exportação transações de projeto-------------</t>
  </si>
  <si>
    <t>2017-05-03_18:21 - -------------Início da exportação transações de projeto-------------</t>
  </si>
  <si>
    <t>2017-05-03_18:21 - Arquivo xog sendo gravado em: C:\xog_sanofi\prj_sf_20170503_182122.xml</t>
  </si>
  <si>
    <t>2017-05-03_18:21 - Proxy identificado</t>
  </si>
  <si>
    <t>2017-05-03_18:21 -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</si>
  <si>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2017-05-03_18:21 - Enviando requisição de login</t>
  </si>
  <si>
    <t>2017-05-03_18:21 - Login realizado. SessionID capturado: 10206831__D695460F-6287-40B3-9C6F-0D4AD568F030</t>
  </si>
  <si>
    <t>2017-05-03_18:21 - Chamando mensagem de requisição</t>
  </si>
  <si>
    <t>2017-05-03_18:21 - Capturando resultado final</t>
  </si>
  <si>
    <t>2017-05-03_18:21 - Efetuando logout</t>
  </si>
  <si>
    <t>2017-05-03_18:21 - Logout realizado</t>
  </si>
  <si>
    <t>2017-05-03_18:21 - -------------Fim da exportação transações de projeto-------------</t>
  </si>
  <si>
    <t>2017-05-03_18:24 - -------------Início da exportação transações de projeto-------------</t>
  </si>
  <si>
    <t>2017-05-03_18:24 - Arquivo xog sendo gravado em: C:\xog_sanofi\prj_sf_20170503_182404.xml</t>
  </si>
  <si>
    <t>2017-05-03_18:25 - -------------Início da exportação transações de projeto-------------</t>
  </si>
  <si>
    <t>2017-05-03_18:25 - Arquivo xog sendo gravado em: C:\xog_sanofi\prj_sf_20170503_182527.xml</t>
  </si>
  <si>
    <t>2017-05-03_18:30 - -------------Início da exportação transações de projeto-------------</t>
  </si>
  <si>
    <t>2017-05-03_18:30 - Arquivo xog sendo gravado em: C:\xog_sanofi\prj_sf_20170503_183035.xml</t>
  </si>
  <si>
    <t>2017-05-03_18:31 - -------------Início da exportação transações de projeto-------------</t>
  </si>
  <si>
    <t>2017-05-03_18:31 - Arquivo xog sendo gravado em: C:\xog_sanofi\prj_sf_20170503_183105.xml</t>
  </si>
  <si>
    <t>2017-05-03_18:31 - Proxy identificado</t>
  </si>
  <si>
    <t>2017-05-03_18:31 -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</si>
  <si>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2017-05-03_18:31 - Enviando requisição de login</t>
  </si>
  <si>
    <t>2017-05-03_18:31 - Login realizado. SessionID capturado: 10207068__3467FCA1-316A-40C3-BE66-F688D26CEEBD</t>
  </si>
  <si>
    <t>2017-05-03_18:31 - Chamando mensagem de requisição</t>
  </si>
  <si>
    <t>2017-05-03_18:31 - Capturando resultado final</t>
  </si>
  <si>
    <t>2017-05-03_18:31 - Efetuando logout</t>
  </si>
  <si>
    <t>2017-05-03_18:31 - Logout realizado</t>
  </si>
  <si>
    <t>2017-05-03_18:31 - -------------Fim da exportação transações de projeto-------------</t>
  </si>
  <si>
    <t>2017-05-03_18:39 - -------------Início da exportação transações de projeto-------------</t>
  </si>
  <si>
    <t>2017-05-03_18:39 - Arquivo xog sendo gravado em: C:\xog_sanofi\prj_projects_20170503_183907.xml</t>
  </si>
  <si>
    <t>2017-05-03_18:39 - Proxy identificado</t>
  </si>
  <si>
    <t>2017-05-03_18:39 -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</si>
  <si>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2017-05-03_18:39 - Enviando requisição de login</t>
  </si>
  <si>
    <t>2017-05-03_18:39 - Login realizado. SessionID capturado: 10207262__B2FF557E-B1D0-41DF-81C9-80B15389FD78</t>
  </si>
  <si>
    <t>2017-05-03_18:39 - Chamando mensagem de requisição</t>
  </si>
  <si>
    <t>2017-05-03_18:39 - Capturando resultado final</t>
  </si>
  <si>
    <t>2017-05-03_18:39 - Efetuando logout</t>
  </si>
  <si>
    <t>2017-05-03_18:39 - Logout realizado</t>
  </si>
  <si>
    <t>2017-05-03_18:39 - -------------Fim da exportação transações de projeto-------------</t>
  </si>
  <si>
    <t>2017-05-03_18:39 - Arquivo xog sendo gravado em: C:\xog_sanofi\benefitPlan_20170503_183909.xml</t>
  </si>
  <si>
    <t>2017-05-03_18:39 - Login realizado. SessionID capturado: 10207264__B3BD0E0D-871B-4D90-82A2-49747BC0CC43</t>
  </si>
  <si>
    <t>2017-05-03_18:39 - Arquivo xog sendo gravado em: C:\xog_sanofi\prj_sf_20170503_183910.xml</t>
  </si>
  <si>
    <t>2017-05-03_18:39 - Login realizado. SessionID capturado: 10207265__982B61C6-18EE-415C-B9F6-DFC6DF368F0B</t>
  </si>
  <si>
    <t>2017-05-04_10:45 - -------------Início da exportação transações de projeto-------------</t>
  </si>
  <si>
    <t>2017-05-04_10:45 - Arquivo xog sendo gravado em: C:\xog_sanofi\prj_projects_20170504_104505.xml</t>
  </si>
  <si>
    <t>2017-05-04_10:45 - Proxy identificado</t>
  </si>
  <si>
    <t>2017-05-04_10:45 -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</si>
  <si>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2017-05-04_10:45 - Enviando requisição de login</t>
  </si>
  <si>
    <t>2017-05-04_10:45 - Login realizado. SessionID capturado: 10233643__E776244B-0B20-4647-B4D1-34D90934A4FB</t>
  </si>
  <si>
    <t>2017-05-04_10:45 - Chamando mensagem de requisição</t>
  </si>
  <si>
    <t>2017-05-04_10:45 - Capturando resultado final</t>
  </si>
  <si>
    <t>2017-05-04_10:45 - Efetuando logout</t>
  </si>
  <si>
    <t>2017-05-04_10:45 - Logout realizado</t>
  </si>
  <si>
    <t>2017-05-04_10:45 - -------------Fim da exportação transações de projeto-------------</t>
  </si>
  <si>
    <t>2017-05-04_10:45 - Arquivo xog sendo gravado em: C:\xog_sanofi\benefitPlan_20170504_104506.xml</t>
  </si>
  <si>
    <t>2017-05-04_10:45 - Login realizado. SessionID capturado: 10233645__97C8DED9-23FC-48FC-86FC-DAE88B2C6B89</t>
  </si>
  <si>
    <t>2017-05-04_10:45 - Arquivo xog sendo gravado em: C:\xog_sanofi\prj_sf_20170504_104508.xml</t>
  </si>
  <si>
    <t>2017-05-04_10:45 - Login realizado. SessionID capturado: 10233647__8B7742B3-4CC0-4816-B50C-373AF50F7C8B</t>
  </si>
  <si>
    <t>2017-05-04_10:55 - -------------Início da exportação transações de projeto-------------</t>
  </si>
  <si>
    <t>2017-05-04_10:55 - Arquivo xog sendo gravado em: C:\xog_sanofi\prj_projects_20170504_105542.xml</t>
  </si>
  <si>
    <t>2017-05-04_10:55 - Proxy identificado</t>
  </si>
  <si>
    <t>2017-05-04_10:55 -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</si>
  <si>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2017-05-04_10:55 - Enviando requisição de login</t>
  </si>
  <si>
    <t>2017-05-04_10:55 - Login realizado. SessionID capturado: 10233904__BC482C9A-4532-4EF1-A594-2592194CFFCA</t>
  </si>
  <si>
    <t>2017-05-04_10:55 - Chamando mensagem de requisição</t>
  </si>
  <si>
    <t>2017-05-04_10:55 - Capturando resultado final</t>
  </si>
  <si>
    <t>2017-05-04_10:55 - Efetuando logout</t>
  </si>
  <si>
    <t>2017-05-04_10:55 - Logout realizado</t>
  </si>
  <si>
    <t>2017-05-04_10:55 - -------------Fim da exportação transações de projeto-------------</t>
  </si>
  <si>
    <t>2017-05-04_10:55 - Arquivo xog sendo gravado em: C:\xog_sanofi\benefitPlan_20170504_105544.xml</t>
  </si>
  <si>
    <t>2017-05-04_10:55 - Login realizado. SessionID capturado: 10233906__AB0D485B-25F9-421F-B786-10D65B7BBC2C</t>
  </si>
  <si>
    <t>2017-05-04_10:55 - Arquivo xog sendo gravado em: C:\xog_sanofi\prj_sf_20170504_105545.xml</t>
  </si>
  <si>
    <t>2017-05-04_10:55 - Login realizado. SessionID capturado: 10233907__755E136D-F3BF-40C3-991D-FDAE4AB1FFEC</t>
  </si>
  <si>
    <t>2017-05-04_11:02 - -------------Início da exportação transações de projeto-------------</t>
  </si>
  <si>
    <t>2017-05-04_11:02 - Arquivo xog sendo gravado em: C:\xog_sanofi\prj_projects_20170504_110239.xml</t>
  </si>
  <si>
    <t>2017-05-04_11:02 - Proxy identificado</t>
  </si>
  <si>
    <t>2017-05-04_11:02 -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</si>
  <si>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2017-05-04_11:02 - Enviando requisição de login</t>
  </si>
  <si>
    <t>2017-05-04_11:02 - Login realizado. SessionID capturado: 10234076__0248F329-6DA1-42BA-BB18-9B6ED08B7931</t>
  </si>
  <si>
    <t>2017-05-04_11:02 - Chamando mensagem de requisição</t>
  </si>
  <si>
    <t>2017-05-04_11:02 - Capturando resultado final</t>
  </si>
  <si>
    <t>2017-05-04_11:02 - Efetuando logout</t>
  </si>
  <si>
    <t>2017-05-04_11:02 - Logout realizado</t>
  </si>
  <si>
    <t>2017-05-04_11:02 - -------------Fim da exportação transações de projeto-------------</t>
  </si>
  <si>
    <t>2017-05-04_11:02 - Arquivo xog sendo gravado em: C:\xog_sanofi\benefitPlan_20170504_110242.xml</t>
  </si>
  <si>
    <t>2017-05-04_11:02 - Login realizado. SessionID capturado: 10234078__5C2871A6-73CC-4055-A653-0E06EEE26FBA</t>
  </si>
  <si>
    <t>2017-05-04_11:02 - Arquivo xog sendo gravado em: C:\xog_sanofi\prj_sf_20170504_110243.xml</t>
  </si>
  <si>
    <t>2017-05-04_11:02 - Login realizado. SessionID capturado: 10234080__CC54D037-00F9-4EC5-8B30-84D26FBE2DD0</t>
  </si>
  <si>
    <t>2017-05-04_11:06 - -------------Início da exportação transações de projeto-------------</t>
  </si>
  <si>
    <t>2017-05-04_11:06 - Arquivo xog sendo gravado em: C:\xog_sanofi\prj_projects_20170504_110638.xml</t>
  </si>
  <si>
    <t>2017-05-04_11:06 - Proxy identificado</t>
  </si>
  <si>
    <t>2017-05-04_11:06 -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</si>
  <si>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2017-05-04_11:06 - Enviando requisição de login</t>
  </si>
  <si>
    <t>2017-05-04_11:06 - Login realizado. SessionID capturado: 10234176__2821015A-35E0-4B09-87D1-465B640D4588</t>
  </si>
  <si>
    <t>2017-05-04_11:06 - Chamando mensagem de requisição</t>
  </si>
  <si>
    <t>2017-05-04_11:06 - Capturando resultado final</t>
  </si>
  <si>
    <t>2017-05-04_11:06 - Efetuando logout</t>
  </si>
  <si>
    <t>2017-05-04_11:06 - Logout realizado</t>
  </si>
  <si>
    <t>2017-05-04_11:06 - -------------Fim da exportação transações de projeto-------------</t>
  </si>
  <si>
    <t>2017-05-04_11:06 - Arquivo xog sendo gravado em: C:\xog_sanofi\benefitPlan_20170504_110640.xml</t>
  </si>
  <si>
    <t>2017-05-04_11:06 - Login realizado. SessionID capturado: 10234178__D57432E3-47A9-45CE-BB00-9C827FA3FF21</t>
  </si>
  <si>
    <t>2017-05-04_11:06 - Arquivo xog sendo gravado em: C:\xog_sanofi\prj_sf_20170504_110641.xml</t>
  </si>
  <si>
    <t>2017-05-04_11:06 - Login realizado. SessionID capturado: 10234180__BC25FE0A-BF99-4F77-B3EE-20C8387D282A</t>
  </si>
  <si>
    <t>2017-05-11_15:58 - Writing Benefit Plan Class...</t>
  </si>
  <si>
    <t>2017-05-11_15:58 - Writing Benefit Plan Subclass...</t>
  </si>
  <si>
    <t>2017-05-11_15:58 - Writing Project Informations...</t>
  </si>
  <si>
    <t>2017-05-11_16:00 - -------------Início da exportação transações de projeto-------------</t>
  </si>
  <si>
    <t>2017-05-11_16:00 - Arquivo xog sendo gravado em: C:\xog_sanofi\prj_projects_20170511_160036.xml</t>
  </si>
  <si>
    <t>2017-05-11_16:00 -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</si>
  <si>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2017-05-11_16:00 - Enviando requisição de login</t>
  </si>
  <si>
    <t>2017-05-11_16:00 - Login realizado. SessionID capturado: 10981119__16088511-9961-4B82-8F68-765344DED282</t>
  </si>
  <si>
    <t>2017-05-11_16:00 - Chamando mensagem de requisição</t>
  </si>
  <si>
    <t>2017-05-11_16:00 - Capturando resultado final</t>
  </si>
  <si>
    <t>2017-05-11_16:00 - Efetuando logout</t>
  </si>
  <si>
    <t>2017-05-11_16:00 - Logout realizado</t>
  </si>
  <si>
    <t>2017-05-11_16:00 - -------------Fim da exportação transações de projeto-------------</t>
  </si>
  <si>
    <t>2017-05-11_16:00 - Arquivo xog sendo gravado em: C:\xog_sanofi\benefitPlan_20170511_160040.xml</t>
  </si>
  <si>
    <t>2017-05-11_16:00 - Login realizado. SessionID capturado: 10981121__E80BA980-65DD-4B58-8392-B1AF3ECB3001</t>
  </si>
  <si>
    <t>2017-05-11_16:00 - Arquivo xog sendo gravado em: C:\xog_sanofi\prj_sf_20170511_160043.xml</t>
  </si>
  <si>
    <t>2017-05-11_16:00 - Login realizado. SessionID capturado: 10981124__B1B77305-5AB2-4496-AAC5-1EA1819B7B27</t>
  </si>
  <si>
    <t>2017-05-11_16:03 - -------------Início da exportação transações de projeto-------------</t>
  </si>
  <si>
    <t>2017-05-11_16:03 - Arquivo xog sendo gravado em: C:\xog_sanofi\prj_projects_20170511_160316.xml</t>
  </si>
  <si>
    <t>2017-05-11_16:03 -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</si>
  <si>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2017-05-11_16:03 - Enviando requisição de login</t>
  </si>
  <si>
    <t>2017-05-11_16:03 - Login realizado. SessionID capturado: 10980244__4E785346-AEA0-4CED-B99B-AA3F28815AFE</t>
  </si>
  <si>
    <t>2017-05-11_16:03 - Chamando mensagem de requisição</t>
  </si>
  <si>
    <t>2017-05-11_16:03 - Capturando resultado final</t>
  </si>
  <si>
    <t>2017-05-11_16:03 - Efetuando logout</t>
  </si>
  <si>
    <t>2017-05-11_16:03 - Logout realizado</t>
  </si>
  <si>
    <t>2017-05-11_16:03 - -------------Fim da exportação transações de projeto-------------</t>
  </si>
  <si>
    <t>2017-05-11_16:03 - Arquivo xog sendo gravado em: C:\xog_sanofi\benefitPlan_20170511_160319.xml</t>
  </si>
  <si>
    <t>2017-05-11_16:03 - Login realizado. SessionID capturado: 10980246__6CF7CF9D-7982-4DE2-A0CC-0C2F761D34E4</t>
  </si>
  <si>
    <t>2017-05-11_16:03 - Arquivo xog sendo gravado em: C:\xog_sanofi\prj_sf_20170511_160321.xml</t>
  </si>
  <si>
    <t>2017-05-11_16:03 - Login realizado. SessionID capturado: 10980248__0AD4ABE0-6F30-4A38-BD09-6FFAD64BBACF</t>
  </si>
  <si>
    <t>2017-05-11_17:15 - Writing Benefit Plan Class...</t>
  </si>
  <si>
    <t>2017-05-11_17:15 - Writing Benefit Plan Subclass...</t>
  </si>
  <si>
    <t>2017-05-11_17:15 - Writing Project Informations...</t>
  </si>
  <si>
    <t>2017-05-11_17:24 - -------------Início da exportação transações de projeto-------------</t>
  </si>
  <si>
    <t>2017-05-11_17:24 - Arquivo xog sendo gravado em: C:\xog_sanofi\prj_projects_20170511_172410.xml</t>
  </si>
  <si>
    <t>2017-05-11_17:24 -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</si>
  <si>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2017-05-11_17:24 - Enviando requisição de login</t>
  </si>
  <si>
    <t>2017-05-11_17:24 - Login realizado. SessionID capturado: 10985155__83708B4F-78C3-4382-9E4F-B8FCC1505615</t>
  </si>
  <si>
    <t>2017-05-11_17:24 - Chamando mensagem de requisição</t>
  </si>
  <si>
    <t>2017-05-11_17:24 - Capturando resultado final</t>
  </si>
  <si>
    <t>2017-05-11_17:24 - Efetuando logout</t>
  </si>
  <si>
    <t>2017-05-11_17:24 - Logout realizado</t>
  </si>
  <si>
    <t>2017-05-11_17:24 - -------------Fim da exportação transações de projeto-------------</t>
  </si>
  <si>
    <t>2017-05-11_17:24 - Arquivo xog sendo gravado em: C:\xog_sanofi\benefitPlan_20170511_172427.xml</t>
  </si>
  <si>
    <t>2017-05-11_17:24 - Login realizado. SessionID capturado: 10985161__9C588C8C-8383-4CC6-846E-18B526F2162B</t>
  </si>
  <si>
    <t>2017-05-11_17:24 - Arquivo xog sendo gravado em: C:\xog_sanofi\prj_sf_20170511_172433.xml</t>
  </si>
  <si>
    <t>2017-05-11_17:24 - Login realizado. SessionID capturado: 10985165__7D7946B6-6045-439E-91E1-642794FD0FF1</t>
  </si>
  <si>
    <t>2017-05-15_10:32 - -------------Início da exportação transações de projeto-------------</t>
  </si>
  <si>
    <t>2017-05-15_10:32 - Arquivo xog sendo gravado em: C:\xog_sanofi\prj_projects_20170515_103215.xml</t>
  </si>
  <si>
    <t>2017-05-15_10:32 -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</si>
  <si>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2017-05-15_10:32 - Enviando requisição de login</t>
  </si>
  <si>
    <t>2017-05-15_10:32 - Login realizado. SessionID capturado: 11271580__0F798EE9-5AED-450E-9406-48D6CCE3A5AC</t>
  </si>
  <si>
    <t>2017-05-15_10:32 - Chamando mensagem de requisição</t>
  </si>
  <si>
    <t>2017-05-15_10:32 - Capturando resultado final</t>
  </si>
  <si>
    <t>2017-05-15_10:32 - Efetuando logout</t>
  </si>
  <si>
    <t>2017-05-15_10:32 - Logout realizado</t>
  </si>
  <si>
    <t>2017-05-15_10:32 - -------------Fim da exportação transações de projeto-------------</t>
  </si>
  <si>
    <t>2017-05-15_10:32 - Arquivo xog sendo gravado em: C:\xog_sanofi\benefitPlan_20170515_103219.xml</t>
  </si>
  <si>
    <t>2017-05-15_10:32 - Login realizado. SessionID capturado: 11271581__CE3082DF-01A6-410C-81F3-B0E7308BC86A</t>
  </si>
  <si>
    <t>2017-05-15_10:32 - Arquivo xog sendo gravado em: C:\xog_sanofi\prj_sf_20170515_103220.xml</t>
  </si>
  <si>
    <t>2017-05-15_10:32 - Login realizado. SessionID capturado: 11271584__704E1053-4E49-4A55-9D14-E29967135C79</t>
  </si>
  <si>
    <t>perc_gross_sales</t>
  </si>
  <si>
    <t>gs_growth_perc</t>
  </si>
  <si>
    <t>ns_growth_perc</t>
  </si>
  <si>
    <t>perc_ns</t>
  </si>
  <si>
    <t>gross_margim</t>
  </si>
  <si>
    <t>ro_perc_ns</t>
  </si>
  <si>
    <t>gm_perc_ns</t>
  </si>
  <si>
    <t>sf_perc_ns</t>
  </si>
  <si>
    <t>pe_perc_ns</t>
  </si>
  <si>
    <t>product_contribution</t>
  </si>
  <si>
    <t>pc_perc_ns</t>
  </si>
  <si>
    <t>rd_amortization</t>
  </si>
  <si>
    <t>structural_cost</t>
  </si>
  <si>
    <t>sc_perc_ns</t>
  </si>
  <si>
    <t>other_income_exp</t>
  </si>
  <si>
    <t>business_opex_inc</t>
  </si>
  <si>
    <t>boi_perc_ns</t>
  </si>
  <si>
    <t>effective_tax_rate</t>
  </si>
  <si>
    <t>other_specific_tax_inp</t>
  </si>
  <si>
    <t>business_net_income</t>
  </si>
  <si>
    <t>bni_perc_ns</t>
  </si>
  <si>
    <t>proceeds_sales_assets</t>
  </si>
  <si>
    <t>net_book_value_disposais</t>
  </si>
  <si>
    <t>other_maj_events</t>
  </si>
  <si>
    <t>net_income</t>
  </si>
  <si>
    <t>ni_perc_ns</t>
  </si>
  <si>
    <t>ebit</t>
  </si>
  <si>
    <t>ebit_perc_ns</t>
  </si>
  <si>
    <t>dep_cogs</t>
  </si>
  <si>
    <t>dep_rd_ga</t>
  </si>
  <si>
    <t>ebitda</t>
  </si>
  <si>
    <t>ebitda_perc_ns</t>
  </si>
  <si>
    <t>2017-05-15_10:56 - -------------Início da exportação transações de projeto-------------</t>
  </si>
  <si>
    <t>2017-05-15_10:56 - Arquivo xog sendo gravado em: C:\xog_sanofi\benefitPlan_20170515_105636.xml</t>
  </si>
  <si>
    <t>Row</t>
  </si>
  <si>
    <t>2017-05-15_14:38 - -------------Início da exportação transações de projeto-------------</t>
  </si>
  <si>
    <t>2017-05-15_14:38 - Arquivo xog sendo gravado em: C:\xog_sanofi\prj_pnl_20170515_143859.xml</t>
  </si>
  <si>
    <t>2017-05-15_14:38 - Arquivo xog sendo gravado em: C:\xog_sanofi\prj_projects_20170515_143859.xml</t>
  </si>
  <si>
    <t>2017-05-15_14:38 -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</si>
  <si>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2017-05-15_14:38 - Enviando requisição de login</t>
  </si>
  <si>
    <t>2017-05-15_14:39 - -------------Início da exportação transações de projeto-------------</t>
  </si>
  <si>
    <t>2017-05-15_14:39 - Arquivo xog sendo gravado em: C:\xog_sanofi\benefitPlan_20170515_143921.xml</t>
  </si>
  <si>
    <t>2017-05-15_14:39 -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</si>
  <si>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2017-05-15_14:39 - Enviando requisição de login</t>
  </si>
  <si>
    <t>2017-05-15_14:39 - Arquivo xog sendo gravado em: C:\xog_sanofi\prj_sf_20170515_143942.xml</t>
  </si>
  <si>
    <t>2017-05-15_14:41 - -------------Início da exportação transações de projeto-------------</t>
  </si>
  <si>
    <t>2017-05-15_14:41 - Arquivo xog sendo gravado em: C:\xog_sanofi\prj_pnl_20170515_144122.xml</t>
  </si>
  <si>
    <t>2017-05-15_14:42 - -------------Início da exportação transações de projeto-------------</t>
  </si>
  <si>
    <t>2017-05-15_14:42 - Arquivo xog sendo gravado em: C:\xog_sanofi\prj_projects_20170515_144246.xml</t>
  </si>
  <si>
    <t>2017-05-15_14:42 -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</si>
  <si>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2017-05-15_14:42 - Enviando requisição de login</t>
  </si>
  <si>
    <t>2017-05-15_14:43 - -------------Início da exportação transações de projeto-------------</t>
  </si>
  <si>
    <t>2017-05-15_14:43 - Arquivo xog sendo gravado em: C:\xog_sanofi\benefitPlan_20170515_144307.xml</t>
  </si>
  <si>
    <t>2017-05-15_14:44 - -------------Início da exportação transações de projeto-------------</t>
  </si>
  <si>
    <t>2017-05-15_14:44 - Arquivo xog sendo gravado em: C:\xog_sanofi\prj_projects_20170515_144400.xml</t>
  </si>
  <si>
    <t>2017-05-15_14:44 -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</si>
  <si>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2017-05-15_14:44 - Enviando requisição de login</t>
  </si>
  <si>
    <t>2017-05-15_14:44 - Arquivo xog sendo gravado em: C:\xog_sanofi\benefitPlan_20170515_144421.xml</t>
  </si>
  <si>
    <t>2017-05-15_14:44 - Arquivo xog sendo gravado em: C:\xog_sanofi\prj_sf_20170515_144442.xml</t>
  </si>
  <si>
    <t>2017-05-15_15:33 -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</si>
  <si>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2017-05-15_15:33 - Enviando requisição de login</t>
  </si>
  <si>
    <t>2017-05-15_16:15 -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</si>
  <si>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2017-05-15_16:15 - Enviando requisição de login</t>
  </si>
  <si>
    <t>2017-05-15_16:15 - Login realizado. SessionID capturado: 11287908__BE4F6798-7B39-4572-8792-9B57835F75CC</t>
  </si>
  <si>
    <t>2017-05-15_16:15 - Chamando mensagem de requisição</t>
  </si>
  <si>
    <t>2017-05-15_16:15 - Capturando resultado final</t>
  </si>
  <si>
    <t>2017-05-15_16:15 - Efetuando logout</t>
  </si>
  <si>
    <t>2017-05-15_16:15 - Logout realizado</t>
  </si>
  <si>
    <t>2017-05-15_16:15 - -------------Fim da exportação transações de projeto-------------</t>
  </si>
  <si>
    <t>2017-05-15_16:35 -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</si>
  <si>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2017-05-15_16:35 - Enviando requisição de login</t>
  </si>
  <si>
    <t>2017-05-15_16:35 - Login realizado. SessionID capturado: 11290397__2FC945A8-D760-4C23-95DC-FA884939617B</t>
  </si>
  <si>
    <t>2017-05-15_16:35 - Chamando mensagem de requisição</t>
  </si>
  <si>
    <t>2017-05-15_16:35 - Capturando resultado final</t>
  </si>
  <si>
    <t>2017-05-15_16:35 - Efetuando logout</t>
  </si>
  <si>
    <t>2017-05-15_16:35 - Logout realizado</t>
  </si>
  <si>
    <t>2017-05-15_16:35 - -------------Fim da exportação transações de projeto-------------</t>
  </si>
  <si>
    <t>2017-05-15_16:35 - -------------Início da exportação transações de projeto-------------</t>
  </si>
  <si>
    <t>2017-05-15_16:35 - Arquivo xog sendo gravado em: C:\xog_sanofi\benefitPlan_20170515_163553.xml</t>
  </si>
  <si>
    <t>2017-05-15_16:35 - Login realizado. SessionID capturado: 11290399__D64C1FED-483A-46D5-87B6-B033ABD84CC2</t>
  </si>
  <si>
    <t>2017-05-15_16:39 - Proxy identificado</t>
  </si>
  <si>
    <t>2017-05-15_16:39 -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</si>
  <si>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2017-05-15_16:39 - Enviando requisição de login</t>
  </si>
  <si>
    <t>2017-05-15_16:39 - Login realizado. SessionID capturado: 11290498__A63B8AF5-ED7B-4D42-9701-0F304B3CAB5D</t>
  </si>
  <si>
    <t>2017-05-15_16:39 - Chamando mensagem de requisição</t>
  </si>
  <si>
    <t>2017-05-15_16:39 - Capturando resultado final</t>
  </si>
  <si>
    <t>2017-05-15_16:39 - Efetuando logout</t>
  </si>
  <si>
    <t>2017-05-15_16:39 - Logout realizado</t>
  </si>
  <si>
    <t>2017-05-15_16:39 - -------------Fim da exportação transações de projeto-------------</t>
  </si>
  <si>
    <t>2017-05-15_16:39 - -------------Início da exportação transações de projeto-------------</t>
  </si>
  <si>
    <t>2017-05-15_16:39 - Arquivo xog sendo gravado em: C:\xog_sanofi\benefitPlan_20170515_163958.xml</t>
  </si>
  <si>
    <t>2017-05-15_16:39 - Login realizado. SessionID capturado: 11290500__A48FA5DA-F31D-4AAA-90FA-E33B43F39881</t>
  </si>
  <si>
    <t>2017-05-15_16:39 - Arquivo xog sendo gravado em: C:\xog_sanofi\prj_projects_20170515_163959.xml</t>
  </si>
  <si>
    <t>2017-05-15_16:39 - Login realizado. SessionID capturado: 11290502__7F6F0805-6FC2-4039-A9BA-2B59401CA8B4</t>
  </si>
  <si>
    <t>2017-05-15_16:40 - Capturando resultado final</t>
  </si>
  <si>
    <t>2017-05-15_16:40 - Efetuando logout</t>
  </si>
  <si>
    <t>2017-05-15_16:40 - Logout realizado</t>
  </si>
  <si>
    <t>2017-05-15_16:40 - -------------Fim da exportação transações de projeto-------------</t>
  </si>
  <si>
    <t>2017-05-15_16:40 - -------------Início da exportação transações de projeto-------------</t>
  </si>
  <si>
    <t>2017-05-15_16:40 - Arquivo xog sendo gravado em: C:\xog_sanofi\prj_sf_20170515_164001.xml</t>
  </si>
  <si>
    <t>2017-05-15_16:40 - Proxy identificado</t>
  </si>
  <si>
    <t>2017-05-15_16:40 -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</si>
  <si>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2017-05-15_16:40 - Enviando requisição de login</t>
  </si>
  <si>
    <t>2017-05-15_16:40 - Login realizado. SessionID capturado: 11290503__9F15D5D2-4F84-4993-AE98-9D765A51B0F7</t>
  </si>
  <si>
    <t>2017-05-15_16:40 - Chamando mensagem de requisição</t>
  </si>
  <si>
    <t>2017-05-15_18:13 - Proxy identificado</t>
  </si>
  <si>
    <t>2017-05-15_18:13 -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</si>
  <si>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2017-05-15_18:13 - Enviando requisição de login</t>
  </si>
  <si>
    <t>2017-05-15_18:13 - Login realizado. SessionID capturado: 11293779__335131B6-3937-44AB-A43A-C6C4CB960714</t>
  </si>
  <si>
    <t>2017-05-15_18:13 - Chamando mensagem de requisição</t>
  </si>
  <si>
    <t>2017-05-15_18:13 - Capturando resultado final</t>
  </si>
  <si>
    <t>2017-05-15_18:13 - Efetuando logout</t>
  </si>
  <si>
    <t>2017-05-15_18:13 - Logout realizado</t>
  </si>
  <si>
    <t>2017-05-15_18:13 - -------------Fim da exportação transações de projeto-------------</t>
  </si>
  <si>
    <t>2017-05-15_18:13 - -------------Início da exportação transações de projeto-------------</t>
  </si>
  <si>
    <t>2017-05-15_18:13 - Arquivo xog sendo gravado em: C:\xog_sanofi\benefitPlan_20170515_181355.xml</t>
  </si>
  <si>
    <t>2017-05-15_18:13 - Login realizado. SessionID capturado: 11293781__A3E3DDDC-6640-41FA-B06B-2ED8381525A0</t>
  </si>
  <si>
    <t>2017-05-15_18:13 - Arquivo xog sendo gravado em: C:\xog_sanofi\prj_projects_20170515_181356.xml</t>
  </si>
  <si>
    <t>2017-05-15_18:13 - Login realizado. SessionID capturado: 11293783__F85294E1-6140-4CA9-913E-D421EE699C1C</t>
  </si>
  <si>
    <t>2017-05-15_18:13 - Arquivo xog sendo gravado em: C:\xog_sanofi\prj_sf_20170515_181358.xml</t>
  </si>
  <si>
    <t>2017-05-15_18:13 - Login realizado. SessionID capturado: 11293784__D7C0D9E9-9C5D-405A-9FCB-D36DA3F31C03</t>
  </si>
  <si>
    <t>2017-05-15_18:14 - Logout realizado</t>
  </si>
  <si>
    <t>2017-05-15_18:14 - -------------Fim da exportação transações de projeto-------------</t>
  </si>
  <si>
    <t>2017-05-15_18:17 - Proxy identificado</t>
  </si>
  <si>
    <t>2017-05-15_18:17 -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</si>
  <si>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2017-05-15_18:17 - Enviando requisição de login</t>
  </si>
  <si>
    <t>2017-05-15_18:17 - Login realizado. SessionID capturado: 11293868__433CD38E-D181-4319-87F4-6E2BACEFE94B</t>
  </si>
  <si>
    <t>2017-05-15_18:17 - Chamando mensagem de requisição</t>
  </si>
  <si>
    <t>2017-05-15_18:17 - Capturando resultado final</t>
  </si>
  <si>
    <t>2017-05-15_18:17 - Efetuando logout</t>
  </si>
  <si>
    <t>2017-05-15_18:17 - Logout realizado</t>
  </si>
  <si>
    <t>2017-05-15_18:17 - -------------Fim da exportação transações de projeto-------------</t>
  </si>
  <si>
    <t>2017-05-15_18:17 - -------------Início da exportação transações de projeto-------------</t>
  </si>
  <si>
    <t>2017-05-15_18:17 - Arquivo xog sendo gravado em: C:\xog_sanofi\benefitPlan_20170515_181725.xml</t>
  </si>
  <si>
    <t>2017-05-15_18:17 - Login realizado. SessionID capturado: 11293870__E4CF1351-C355-4268-A77E-CDC730515D45</t>
  </si>
  <si>
    <t>2017-05-15_18:17 - Arquivo xog sendo gravado em: C:\xog_sanofi\prj_projects_20170515_181726.xml</t>
  </si>
  <si>
    <t>2017-05-15_18:17 - Login realizado. SessionID capturado: 11293872__E89FE595-2B36-4172-B992-E15878FAB51B</t>
  </si>
  <si>
    <t>2017-05-15_18:17 - Arquivo xog sendo gravado em: C:\xog_sanofi\prj_sf_20170515_181727.xml</t>
  </si>
  <si>
    <t>2017-05-15_18:17 - Login realizado. SessionID capturado: 11293873__8A1A55FD-61BC-4394-98A2-470EE33579D4</t>
  </si>
  <si>
    <t>2017-05-15_18:44 - Proxy identificado</t>
  </si>
  <si>
    <t>2017-05-15_18:44 -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</si>
  <si>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2017-05-15_18:44 - Enviando requisição de login</t>
  </si>
  <si>
    <t>2017-05-15_18:44 - Login realizado. SessionID capturado: 11297517__A7205429-CB20-45E6-BA04-997B4E9E0721</t>
  </si>
  <si>
    <t>2017-05-15_18:44 - Chamando mensagem de requisição</t>
  </si>
  <si>
    <t>2017-05-15_18:44 - Capturando resultado final</t>
  </si>
  <si>
    <t>2017-05-15_18:44 - Efetuando logout</t>
  </si>
  <si>
    <t>2017-05-15_18:44 - Logout realizado</t>
  </si>
  <si>
    <t>2017-05-15_18:44 - -------------Fim da exportação transações de projeto-------------</t>
  </si>
  <si>
    <t>2017-05-15_18:44 - -------------Início da exportação transações de projeto-------------</t>
  </si>
  <si>
    <t>2017-05-15_18:44 - Arquivo xog sendo gravado em: C:\xog_sanofi\benefitPlan_20170515_184413.xml</t>
  </si>
  <si>
    <t>2017-05-15_18:44 - Login realizado. SessionID capturado: 11297519__3B26B6EB-A41E-4E53-B2BA-FD55876F3E4B</t>
  </si>
  <si>
    <t>2017-05-15_18:44 - Arquivo xog sendo gravado em: C:\xog_sanofi\prj_projects_20170515_184414.xml</t>
  </si>
  <si>
    <t>2017-05-15_18:44 - Login realizado. SessionID capturado: 11297521__35FBB970-095C-4DF7-87A5-ADB9245EFB1E</t>
  </si>
  <si>
    <t>2017-05-15_18:44 - Arquivo xog sendo gravado em: C:\xog_sanofi\prj_sf_20170515_184416.xml</t>
  </si>
  <si>
    <t>2017-05-15_18:44 - Login realizado. SessionID capturado: 11297522__CF884611-43FA-4307-977C-D2C53AC70AC4</t>
  </si>
  <si>
    <t>2017-05-29_13:10 - -------------Início da exportação transações de projeto-------------</t>
  </si>
  <si>
    <t>2017-05-29_13:10 - Arquivo xog sendo gravado em: C:\xog_sanofi\prj_projects_20170529_131023.xml</t>
  </si>
  <si>
    <t>2017-05-29_13:10 - Proxy identificado</t>
  </si>
  <si>
    <t>2017-05-29_13:10 - Requisição de login: &lt;soapenv:Envelope xmlns:soapenv="http://schemas.xmlsoap.org/soap/envelope/" xmlns:xog="http://www.niku.com/xog"&gt;&lt;soapenv:Header/&gt;&lt;soapenv:Body&gt;&lt;xog:Login&gt;&lt;xog:Username&gt;&lt;/xog:Username&gt;&lt;xog:Password&gt;&lt;/xog:Password&gt;&lt;/xog:Login&gt;&lt;/soapenv:Body&gt;&lt;/soapenv:Envelope&gt;</t>
  </si>
  <si>
    <t>2017-05-29_13:10 - Arquivo xog sendo gravado em: C:\xog_sanofi\prj_projects_20170529_131040.xml</t>
  </si>
  <si>
    <t>2017-05-29_13:12 - -------------Início da exportação transações de projeto-------------</t>
  </si>
  <si>
    <t>2017-05-29_13:12 - Arquivo xog sendo gravado em: C:\xog_sanofi\prj_projects_20170529_131200.xml</t>
  </si>
  <si>
    <t>2017-05-29_13:13 - -------------Início da exportação transações de projeto-------------</t>
  </si>
  <si>
    <t>2017-05-29_13:13 - Arquivo xog sendo gravado em: C:\xog_sanofi\prj_projects_20170529_131305.xml</t>
  </si>
  <si>
    <t>2017-05-29_13:18 - Proxy identificado</t>
  </si>
  <si>
    <t>2017-05-29_13:19 - Writing Benefit Plan Class...</t>
  </si>
  <si>
    <t>2017-05-29_13:19 - Writing Benefit Plan Subclass...</t>
  </si>
  <si>
    <t>2017-05-29_13:19 - Writing Project Informations...</t>
  </si>
  <si>
    <t>2017-05-29_13:20 - -------------Início da exportação transações de projeto-------------</t>
  </si>
  <si>
    <t>2017-05-29_13:20 - Arquivo xog sendo gravado em: C:\xog_sanofi\prj_projects_20170529_132016.xml</t>
  </si>
  <si>
    <t>2017-05-29_13:20 -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</si>
  <si>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2017-05-29_13:20 - Enviando requisição de login</t>
  </si>
  <si>
    <t>2017-05-29_13:20 - Login realizado. SessionID capturado: 12339080__C0BD3CE8-2AE2-4F8F-AE31-21F96FE47ED3</t>
  </si>
  <si>
    <t>2017-05-29_13:20 - Chamando mensagem de requisição</t>
  </si>
  <si>
    <t>2017-05-29_13:20 - Capturando resultado final</t>
  </si>
  <si>
    <t>2017-05-29_13:20 - Efetuando logout</t>
  </si>
  <si>
    <t>2017-05-29_13:20 - Logout realizado</t>
  </si>
  <si>
    <t>2017-05-29_13:20 - -------------Fim da exportação transações de projeto-------------</t>
  </si>
  <si>
    <t>INVESTMENTS</t>
  </si>
  <si>
    <t>TOTAL IN-HOUSE DEVPT</t>
  </si>
  <si>
    <t xml:space="preserve">DOSSIER </t>
  </si>
  <si>
    <t>REGISTRATION (CAPEX)</t>
  </si>
  <si>
    <t>REGISTRATION (OPEX)</t>
  </si>
  <si>
    <t xml:space="preserve">STUDIES </t>
  </si>
  <si>
    <t>TOTAL INVESTMENT NOT DISC</t>
  </si>
  <si>
    <t>TOTAL INVESTMENT DISC</t>
  </si>
  <si>
    <t>INV. BY NATURE (kBRL)</t>
  </si>
  <si>
    <t>CLISTUDY</t>
  </si>
  <si>
    <t>REGPAY</t>
  </si>
  <si>
    <t>DOSSIER</t>
  </si>
  <si>
    <t>DEVPT</t>
  </si>
  <si>
    <t>COST_TYPE</t>
  </si>
  <si>
    <t>TRANS_CLASS</t>
  </si>
  <si>
    <t>Investments</t>
  </si>
  <si>
    <t>2017-05-29_15:32 - -------------Início da exportação transações de projeto-------------</t>
  </si>
  <si>
    <t>2017-05-29_15:32 - Arquivo xog sendo gravado em: C:\xog_sanofi\xog_costPlan_20170529_153216.xml</t>
  </si>
  <si>
    <t>2017-05-29_15:32 - Arquivo xog sendo gravado em: C:\xog_sanofi\xog_costPlan_20170529_153257.xml</t>
  </si>
  <si>
    <t>2017-05-29_15:43 - -------------Início da exportação transações de projeto-------------</t>
  </si>
  <si>
    <t>2017-05-29_15:43 - Arquivo xog sendo gravado em: C:\xog_sanofi\xog_costPlan_20170529_154330.xml</t>
  </si>
  <si>
    <t>CAPITAL</t>
  </si>
  <si>
    <t>OPERATING</t>
  </si>
  <si>
    <t>2017-05-29_15:44 - -------------Início da exportação transações de projeto-------------</t>
  </si>
  <si>
    <t>2017-05-29_15:44 - Arquivo xog sendo gravado em: C:\xog_sanofi\xog_costPlan_20170529_154423.xml</t>
  </si>
  <si>
    <t>2017-05-29_15:46 - -------------Início da exportação transações de projeto-------------</t>
  </si>
  <si>
    <t>2017-05-29_15:46 - Arquivo xog sendo gravado em: C:\xog_sanofi\xog_costPlan_20170529_154624.xml</t>
  </si>
  <si>
    <t>2017-05-29_15:48 - -------------Início da exportação transações de projeto-------------</t>
  </si>
  <si>
    <t>2017-05-29_15:48 - Arquivo xog sendo gravado em: C:\xog_sanofi\xog_costPlan_20170529_154809.xml</t>
  </si>
  <si>
    <t>2017-05-29_15:49 - -------------Início da exportação transações de projeto-------------</t>
  </si>
  <si>
    <t>2017-05-29_15:49 - Arquivo xog sendo gravado em: C:\xog_sanofi\xog_costPlan_20170529_154945.xml</t>
  </si>
  <si>
    <t>2017-05-29_15:51 - -------------Início da exportação transações de projeto-------------</t>
  </si>
  <si>
    <t>2017-05-29_15:51 - Arquivo xog sendo gravado em: C:\xog_sanofi\xog_costPlan_20170529_155134.xml</t>
  </si>
  <si>
    <t>2017-05-29_15:55 - -------------Início da exportação transações de projeto-------------</t>
  </si>
  <si>
    <t>2017-05-29_15:55 - Arquivo xog sendo gravado em: C:\xog_sanofi\xog_costPlan_20170529_155534.xml</t>
  </si>
  <si>
    <t>2017-05-29_15:56 - -------------Início da exportação transações de projeto-------------</t>
  </si>
  <si>
    <t>2017-05-29_15:56 - Arquivo xog sendo gravado em: C:\xog_sanofi\xog_costPlan_20170529_155600.xml</t>
  </si>
  <si>
    <t>2017-05-29_15:57 - -------------Início da exportação transações de projeto-------------</t>
  </si>
  <si>
    <t>2017-05-29_15:57 - Arquivo xog sendo gravado em: C:\xog_sanofi\xog_costPlan_20170529_155709.xml</t>
  </si>
  <si>
    <t>2017-05-29_15:57 - Arquivo xog sendo gravado em: C:\xog_sanofi\xog_costPlan_20170529_155759.xml</t>
  </si>
  <si>
    <t>2017-05-29_16:04 -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</si>
  <si>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2017-05-29_16:04 - Enviando requisição de login</t>
  </si>
  <si>
    <t>2017-05-29_16:04 - Login realizado. SessionID capturado: 12352457__BFC9990E-C59C-4B83-A57D-9B830A0929C6</t>
  </si>
  <si>
    <t>2017-05-29_16:04 - Chamando mensagem de requisição</t>
  </si>
  <si>
    <t>2017-05-29_16:04 - Capturando resultado final</t>
  </si>
  <si>
    <t>2017-05-29_16:04 - Efetuando logout</t>
  </si>
  <si>
    <t>2017-05-29_16:04 - Logout realizado</t>
  </si>
  <si>
    <t>2017-05-29_16:04 - -------------Fim da exportação transações de projeto-------------</t>
  </si>
  <si>
    <t>2017-05-29_16:04 - -------------Início da exportação transações de projeto-------------</t>
  </si>
  <si>
    <t>2017-05-29_16:04 - Arquivo xog sendo gravado em: C:\xog_sanofi\prj_projects_20170529_160425.xml</t>
  </si>
  <si>
    <t>2017-05-29_16:04 - Login realizado. SessionID capturado: 12352458__6282964C-59A5-4DD8-88AC-E935EE08A378</t>
  </si>
  <si>
    <t>2017-05-29_16:04 - Arquivo xog sendo gravado em: C:\xog_sanofi\prj_sf_20170529_160426.xml</t>
  </si>
  <si>
    <t>2017-05-29_16:04 - Login realizado. SessionID capturado: 12352459__7BD8B3AF-3AD2-4493-B48F-B3D0B3A4BDE4</t>
  </si>
  <si>
    <t>2017-05-29_16:04 - Arquivo xog sendo gravado em: C:\xog_sanofi\benefitPlan_20170529_160428.xml</t>
  </si>
  <si>
    <t>2017-05-29_16:04 - Login realizado. SessionID capturado: 12352461__5624C862-B791-4840-B9B1-03B4340682EF</t>
  </si>
  <si>
    <t>2017-05-29_16:04 - Arquivo xog sendo gravado em: C:\xog_sanofi\xog_costPlan_20170529_160430.xml</t>
  </si>
  <si>
    <t>2017-05-29_16:04 - Login realizado. SessionID capturado: 12352464__153C7A10-C046-44C3-AAA0-D733BD6E4D3E</t>
  </si>
  <si>
    <t>2017-05-29_16:11 -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</si>
  <si>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2017-05-29_16:11 - Enviando requisição de login</t>
  </si>
  <si>
    <t>2017-05-29_16:11 - Login realizado. SessionID capturado: 12353620__02BC7929-3EFF-468E-BCDD-1FD193B19894</t>
  </si>
  <si>
    <t>2017-05-29_16:11 - Chamando mensagem de requisição</t>
  </si>
  <si>
    <t>2017-05-29_16:11 - Capturando resultado final</t>
  </si>
  <si>
    <t>2017-05-29_16:11 - Efetuando logout</t>
  </si>
  <si>
    <t>2017-05-29_16:11 - Logout realizado</t>
  </si>
  <si>
    <t>2017-05-29_16:11 - -------------Fim da exportação transações de projeto-------------</t>
  </si>
  <si>
    <t>2017-05-29_16:11 - -------------Início da exportação transações de projeto-------------</t>
  </si>
  <si>
    <t>2017-05-29_16:11 - Arquivo xog sendo gravado em: C:\xog_sanofi\prj_projects_20170529_161112.xml</t>
  </si>
  <si>
    <t>2017-05-29_16:11 - Login realizado. SessionID capturado: 12353623__0CB6CC2C-9CD7-4CBE-99A8-B64E745D049F</t>
  </si>
  <si>
    <t>2017-05-29_16:11 - Arquivo xog sendo gravado em: C:\xog_sanofi\prj_sf_20170529_161113.xml</t>
  </si>
  <si>
    <t>2017-05-29_16:11 - Login realizado. SessionID capturado: 12353625__3056516D-5CDA-45E6-ABEC-3278521D770C</t>
  </si>
  <si>
    <t>2017-05-29_16:11 - Arquivo xog sendo gravado em: C:\xog_sanofi\benefitPlan_20170529_161115.xml</t>
  </si>
  <si>
    <t>2017-05-29_16:11 - Login realizado. SessionID capturado: 12353627__DFB7B04D-5AC5-4F34-985E-DF66ED4B081F</t>
  </si>
  <si>
    <t>2017-05-29_16:11 - Arquivo xog sendo gravado em: C:\xog_sanofi\xog_costPlan_20170529_161116.xml</t>
  </si>
  <si>
    <t>2017-05-29_16:11 - Login realizado. SessionID capturado: 12353628__829EB57B-DD62-44B5-B45E-B52F35C1CC7B</t>
  </si>
  <si>
    <t>2017-05-29_16:15 -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</si>
  <si>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2017-05-29_16:15 - Enviando requisição de login</t>
  </si>
  <si>
    <t>2017-05-29_16:15 - Login realizado. SessionID capturado: 12352727__A34CE359-C448-42A5-954A-0FFC9EC31CCA</t>
  </si>
  <si>
    <t>2017-05-29_16:15 - Chamando mensagem de requisição</t>
  </si>
  <si>
    <t>2017-05-29_16:15 - Capturando resultado final</t>
  </si>
  <si>
    <t>2017-05-29_16:15 - Efetuando logout</t>
  </si>
  <si>
    <t>2017-05-29_16:15 - Logout realizado</t>
  </si>
  <si>
    <t>2017-05-29_16:15 - -------------Fim da exportação transações de projeto-------------</t>
  </si>
  <si>
    <t>2017-05-29_16:15 - -------------Início da exportação transações de projeto-------------</t>
  </si>
  <si>
    <t>2017-05-29_16:15 - Arquivo xog sendo gravado em: C:\xog_sanofi\prj_projects_20170529_161515.xml</t>
  </si>
  <si>
    <t>2017-05-29_16:15 - Login realizado. SessionID capturado: 12352728__838D3726-9600-4A64-82F9-9AB40133BC58</t>
  </si>
  <si>
    <t>2017-05-29_16:15 - Arquivo xog sendo gravado em: C:\xog_sanofi\prj_sf_20170529_161516.xml</t>
  </si>
  <si>
    <t>2017-05-29_16:15 - Login realizado. SessionID capturado: 12352730__1351F560-B3A8-401E-9161-89D06FCDD67E</t>
  </si>
  <si>
    <t>2017-05-29_16:15 - Arquivo xog sendo gravado em: C:\xog_sanofi\benefitPlan_20170529_161517.xml</t>
  </si>
  <si>
    <t>2017-05-29_16:15 - Login realizado. SessionID capturado: 12352733__46DA0BCE-444D-423D-B26B-48E2DCC223F0</t>
  </si>
  <si>
    <t>2017-05-29_16:15 - Arquivo xog sendo gravado em: C:\xog_sanofi\xog_costPlan_20170529_161519.xml</t>
  </si>
  <si>
    <t>2017-05-29_16:15 - Login realizado. SessionID capturado: 12352735__C9116942-A122-405E-8F79-C65A99331499</t>
  </si>
  <si>
    <t>2017-05-29_16:18 - -------------Início da exportação transações de projeto-------------</t>
  </si>
  <si>
    <t>2017-05-29_16:18 - Arquivo xog sendo gravado em: C:\xog_sanofi\xog_costPlan_20170529_161814.xml</t>
  </si>
  <si>
    <t>2017-05-29_16:18 - Arquivo xog sendo gravado em: C:\xog_sanofi\xog_costPlan_20170529_161851.xml</t>
  </si>
  <si>
    <t>2017-05-29_16:19 -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</si>
  <si>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2017-05-29_16:19 - Enviando requisição de login</t>
  </si>
  <si>
    <t>2017-05-29_16:19 - Login realizado. SessionID capturado: 12352842__7247362A-5155-42CC-93A7-E52D59627860</t>
  </si>
  <si>
    <t>2017-05-29_16:19 - Chamando mensagem de requisição</t>
  </si>
  <si>
    <t>2017-05-29_16:19 - Capturando resultado final</t>
  </si>
  <si>
    <t>2017-05-29_16:19 - Efetuando logout</t>
  </si>
  <si>
    <t>2017-05-29_16:19 - Logout realizado</t>
  </si>
  <si>
    <t>2017-05-29_16:19 - -------------Fim da exportação transações de projeto-------------</t>
  </si>
  <si>
    <t>2017-05-29_16:19 - -------------Início da exportação transações de projeto-------------</t>
  </si>
  <si>
    <t>2017-05-29_16:19 - Arquivo xog sendo gravado em: C:\xog_sanofi\prj_projects_20170529_161944.xml</t>
  </si>
  <si>
    <t>2017-05-29_16:19 - Login realizado. SessionID capturado: 12352845__4C6D37F5-B9D7-4352-8FB6-FE0FEFF3A7A5</t>
  </si>
  <si>
    <t>2017-05-29_16:19 - Arquivo xog sendo gravado em: C:\xog_sanofi\prj_sf_20170529_161945.xml</t>
  </si>
  <si>
    <t>2017-05-29_16:19 - Login realizado. SessionID capturado: 12352846__52748AB4-E397-4A63-939B-3563F0C91326</t>
  </si>
  <si>
    <t>2017-05-29_16:19 - Arquivo xog sendo gravado em: C:\xog_sanofi\benefitPlan_20170529_161946.xml</t>
  </si>
  <si>
    <t>2017-05-29_16:19 - Login realizado. SessionID capturado: 12352848__D1589B61-A4C9-472A-9865-313C98DA679D</t>
  </si>
  <si>
    <t>2017-05-29_16:19 - Arquivo xog sendo gravado em: C:\xog_sanofi\xog_costPlan_20170529_161948.xml</t>
  </si>
  <si>
    <t>2017-05-29_16:19 - Login realizado. SessionID capturado: 12352850__336FD79B-2EF5-466B-BC2E-E2885AECC145</t>
  </si>
  <si>
    <t>2017-05-29_16:25 -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</si>
  <si>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2017-05-29_16:25 - Enviando requisição de login</t>
  </si>
  <si>
    <t>2017-05-29_16:25 - Login realizado. SessionID capturado: 12352998__9711DBDB-7928-4ED5-95DF-8C044D6DE308</t>
  </si>
  <si>
    <t>2017-05-29_16:25 - Chamando mensagem de requisição</t>
  </si>
  <si>
    <t>2017-05-29_16:25 - Capturando resultado final</t>
  </si>
  <si>
    <t>2017-05-29_16:25 - Efetuando logout</t>
  </si>
  <si>
    <t>2017-05-29_16:25 - Logout realizado</t>
  </si>
  <si>
    <t>2017-05-29_16:25 - -------------Fim da exportação transações de projeto-------------</t>
  </si>
  <si>
    <t>2017-05-29_16:25 - -------------Início da exportação transações de projeto-------------</t>
  </si>
  <si>
    <t>2017-05-29_16:25 - Arquivo xog sendo gravado em: C:\xog_sanofi\prj_projects_20170529_162554.xml</t>
  </si>
  <si>
    <t>2017-05-29_16:25 - Login realizado. SessionID capturado: 12353000__73667529-900D-4CD1-B659-2CFEDA430BF2</t>
  </si>
  <si>
    <t>2017-05-29_16:25 - Arquivo xog sendo gravado em: C:\xog_sanofi\prj_sf_20170529_162554.xml</t>
  </si>
  <si>
    <t>2017-05-29_16:25 - Login realizado. SessionID capturado: 12353001__CB3AD7C4-0295-4FC1-811D-4E44ECFE9727</t>
  </si>
  <si>
    <t>2017-05-29_16:25 - Arquivo xog sendo gravado em: C:\xog_sanofi\benefitPlan_20170529_162555.xml</t>
  </si>
  <si>
    <t>2017-05-29_16:25 - Login realizado. SessionID capturado: 12353002__F6609E5D-E058-4556-98B3-C4D657D81795</t>
  </si>
  <si>
    <t>2017-05-29_16:25 - Arquivo xog sendo gravado em: C:\xog_sanofi\xog_costPlan_20170529_162557.xml</t>
  </si>
  <si>
    <t>2017-05-29_16:25 - Login realizado. SessionID capturado: 12353004__E20DAEF1-2150-402C-81C9-064D7652CA70</t>
  </si>
  <si>
    <t>2017-06-05_17:58 - Proxy identificado</t>
  </si>
  <si>
    <t>2017-06-05_17:58 - Writing Benefit Plan Class...</t>
  </si>
  <si>
    <t>2017-06-05_17:58 - Writing Benefit Plan Subclass...</t>
  </si>
  <si>
    <t>2017-06-05_17:58 - Writing Project Informations...</t>
  </si>
  <si>
    <t>2017-06-05_17:59 - Proxy identificado</t>
  </si>
  <si>
    <t>2017-06-05_17:59 -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</si>
  <si>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2017-06-05_17:59 - Enviando requisição de login</t>
  </si>
  <si>
    <t>2017-06-05_17:59 - Login realizado. SessionID capturado: 12908998__DB0AA107-AE65-4025-96BC-0259CEF98142</t>
  </si>
  <si>
    <t>2017-06-05_17:59 - Chamando mensagem de requisição</t>
  </si>
  <si>
    <t>2017-06-05_17:59 - Capturando resultado final</t>
  </si>
  <si>
    <t>2017-06-05_17:59 - Efetuando logout</t>
  </si>
  <si>
    <t>2017-06-05_17:59 - Logout realizado</t>
  </si>
  <si>
    <t>2017-06-05_17:59 - -------------Fim da exportação transações de projeto-------------</t>
  </si>
  <si>
    <t>2017-06-05_17:59 - -------------Início da exportação transações de projeto-------------</t>
  </si>
  <si>
    <t>2017-06-05_17:59 - Arquivo xog sendo gravado em: C:\xog_sanofi\prj_projects_20170605_175958.xml</t>
  </si>
  <si>
    <t>2017-06-05_17:59 - Login realizado. SessionID capturado: 12909000__100EC74C-F524-445E-AE27-32A9E4131D70</t>
  </si>
  <si>
    <t>2017-06-05_17:59 - Arquivo xog sendo gravado em: C:\xog_sanofi\prj_sf_20170605_175959.xml</t>
  </si>
  <si>
    <t>2017-06-05_18:00 - Proxy identificado</t>
  </si>
  <si>
    <t>2017-06-05_18:00 -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</si>
  <si>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2017-06-05_18:00 - Enviando requisição de login</t>
  </si>
  <si>
    <t>2017-06-05_18:00 - Login realizado. SessionID capturado: 12909001__FE9E42EF-5718-46ED-967B-76F3A2572FC8</t>
  </si>
  <si>
    <t>2017-06-05_18:00 - Chamando mensagem de requisição</t>
  </si>
  <si>
    <t>2017-06-05_18:00 - Capturando resultado final</t>
  </si>
  <si>
    <t>2017-06-05_18:00 - Efetuando logout</t>
  </si>
  <si>
    <t>2017-06-05_18:00 - Logout realizado</t>
  </si>
  <si>
    <t>2017-06-05_18:00 - -------------Fim da exportação transações de projeto-------------</t>
  </si>
  <si>
    <t>2017-06-05_18:00 - -------------Início da exportação transações de projeto-------------</t>
  </si>
  <si>
    <t>2017-06-05_18:00 - Arquivo xog sendo gravado em: C:\xog_sanofi\benefitPlan_20170605_180002.xml</t>
  </si>
  <si>
    <t>2017-06-05_18:00 - Login realizado. SessionID capturado: 12909004__B6284211-6806-408D-BD5C-59A4F60AF889</t>
  </si>
  <si>
    <t>2017-06-05_18:00 - Arquivo xog sendo gravado em: C:\xog_sanofi\xog_costPlan_20170605_180011.xml</t>
  </si>
  <si>
    <t>2017-06-05_18:00 - Login realizado. SessionID capturado: 12909008__1A7B51C0-A656-4988-A9AB-115C8C062E3D</t>
  </si>
  <si>
    <t>2017-07-26_23:21 -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</si>
  <si>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2017-07-26_23:21 - Enviando requisição de login</t>
  </si>
  <si>
    <t>2017-07-26_23:21 - Login realizado. SessionID capturado: 16746623__6AB92882-BBA0-48FC-A81E-07164E94A56C</t>
  </si>
  <si>
    <t>2017-07-26_23:21 - Chamando mensagem de requisição</t>
  </si>
  <si>
    <t>2017-07-26_23:21 - Capturando resultado final</t>
  </si>
  <si>
    <t>2017-07-26_23:21 - Efetuando logout</t>
  </si>
  <si>
    <t>2017-07-26_23:21 - Logout realizado</t>
  </si>
  <si>
    <t>2017-07-26_23:21 - -------------Fim da exportação transações de projeto-------------</t>
  </si>
  <si>
    <t>2017-07-26_23:21 - -------------Início da exportação transações de projeto-------------</t>
  </si>
  <si>
    <t>2017-07-26_23:21 - Arquivo xog sendo gravado em: C:\xog_sanofi\prj_projects_20170726_232120.xml</t>
  </si>
  <si>
    <t>2017-07-26_23:21 - Login realizado. SessionID capturado: 16746625__4189088F-52E3-4DDD-87E7-A48B7B739180</t>
  </si>
  <si>
    <t>2017-07-26_23:21 - Arquivo xog sendo gravado em: C:\xog_sanofi\prj_sf_20170726_232120.xml</t>
  </si>
  <si>
    <t>2017-07-26_23:21 - Arquivo xog sendo gravado em: C:\xog_sanofi\benefitPlan_20170726_232131.xml</t>
  </si>
  <si>
    <t>2017-07-26_23:21 - Login realizado. SessionID capturado: 16746631__9B4DAE6F-6ACD-4413-A275-28145C4C2A6A</t>
  </si>
  <si>
    <t>2017-07-26_23:21 - Arquivo xog sendo gravado em: C:\xog_sanofi\xog_costPlan_20170726_232133.xml</t>
  </si>
  <si>
    <t>2017-07-26_23:21 - Login realizado. SessionID capturado: 16746632__CF27573D-EF19-4606-92AB-4DA297C74804</t>
  </si>
  <si>
    <t>2017-07-26_23:32 - -------------Início da exportação transações de projeto-------------</t>
  </si>
  <si>
    <t>2017-07-26_23:32 - Arquivo xog sendo gravado em: C:\xog_sanofi\prj_sf_20170726_233218.xml</t>
  </si>
  <si>
    <t>2017-07-26_23:48 - -------------Início da exportação transações de projeto-------------</t>
  </si>
  <si>
    <t>2017-07-26_23:48 - Arquivo xog sendo gravado em: C:\xog_sanofi\prj_sf_20170726_234809.xml</t>
  </si>
  <si>
    <t>2017-07-26_23:50 - -------------Início da exportação transações de projeto-------------</t>
  </si>
  <si>
    <t>2017-07-26_23:50 - Arquivo xog sendo gravado em: C:\xog_sanofi\prj_sf_20170726_235027.xml</t>
  </si>
  <si>
    <t>2017-07-26_23:52 -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</si>
  <si>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2017-07-26_23:52 - Enviando requisição de login</t>
  </si>
  <si>
    <t>2017-07-26_23:52 - Login realizado. SessionID capturado: 16748379__9CA707D2-E566-4009-A89E-DE93C79AFA7D</t>
  </si>
  <si>
    <t>2017-07-26_23:52 - Chamando mensagem de requisição</t>
  </si>
  <si>
    <t>2017-07-26_23:52 - Capturando resultado final</t>
  </si>
  <si>
    <t>2017-07-26_23:52 - Efetuando logout</t>
  </si>
  <si>
    <t>2017-07-26_23:52 - Logout realizado</t>
  </si>
  <si>
    <t>2017-07-26_23:52 - -------------Fim da exportação transações de projeto-------------</t>
  </si>
  <si>
    <t>2017-07-26_23:53 - -------------Início da exportação transações de projeto-------------</t>
  </si>
  <si>
    <t>2017-07-26_23:53 - Arquivo xog sendo gravado em: C:\xog_sanofi\prj_sf_20170726_235358.xml</t>
  </si>
  <si>
    <t>2017-07-26_23:57 - -------------Início da exportação transações de projeto-------------</t>
  </si>
  <si>
    <t>2017-07-26_23:57 - Arquivo xog sendo gravado em: C:\xog_sanofi\prj_sf_20170726_235758.xml</t>
  </si>
  <si>
    <t>2017-07-27_00:01 - -------------Início da exportação transações de projeto-------------</t>
  </si>
  <si>
    <t>2017-07-27_00:01 - Arquivo xog sendo gravado em: C:\xog_sanofi\prj_sf_20170727_000109.xml</t>
  </si>
  <si>
    <t>2017-07-27_00:07 - -------------Início da exportação transações de projeto-------------</t>
  </si>
  <si>
    <t>2017-07-27_00:07 - Arquivo xog sendo gravado em: C:\xog_sanofi\prj_sf_20170727_000729.xml</t>
  </si>
  <si>
    <t>2017-07-27_00:07 -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</si>
  <si>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2017-07-27_00:07 - Enviando requisição de login</t>
  </si>
  <si>
    <t>2017-07-27_00:07 - Login realizado. SessionID capturado: 16749744__2E1C85D9-FC0F-4EC7-84C7-35FBC4295AC0</t>
  </si>
  <si>
    <t>2017-07-27_00:07 - Chamando mensagem de requisição</t>
  </si>
  <si>
    <t>2017-07-27_00:07 - Capturando resultado final</t>
  </si>
  <si>
    <t>2017-07-27_00:07 - Efetuando logout</t>
  </si>
  <si>
    <t>2017-07-27_00:07 - Logout realizado</t>
  </si>
  <si>
    <t>2017-07-27_00:07 - -------------Fim da exportação transações de projeto-------------</t>
  </si>
  <si>
    <t>2017-07-27_00:09 -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</si>
  <si>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2017-07-27_00:09 - Enviando requisição de login</t>
  </si>
  <si>
    <t>2017-07-27_00:09 - Login realizado. SessionID capturado: 16749799__1CBF4FBD-FCDF-4D0A-93C6-1C1F7411EFC4</t>
  </si>
  <si>
    <t>2017-07-27_00:09 - Chamando mensagem de requisição</t>
  </si>
  <si>
    <t>2017-07-27_00:09 - Capturando resultado final</t>
  </si>
  <si>
    <t>2017-07-27_00:09 - Efetuando logout</t>
  </si>
  <si>
    <t>2017-07-27_00:09 - Logout realizado</t>
  </si>
  <si>
    <t>2017-07-27_00:09 - -------------Fim da exportação transações de projeto-------------</t>
  </si>
  <si>
    <t>2017-07-27_00:09 - -------------Início da exportação transações de projeto-------------</t>
  </si>
  <si>
    <t>2017-07-27_00:09 - Arquivo xog sendo gravado em: C:\xog_sanofi\prj_projects_20170727_000955.xml</t>
  </si>
  <si>
    <t>2017-07-27_00:09 - Login realizado. SessionID capturado: 16749802__79336E3C-1D4A-4E2B-A612-7D1B7D3BD6BE</t>
  </si>
  <si>
    <t>2017-07-27_00:09 - Arquivo xog sendo gravado em: C:\xog_sanofi\prj_sf_20170727_000956.xml</t>
  </si>
  <si>
    <t>2017-07-27_00:10 -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</si>
  <si>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2017-07-27_00:10 - Enviando requisição de login</t>
  </si>
  <si>
    <t>2017-07-27_00:10 - Login realizado. SessionID capturado: 16749809__D8CAECA5-4100-4752-A4EE-2C0F0E3DE8B9</t>
  </si>
  <si>
    <t>2017-07-27_00:10 - Chamando mensagem de requisição</t>
  </si>
  <si>
    <t>2017-07-27_00:10 - Capturando resultado final</t>
  </si>
  <si>
    <t>2017-07-27_00:10 - Efetuando logout</t>
  </si>
  <si>
    <t>2017-07-27_00:10 - Logout realizado</t>
  </si>
  <si>
    <t>2017-07-27_00:10 - -------------Fim da exportação transações de projeto-------------</t>
  </si>
  <si>
    <t>2017-07-27_00:10 - -------------Início da exportação transações de projeto-------------</t>
  </si>
  <si>
    <t>2017-07-27_00:10 - Arquivo xog sendo gravado em: C:\xog_sanofi\benefitPlan_20170727_001010.xml</t>
  </si>
  <si>
    <t>2017-07-27_00:10 - Login realizado. SessionID capturado: 16749811__D7059015-5142-494F-B2BE-6D785365D337</t>
  </si>
  <si>
    <t>2017-07-27_00:10 - Arquivo xog sendo gravado em: C:\xog_sanofi\xog_costPlan_20170727_001011.xml</t>
  </si>
  <si>
    <t>2017-07-27_00:10 - Login realizado. SessionID capturado: 16749813__EAA08819-F5E4-4C9C-A4C7-3AB2F2074AE4</t>
  </si>
  <si>
    <t>2017-08-08_14:06 - Proxy identificado</t>
  </si>
  <si>
    <t>2017-08-08_14:06 - Writing Benefit Plan Class...</t>
  </si>
  <si>
    <t>2017-08-08_14:06 - Writing Benefit Plan Subclass...</t>
  </si>
  <si>
    <t>2017-08-08_14:06 - Writing Project Informations...</t>
  </si>
  <si>
    <t>2017-08-08_14:09 - Proxy identificado</t>
  </si>
  <si>
    <t>2017-08-08_14:09 - Requisição de login: &lt;soapenv:Envelope xmlns:soapenv="http://schemas.xmlsoap.org/soap/envelope/" xmlns:xog="http://www.niku.com/xog"&gt;&lt;soapenv:Header/&gt;&lt;soapenv:Body&gt;&lt;xog:Login&gt;&lt;xog:Username&gt;marcelo.lazzaris@sanofi.com&lt;/xog:Username&gt;&lt;xog:Password&gt;sanofi321&lt;/xog:Password&gt;&lt;/xog:Login&gt;&lt;/soapenv:Body&gt;&lt;/soapenv:Envelope&gt;</t>
  </si>
  <si>
    <t>2017-08-08_14:09 - Enviando requisição de login</t>
  </si>
  <si>
    <t>2017-08-08_14:09 - Login realizado. SessionID capturado: 17693370__361CFC42-7596-4FAC-9112-ABFEA6F14999</t>
  </si>
  <si>
    <t>2017-08-08_14:09 - Chamando mensagem de requisição</t>
  </si>
  <si>
    <t>2017-08-08_14:09 - Capturando resultado final</t>
  </si>
  <si>
    <t>2017-08-08_14:09 - Efetuando logout</t>
  </si>
  <si>
    <t>2017-08-08_14:09 - Logout realizado</t>
  </si>
  <si>
    <t>2017-08-08_14:09 - -------------Fim da exportação transações de projeto-------------</t>
  </si>
  <si>
    <t>2017-08-08_14:09 - -------------Início da exportação transações de projeto-------------</t>
  </si>
  <si>
    <t>2017-08-08_14:09 - Arquivo xog sendo gravado em: C:\xog_sanofi\prj_projects_20170808_140956.xml</t>
  </si>
  <si>
    <t>2017-08-08_14:09 - Login realizado. SessionID capturado: 17694374__B8B6CF8E-5546-49F2-8674-947D558ADF78</t>
  </si>
  <si>
    <t>2017-08-08_14:09 - Arquivo xog sendo gravado em: C:\xog_sanofi\prj_sf_20170808_140959.xml</t>
  </si>
  <si>
    <t>2017-08-08_14:10 - Proxy identificado</t>
  </si>
  <si>
    <t>2017-08-08_14:10 - Requisição de login: &lt;soapenv:Envelope xmlns:soapenv="http://schemas.xmlsoap.org/soap/envelope/" xmlns:xog="http://www.niku.com/xog"&gt;&lt;soapenv:Header/&gt;&lt;soapenv:Body&gt;&lt;xog:Login&gt;&lt;xog:Username&gt;marcelo.lazzaris@sanofi.com&lt;/xog:Username&gt;&lt;xog:Password&gt;sanofi321&lt;/xog:Password&gt;&lt;/xog:Login&gt;&lt;/soapenv:Body&gt;&lt;/soapenv:Envelope&gt;</t>
  </si>
  <si>
    <t>2017-08-08_14:10 - Enviando requisição de login</t>
  </si>
  <si>
    <t>2017-08-08_14:10 - Login realizado. SessionID capturado: 17693374__1F797291-B1BC-4A64-B5FC-69F0895DCC4F</t>
  </si>
  <si>
    <t>2017-08-08_14:10 - Chamando mensagem de requisição</t>
  </si>
  <si>
    <t>2017-08-08_14:10 - Capturando resultado final</t>
  </si>
  <si>
    <t>2017-08-08_14:10 - Efetuando logout</t>
  </si>
  <si>
    <t>2017-08-08_14:10 - Logout realizado</t>
  </si>
  <si>
    <t>2017-08-08_14:10 - -------------Fim da exportação transações de projeto-------------</t>
  </si>
  <si>
    <t>2017-08-08_14:10 - -------------Início da exportação transações de projeto-------------</t>
  </si>
  <si>
    <t>2017-08-08_14:10 - Arquivo xog sendo gravado em: C:\xog_sanofi\benefitPlan_20170808_141004.xml</t>
  </si>
  <si>
    <t>2017-08-08_14:10 - Login realizado. SessionID capturado: 17694378__9E64B4DA-0BE2-4597-84CD-E6E7CF24AA44</t>
  </si>
  <si>
    <t>2017-08-08_14:10 - Arquivo xog sendo gravado em: C:\xog_sanofi\xog_costPlan_20170808_141006.xml</t>
  </si>
  <si>
    <t>2017-08-08_14:17 - Proxy identificado</t>
  </si>
  <si>
    <t>2017-08-08_14:17 - Requisição de login: &lt;soapenv:Envelope xmlns:soapenv="http://schemas.xmlsoap.org/soap/envelope/" xmlns:xog="http://www.niku.com/xog"&gt;&lt;soapenv:Header/&gt;&lt;soapenv:Body&gt;&lt;xog:Login&gt;&lt;xog:Username&gt;marcelo.lazzaris@sanofi.com&lt;/xog:Username&gt;&lt;xog:Password&gt;sanofi321&lt;/xog:Password&gt;&lt;/xog:Login&gt;&lt;/soapenv:Body&gt;&lt;/soapenv:Envelope&gt;</t>
  </si>
  <si>
    <t>2017-08-08_14:17 - Enviando requisição de login</t>
  </si>
  <si>
    <t>2017-08-08_14:18 - Login realizado. SessionID capturado: 17694571__B2499641-96D2-4BD7-BB0B-7B16AF1D9E64</t>
  </si>
  <si>
    <t>2017-08-08_14:18 - Chamando mensagem de requisição</t>
  </si>
  <si>
    <t>2017-08-08_14:18 - Capturando resultado final</t>
  </si>
  <si>
    <t>2017-08-08_14:18 - Efetuando logout</t>
  </si>
  <si>
    <t>2017-08-08_14:18 - Logout realizado</t>
  </si>
  <si>
    <t>2017-08-08_14:18 - -------------Fim da exportação transações de projeto-------------</t>
  </si>
  <si>
    <t>2017-08-08_14:18 - -------------Início da exportação transações de projeto-------------</t>
  </si>
  <si>
    <t>2017-08-08_14:18 - Arquivo xog sendo gravado em: C:\xog_sanofi\prj_projects_20170808_141802.xml</t>
  </si>
  <si>
    <t>2017-08-08_14:18 - Proxy identificado</t>
  </si>
  <si>
    <t>2017-08-08_14:18 - Requisição de login: &lt;soapenv:Envelope xmlns:soapenv="http://schemas.xmlsoap.org/soap/envelope/" xmlns:xog="http://www.niku.com/xog"&gt;&lt;soapenv:Header/&gt;&lt;soapenv:Body&gt;&lt;xog:Login&gt;&lt;xog:Username&gt;marcelo.lazzaris@sanofi.com&lt;/xog:Username&gt;&lt;xog:Password&gt;sanofi321&lt;/xog:Password&gt;&lt;/xog:Login&gt;&lt;/soapenv:Body&gt;&lt;/soapenv:Envelope&gt;</t>
  </si>
  <si>
    <t>2017-08-08_14:18 - Enviando requisição de login</t>
  </si>
  <si>
    <t>2017-08-08_14:18 - Login realizado. SessionID capturado: 17693568__9F0A6B85-6F7B-4BA4-AA95-0D65EBB935B7</t>
  </si>
  <si>
    <t>2017-08-08_14:18 - Arquivo xog sendo gravado em: C:\xog_sanofi\prj_sf_20170808_141804.xml</t>
  </si>
  <si>
    <t>2017-08-08_14:18 - Login realizado. SessionID capturado: 17693571__02A33B76-8219-42F1-8BC5-F33786CB8C24</t>
  </si>
  <si>
    <t>2017-08-08_14:18 - Arquivo xog sendo gravado em: C:\xog_sanofi\benefitPlan_20170808_141808.xml</t>
  </si>
  <si>
    <t>2017-08-08_14:18 - Login realizado. SessionID capturado: 17694576__69B6E52D-FDDC-4B97-BFD0-07A698D1199A</t>
  </si>
  <si>
    <t>2017-08-08_14:18 - Arquivo xog sendo gravado em: C:\xog_sanofi\xog_costPlan_20170808_141811.xml</t>
  </si>
  <si>
    <t>2017-08-08_14:18 - Writing Benefit Plan Class...</t>
  </si>
  <si>
    <t>2017-08-08_14:18 - Writing Benefit Plan Subclass...</t>
  </si>
  <si>
    <t>2017-08-08_14:18 - Writing Project Informations...</t>
  </si>
  <si>
    <t>2017-08-08_14:19 - Proxy identificado</t>
  </si>
  <si>
    <t>2017-08-08_14:19 - Requisição de login: &lt;soapenv:Envelope xmlns:soapenv="http://schemas.xmlsoap.org/soap/envelope/" xmlns:xog="http://www.niku.com/xog"&gt;&lt;soapenv:Header/&gt;&lt;soapenv:Body&gt;&lt;xog:Login&gt;&lt;xog:Username&gt;marcelo.lazzaris@sanofi.com&lt;/xog:Username&gt;&lt;xog:Password&gt;sanofi321&lt;/xog:Password&gt;&lt;/xog:Login&gt;&lt;/soapenv:Body&gt;&lt;/soapenv:Envelope&gt;</t>
  </si>
  <si>
    <t>2017-08-08_14:19 - Enviando requisição de login</t>
  </si>
  <si>
    <t>2017-08-08_14:19 - Login realizado. SessionID capturado: 17694602__FFE6090A-AFC5-49F1-8A90-DF5584667D9E</t>
  </si>
  <si>
    <t>2017-08-08_14:19 - Chamando mensagem de requisição</t>
  </si>
  <si>
    <t>2017-08-08_14:19 - Capturando resultado final</t>
  </si>
  <si>
    <t>2017-08-08_14:19 - Efetuando logout</t>
  </si>
  <si>
    <t>2017-08-08_14:19 - Logout realizado</t>
  </si>
  <si>
    <t>2017-08-08_14:19 - -------------Fim da exportação transações de projeto-------------</t>
  </si>
  <si>
    <t>2017-08-08_14:19 - -------------Início da exportação transações de projeto-------------</t>
  </si>
  <si>
    <t>2017-08-08_14:19 - Arquivo xog sendo gravado em: C:\xog_sanofi\prj_projects_20170808_141910.xml</t>
  </si>
  <si>
    <t>2017-08-08_14:19 - Login realizado. SessionID capturado: 17694604__661E0BCC-DD6B-49A4-B6DD-95FCAD19CF47</t>
  </si>
  <si>
    <t>2017-08-08_14:19 - Arquivo xog sendo gravado em: C:\xog_sanofi\prj_sf_20170808_141912.xml</t>
  </si>
  <si>
    <t>2017-08-08_14:19 - Login realizado. SessionID capturado: 17693601__40C95156-6C45-4B77-9F5E-BC18E2CEC351</t>
  </si>
  <si>
    <t>2017-08-08_14:19 - Arquivo xog sendo gravado em: C:\xog_sanofi\benefitPlan_20170808_141917.xml</t>
  </si>
  <si>
    <t>2017-08-08_14:19 - Login realizado. SessionID capturado: 17693603__6D4D9E90-25C7-4E60-8278-1ACD739E55B7</t>
  </si>
  <si>
    <t>2017-08-08_14:19 - Arquivo xog sendo gravado em: C:\xog_sanofi\xog_costPlan_20170808_141919.xml</t>
  </si>
  <si>
    <t>2017-08-10_15:59 - Proxy identificado</t>
  </si>
  <si>
    <t>2017-08-10_15:59 - Requisição de login: &lt;soapenv:Envelope xmlns:soapenv="http://schemas.xmlsoap.org/soap/envelope/" xmlns:xog="http://www.niku.com/xog"&gt;&lt;soapenv:Header/&gt;&lt;soapenv:Body&gt;&lt;xog:Login&gt;&lt;xog:Username&gt;marcelo.lazzaris@sanofi.com&lt;/xog:Username&gt;&lt;xog:Password&gt;sanofi321&lt;/xog:Password&gt;&lt;/xog:Login&gt;&lt;/soapenv:Body&gt;&lt;/soapenv:Envelope&gt;</t>
  </si>
  <si>
    <t>2017-08-10_15:59 - Enviando requisição de login</t>
  </si>
  <si>
    <t>2017-08-10_15:59 - -------------Início da exportação transações de projeto-------------</t>
  </si>
  <si>
    <t>2017-08-10_15:59 - Arquivo xog sendo gravado em: C:\xog_sanofi\prj_projects_20170810_155929.xml</t>
  </si>
  <si>
    <t>2017-08-10_15:59 - Arquivo xog sendo gravado em: C:\xog_sanofi\prj_sf_20170810_155950.xml</t>
  </si>
  <si>
    <t>2017-08-10_16:00 - -------------Início da exportação transações de projeto-------------</t>
  </si>
  <si>
    <t>2017-08-10_16:00 - Arquivo xog sendo gravado em: C:\xog_sanofi\benefitPlan_20170810_160012.xml</t>
  </si>
  <si>
    <t>2017-08-10_16:00 - Proxy identificado</t>
  </si>
  <si>
    <t>2017-08-10_16:00 - Requisição de login: &lt;soapenv:Envelope xmlns:soapenv="http://schemas.xmlsoap.org/soap/envelope/" xmlns:xog="http://www.niku.com/xog"&gt;&lt;soapenv:Header/&gt;&lt;soapenv:Body&gt;&lt;xog:Login&gt;&lt;xog:Username&gt;marcelo.lazzaris@sanofi.com&lt;/xog:Username&gt;&lt;xog:Password&gt;sanofi321&lt;/xog:Password&gt;&lt;/xog:Login&gt;&lt;/soapenv:Body&gt;&lt;/soapenv:Envelope&gt;</t>
  </si>
  <si>
    <t>2017-08-10_16:00 - Enviando requisição de login</t>
  </si>
  <si>
    <t>2017-08-10_16:00 - Arquivo xog sendo gravado em: C:\xog_sanofi\xog_costPlan_20170810_160033.xml</t>
  </si>
  <si>
    <t>2017-08-10_16:02 - Proxy identificado</t>
  </si>
  <si>
    <t>2017-08-10_16:02 - Requisição de login: &lt;soapenv:Envelope xmlns:soapenv="http://schemas.xmlsoap.org/soap/envelope/" xmlns:xog="http://www.niku.com/xog"&gt;&lt;soapenv:Header/&gt;&lt;soapenv:Body&gt;&lt;xog:Login&gt;&lt;xog:Username&gt;marcelo.lazzaris@sanofi.com&lt;/xog:Username&gt;&lt;xog:Password&gt; &lt;/xog:Password&gt;&lt;/xog:Login&gt;&lt;/soapenv:Body&gt;&lt;/soapenv:Envelope&gt;</t>
  </si>
  <si>
    <t>2017-08-10_16:02 - Enviando requisição de login</t>
  </si>
  <si>
    <t>2017-08-10_16:02 - Login não pode ser efetuado.</t>
  </si>
  <si>
    <t>2017-08-10_16:02 - -------------Fim da exportação transações de projeto-------------</t>
  </si>
  <si>
    <t>2017-08-10_16:02 - -------------Início da exportação transações de projeto-------------</t>
  </si>
  <si>
    <t>2017-08-10_16:02 - Arquivo xog sendo gravado em: C:\xog_sanofi\prj_projects_20170810_160251.xml</t>
  </si>
  <si>
    <t>2017-08-10_16:02 - Arquivo xog sendo gravado em: C:\xog_sanofi\prj_sf_20170810_160252.xml</t>
  </si>
  <si>
    <t>2017-08-10_16:02 - Arquivo xog sendo gravado em: C:\xog_sanofi\benefitPlan_20170810_160255.xml</t>
  </si>
  <si>
    <t>2017-08-10_16:02 - Arquivo xog sendo gravado em: C:\xog_sanofi\xog_costPlan_20170810_160256.xml</t>
  </si>
  <si>
    <t>2017-08-10_16:03 - Proxy identificado</t>
  </si>
  <si>
    <t>2017-08-10_16:03 -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</si>
  <si>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2017-08-10_16:03 - Enviando requisição de login</t>
  </si>
  <si>
    <t>2017-08-10_16:03 - Login realizado. SessionID capturado: 17849856__27903976-0292-4768-AC08-2DFBB5719808</t>
  </si>
  <si>
    <t>2017-08-10_16:03 - Chamando mensagem de requisição</t>
  </si>
  <si>
    <t>2017-08-10_16:03 - Capturando resultado final</t>
  </si>
  <si>
    <t>2017-08-10_16:03 - Efetuando logout</t>
  </si>
  <si>
    <t>2017-08-10_16:03 - Logout realizado</t>
  </si>
  <si>
    <t>2017-08-10_16:03 - -------------Fim da exportação transações de projeto-------------</t>
  </si>
  <si>
    <t>2017-08-10_16:03 - -------------Início da exportação transações de projeto-------------</t>
  </si>
  <si>
    <t>2017-08-10_16:03 - Arquivo xog sendo gravado em: C:\xog_sanofi\prj_projects_20170810_160335.xml</t>
  </si>
  <si>
    <t>2017-08-10_16:03 - Login realizado. SessionID capturado: 17849859__BB9CC62F-6D40-4C4F-8007-D8280DF9A3C7</t>
  </si>
  <si>
    <t>2017-08-10_16:03 - Arquivo xog sendo gravado em: C:\xog_sanofi\prj_sf_20170810_160338.xml</t>
  </si>
  <si>
    <t>2017-08-10_16:03 - Login realizado. SessionID capturado: 17849862__1EE95C74-1FAD-45A0-BCD7-B98769DAA645</t>
  </si>
  <si>
    <t>2017-08-10_16:03 - Arquivo xog sendo gravado em: C:\xog_sanofi\benefitPlan_20170810_160343.xml</t>
  </si>
  <si>
    <t>2017-08-10_16:03 - Login realizado. SessionID capturado: 17849866__3E9BDBA5-CB87-46A2-8411-7A48D498215A</t>
  </si>
  <si>
    <t>2017-08-10_16:03 - Arquivo xog sendo gravado em: C:\xog_sanofi\xog_costPlan_20170810_160345.xml</t>
  </si>
  <si>
    <t>2018-03-27_11:25 - -------------Início da exportação transações de projeto-------------</t>
  </si>
  <si>
    <t>2018-03-27_11:25 - Arquivo xog sendo gravado em: C:\xog_sanofi\prj_projects_20180327_112507.xml</t>
  </si>
  <si>
    <t>2018-03-27_11:25 -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</si>
  <si>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2018-03-27_11:25 - Enviando requisição de login</t>
  </si>
  <si>
    <t>2018-03-27_11:25 - Login não pode ser efetuado.</t>
  </si>
  <si>
    <t>2018-03-27_11:25 - -------------Fim da exportação transações de projeto-------------</t>
  </si>
  <si>
    <t>2018-03-27_11:25 - Arquivo xog sendo gravado em: C:\xog_sanofi\prj_sf_20180327_112509.xml</t>
  </si>
  <si>
    <t>2018-03-27_11:25 - Arquivo xog sendo gravado em: C:\xog_sanofi\benefitPlan_20180327_112511.xml</t>
  </si>
  <si>
    <t>2018-03-27_11:25 - Arquivo xog sendo gravado em: C:\xog_sanofi\xog_costPlan_20180327_112512.xml</t>
  </si>
  <si>
    <t>2018-03-27_11:25 - Arquivo xog sendo gravado em: C:\xog_sanofi\prj_projects_20180327_112542.xml</t>
  </si>
  <si>
    <t>2018-03-27_11:25 -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</si>
  <si>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2018-03-27_11:25 - Login realizado. SessionID capturado: 34881039__C74B7840-9B5A-41DB-BAA6-6CF1B86C6015</t>
  </si>
  <si>
    <t>2018-03-27_11:25 - Chamando mensagem de requisição</t>
  </si>
  <si>
    <t>2018-03-27_11:25 - Capturando resultado final</t>
  </si>
  <si>
    <t>2018-03-27_11:25 - Efetuando logout</t>
  </si>
  <si>
    <t>2018-03-27_11:25 - Logout realizado</t>
  </si>
  <si>
    <t>2018-03-27_11:25 - Arquivo xog sendo gravado em: C:\xog_sanofi\prj_sf_20180327_112543.xml</t>
  </si>
  <si>
    <t>2018-03-27_11:25 - Login realizado. SessionID capturado: 34881041__66417E02-34C5-4C23-A564-1082B95AFF7A</t>
  </si>
  <si>
    <t>2018-03-27_11:25 - Arquivo xog sendo gravado em: C:\xog_sanofi\benefitPlan_20180327_112544.xml</t>
  </si>
  <si>
    <t>2018-03-27_11:25 - Arquivo xog sendo gravado em: C:\xog_sanofi\xog_costPlan_20180327_112546.xml</t>
  </si>
  <si>
    <t>2018-03-27_11:26 - -------------Início da exportação transações de projeto-------------</t>
  </si>
  <si>
    <t>2018-03-27_11:26 - Arquivo xog sendo gravado em: C:\xog_sanofi\prj_projects_20180327_112624.xml</t>
  </si>
  <si>
    <t>2018-03-27_11:26 -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</si>
  <si>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2018-03-27_11:26 - Enviando requisição de login</t>
  </si>
  <si>
    <t>2018-03-27_11:26 - Login realizado. SessionID capturado: 34882061__43941590-1C18-4E8D-A9F0-829EDDCA537D</t>
  </si>
  <si>
    <t>2018-03-27_11:26 - Chamando mensagem de requisição</t>
  </si>
  <si>
    <t>2018-03-27_11:26 - Capturando resultado final</t>
  </si>
  <si>
    <t>2018-03-27_11:26 - Efetuando logout</t>
  </si>
  <si>
    <t>2018-03-27_11:26 - Logout realizado</t>
  </si>
  <si>
    <t>2018-03-27_11:26 - -------------Fim da exportação transações de projeto-------------</t>
  </si>
  <si>
    <t>2018-03-27_11:26 - Arquivo xog sendo gravado em: C:\xog_sanofi\prj_sf_20180327_112625.xml</t>
  </si>
  <si>
    <t>2018-03-27_11:26 - Login realizado. SessionID capturado: 34882063__2BF00B1E-03BC-44E2-9144-B96F3126E697</t>
  </si>
  <si>
    <t>2018-03-27_11:26 - Arquivo xog sendo gravado em: C:\xog_sanofi\benefitPlan_20180327_112625.xml</t>
  </si>
  <si>
    <t>2018-03-27_11:26 - Arquivo xog sendo gravado em: C:\xog_sanofi\xog_costPlan_20180327_112628.xml</t>
  </si>
  <si>
    <t>2018-03-27_11:27 - -------------Início da exportação transações de projeto-------------</t>
  </si>
  <si>
    <t>2018-03-27_11:27 - Arquivo xog sendo gravado em: C:\xog_sanofi\benefitPlan_20180327_112729.xml</t>
  </si>
  <si>
    <t>2018-03-27_11:28 - -------------Início da exportação transações de projeto-------------</t>
  </si>
  <si>
    <t>2018-03-27_11:28 - Arquivo xog sendo gravado em: C:\xog_sanofi\benefitPlan_20180327_112819.xml</t>
  </si>
  <si>
    <t>2018-03-27_11:28 - Arquivo xog sendo gravado em: C:\xog_sanofi\benefitPlan_20180327_112849.xml</t>
  </si>
  <si>
    <t>2018-03-27_11:29 - -------------Início da exportação transações de projeto-------------</t>
  </si>
  <si>
    <t>2018-03-27_11:29 - Arquivo xog sendo gravado em: C:\xog_sanofi\benefitPlan_20180327_112925.xml</t>
  </si>
  <si>
    <t>2018-03-27_11:30 - -------------Início da exportação transações de projeto-------------</t>
  </si>
  <si>
    <t>2018-03-27_11:30 - Arquivo xog sendo gravado em: C:\xog_sanofi\benefitPlan_20180327_113042.xml</t>
  </si>
  <si>
    <t>2018-03-27_11:31 -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</si>
  <si>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2018-03-27_11:31 - Enviando requisição de login</t>
  </si>
  <si>
    <t>2018-03-27_11:31 - Login realizado. SessionID capturado: 34883047__1AE64DBE-DA57-4F76-9941-616D1F31A1D3</t>
  </si>
  <si>
    <t>2018-03-27_11:31 - Chamando mensagem de requisição</t>
  </si>
  <si>
    <t>2018-03-27_11:31 - Capturando resultado final</t>
  </si>
  <si>
    <t>2018-03-27_11:31 - Efetuando logout</t>
  </si>
  <si>
    <t>2018-03-27_11:31 - Logout realizado</t>
  </si>
  <si>
    <t>2018-03-27_11:31 - -------------Fim da exportação transações de projeto-------------</t>
  </si>
  <si>
    <t>2018-03-27_11:31 - -------------Início da exportação transações de projeto-------------</t>
  </si>
  <si>
    <t>2018-03-27_11:31 - Arquivo xog sendo gravado em: C:\xog_sanofi\prj_projects_20180327_113112.xml</t>
  </si>
  <si>
    <t>2018-03-27_11:31 - Login realizado. SessionID capturado: 34883048__7BE0A962-6F04-4102-91F0-AE4B735218DC</t>
  </si>
  <si>
    <t>2018-03-27_11:31 - Arquivo xog sendo gravado em: C:\xog_sanofi\prj_sf_20180327_113113.xml</t>
  </si>
  <si>
    <t>2018-03-27_11:31 - Login realizado. SessionID capturado: 34883050__A9BE0707-DAA7-4930-B590-375A8869CAC8</t>
  </si>
  <si>
    <t>2018-03-27_11:31 - Arquivo xog sendo gravado em: C:\xog_sanofi\benefitPlan_20180327_113114.xml</t>
  </si>
  <si>
    <t>2018-03-27_11:31 - Login realizado. SessionID capturado: 34883051__8483E21F-8D97-400C-94DB-0160220E5A21</t>
  </si>
  <si>
    <t>2018-03-27_11:31 - Arquivo xog sendo gravado em: C:\xog_sanofi\xog_costPlan_20180327_113114.xml</t>
  </si>
  <si>
    <t>2018-03-27_11:32 -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</si>
  <si>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2018-03-27_11:32 - Enviando requisição de login</t>
  </si>
  <si>
    <t>2018-03-27_11:32 - Login realizado. SessionID capturado: 34883072__7EE0D9D4-D89E-4DAA-96CF-449931285EE9</t>
  </si>
  <si>
    <t>2018-03-27_11:32 - Chamando mensagem de requisição</t>
  </si>
  <si>
    <t>2018-03-27_11:32 - Capturando resultado final</t>
  </si>
  <si>
    <t>2018-03-27_11:32 - Efetuando logout</t>
  </si>
  <si>
    <t>2018-03-27_11:32 - Logout realizado</t>
  </si>
  <si>
    <t>2018-03-27_11:32 - -------------Fim da exportação transações de projeto-------------</t>
  </si>
  <si>
    <t>2018-03-27_11:32 - -------------Início da exportação transações de projeto-------------</t>
  </si>
  <si>
    <t>2018-03-27_11:32 - Arquivo xog sendo gravado em: C:\xog_sanofi\prj_projects_20180327_113201.xml</t>
  </si>
  <si>
    <t>2018-03-27_11:32 - Login realizado. SessionID capturado: 34883074__9D8B665F-0870-41AA-B3A7-0139723B3DB8</t>
  </si>
  <si>
    <t>2018-03-27_11:32 - Arquivo xog sendo gravado em: C:\xog_sanofi\prj_sf_20180327_113203.xml</t>
  </si>
  <si>
    <t>2018-03-27_11:32 - Login realizado. SessionID capturado: 34883076__2CBDE85D-D2C9-4895-94D4-9A5DC2D99BA9</t>
  </si>
  <si>
    <t>2018-03-27_11:32 - Arquivo xog sendo gravado em: C:\xog_sanofi\benefitPlan_20180327_113203.xml</t>
  </si>
  <si>
    <t>2018-03-27_11:32 - Login realizado. SessionID capturado: 34883079__108F449E-78A7-4D98-829E-65DF2D6F8AD2</t>
  </si>
  <si>
    <t>2018-03-27_11:32 - Arquivo xog sendo gravado em: C:\xog_sanofi\xog_costPlan_20180327_113204.xml</t>
  </si>
  <si>
    <t>2018-03-27_11:36 - -------------Início da exportação transações de projeto-------------</t>
  </si>
  <si>
    <t>2018-03-27_11:36 - Arquivo xog sendo gravado em: C:\xog_sanofi\benefitPlan_20180327_113623.xml</t>
  </si>
  <si>
    <t>2018-03-27_11:37 -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</si>
  <si>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2018-03-27_11:37 - Enviando requisição de login</t>
  </si>
  <si>
    <t>2018-03-27_11:37 - Login realizado. SessionID capturado: 34883206__B9C9502D-7236-4A91-8B0D-E795A5ABB1CF</t>
  </si>
  <si>
    <t>2018-03-27_11:37 - Chamando mensagem de requisição</t>
  </si>
  <si>
    <t>2018-03-27_11:37 - Capturando resultado final</t>
  </si>
  <si>
    <t>2018-03-27_11:37 - Efetuando logout</t>
  </si>
  <si>
    <t>2018-03-27_11:37 - Logout realizado</t>
  </si>
  <si>
    <t>2018-03-27_11:37 - -------------Fim da exportação transações de projeto-------------</t>
  </si>
  <si>
    <t>2018-03-27_11:37 - -------------Início da exportação transações de projeto-------------</t>
  </si>
  <si>
    <t>2018-03-27_11:37 - Arquivo xog sendo gravado em: C:\xog_sanofi\prj_projects_20180327_113717.xml</t>
  </si>
  <si>
    <t>2018-03-27_11:37 - Login realizado. SessionID capturado: 34883208__589DB6B4-CA71-4EA3-BE62-FCFD01673EB0</t>
  </si>
  <si>
    <t>2018-03-27_11:37 - Arquivo xog sendo gravado em: C:\xog_sanofi\prj_sf_20180327_113718.xml</t>
  </si>
  <si>
    <t>2018-03-27_11:37 - Login realizado. SessionID capturado: 34883209__CC2ACFA0-8A9C-4D2C-980B-0D855618F876</t>
  </si>
  <si>
    <t>2018-03-27_11:37 - Arquivo xog sendo gravado em: C:\xog_sanofi\benefitPlan_20180327_113719.xml</t>
  </si>
  <si>
    <t>2018-03-27_11:37 - Login realizado. SessionID capturado: 34883211__84BA11FF-A323-4347-9825-06DB9EF487EC</t>
  </si>
  <si>
    <t>2018-03-27_11:37 - Arquivo xog sendo gravado em: C:\xog_sanofi\xog_costPlan_20180327_113720.xml</t>
  </si>
  <si>
    <t>2018-03-27_11:39 -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</si>
  <si>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2018-03-27_11:39 - Enviando requisição de login</t>
  </si>
  <si>
    <t>2018-03-27_11:39 - Login realizado. SessionID capturado: 34883262__FC39DB3C-9C19-4039-A5DC-CEF05F979CF8</t>
  </si>
  <si>
    <t>2018-03-27_11:39 - Chamando mensagem de requisição</t>
  </si>
  <si>
    <t>2018-03-27_11:39 - Capturando resultado final</t>
  </si>
  <si>
    <t>2018-03-27_11:39 - Efetuando logout</t>
  </si>
  <si>
    <t>2018-03-27_11:39 - Logout realizado</t>
  </si>
  <si>
    <t>2018-03-27_11:39 - -------------Fim da exportação transações de projeto-------------</t>
  </si>
  <si>
    <t>2018-03-27_11:39 - -------------Início da exportação transações de projeto-------------</t>
  </si>
  <si>
    <t>2018-03-27_11:39 - Arquivo xog sendo gravado em: C:\xog_sanofi\prj_projects_20180327_113922.xml</t>
  </si>
  <si>
    <t>2018-03-27_11:39 - Login realizado. SessionID capturado: 34883263__E83769DB-DEFE-4C93-9A1B-94F1A77CB1D7</t>
  </si>
  <si>
    <t>2018-03-27_11:39 - Arquivo xog sendo gravado em: C:\xog_sanofi\prj_sf_20180327_113922.xml</t>
  </si>
  <si>
    <t>2018-03-27_11:39 - Login realizado. SessionID capturado: 34883265__31701039-351E-4A28-B69B-F5E6FC371CAA</t>
  </si>
  <si>
    <t>2018-03-27_11:39 - Arquivo xog sendo gravado em: C:\xog_sanofi\benefitPlan_20180327_113923.xml</t>
  </si>
  <si>
    <t>2018-03-27_11:39 - Login realizado. SessionID capturado: 34883266__B82FC81B-236D-4250-889E-460194ACEE8D</t>
  </si>
  <si>
    <t>2018-03-27_11:39 - Arquivo xog sendo gravado em: C:\xog_sanofi\xog_costPlan_20180327_113925.xml</t>
  </si>
  <si>
    <t>2018-03-27_11:46 - -------------Início da exportação transações de projeto-------------</t>
  </si>
  <si>
    <t>2018-03-27_11:46 - Arquivo xog sendo gravado em: C:\xog_sanofi\benefitPlan_20180327_114646.xml</t>
  </si>
  <si>
    <t>2018-03-27_11:48 -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</si>
  <si>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2018-03-27_11:48 - Enviando requisição de login</t>
  </si>
  <si>
    <t>2018-03-27_11:48 - Login realizado. SessionID capturado: 34882601__4F86EE1D-FCC4-4621-ABDD-2D1647E2B69B</t>
  </si>
  <si>
    <t>2018-03-27_11:48 - Chamando mensagem de requisição</t>
  </si>
  <si>
    <t>2018-03-27_11:48 - Capturando resultado final</t>
  </si>
  <si>
    <t>2018-03-27_11:48 - Efetuando logout</t>
  </si>
  <si>
    <t>2018-03-27_11:48 - Logout realizado</t>
  </si>
  <si>
    <t>2018-03-27_11:48 - -------------Fim da exportação transações de projeto-------------</t>
  </si>
  <si>
    <t>2018-03-27_11:48 - -------------Início da exportação transações de projeto-------------</t>
  </si>
  <si>
    <t>2018-03-27_11:48 - Arquivo xog sendo gravado em: C:\xog_sanofi\prj_projects_20180327_114814.xml</t>
  </si>
  <si>
    <t>2018-03-27_11:48 - Login realizado. SessionID capturado: 34882602__DD4B2693-A88F-461B-BAA1-EEDEC3849B9C</t>
  </si>
  <si>
    <t>2018-03-27_11:48 - Arquivo xog sendo gravado em: C:\xog_sanofi\prj_sf_20180327_114814.xml</t>
  </si>
  <si>
    <t>2018-03-27_11:48 - Login realizado. SessionID capturado: 34882604__9B285214-28F7-4C6B-950F-1443E78231B5</t>
  </si>
  <si>
    <t>2018-03-27_11:48 - Arquivo xog sendo gravado em: C:\xog_sanofi\benefitPlan_20180327_114815.xml</t>
  </si>
  <si>
    <t>2018-03-27_11:48 - Login realizado. SessionID capturado: 34882605__4649F35B-8356-4F15-99BC-090F1AC42295</t>
  </si>
  <si>
    <t>2018-03-27_11:48 - Arquivo xog sendo gravado em: C:\xog_sanofi\xog_costPlan_20180327_114816.xml</t>
  </si>
  <si>
    <t>2018-03-27_11:49 - -------------Início da exportação transações de projeto-------------</t>
  </si>
  <si>
    <t>2018-03-27_11:49 - Arquivo xog sendo gravado em: C:\xog_sanofi\benefitPlan_20180327_114925.xml</t>
  </si>
  <si>
    <t>2018-03-27_11:49 - Arquivo xog sendo gravado em: C:\xog_sanofi\benefitPlan_20180327_114949.xml</t>
  </si>
  <si>
    <t>2018-03-27_11:50 -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</si>
  <si>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2018-03-27_11:50 - Enviando requisição de login</t>
  </si>
  <si>
    <t>2018-03-27_11:50 - Login realizado. SessionID capturado: 34883550__9DF2ACEC-C89F-47EE-94FA-14E05A33AD58</t>
  </si>
  <si>
    <t>2018-03-27_11:50 - Chamando mensagem de requisição</t>
  </si>
  <si>
    <t>2018-03-27_11:50 - Capturando resultado final</t>
  </si>
  <si>
    <t>2018-03-27_11:50 - Efetuando logout</t>
  </si>
  <si>
    <t>2018-03-27_11:50 - Logout realizado</t>
  </si>
  <si>
    <t>2018-03-27_11:50 - -------------Fim da exportação transações de projeto-------------</t>
  </si>
  <si>
    <t>2018-03-27_11:50 - -------------Início da exportação transações de projeto-------------</t>
  </si>
  <si>
    <t>2018-03-27_11:50 - Arquivo xog sendo gravado em: C:\xog_sanofi\prj_projects_20180327_115058.xml</t>
  </si>
  <si>
    <t>2018-03-27_11:50 - Login realizado. SessionID capturado: 34883552__6EFF3930-ACE4-4051-ABCB-7A00BD1619E7</t>
  </si>
  <si>
    <t>2018-03-27_11:50 - Arquivo xog sendo gravado em: C:\xog_sanofi\prj_sf_20180327_115058.xml</t>
  </si>
  <si>
    <t>2018-03-27_11:50 - Login realizado. SessionID capturado: 34883553__E4107F22-F574-461C-B745-AD75D60198BA</t>
  </si>
  <si>
    <t>2018-03-27_11:50 - Arquivo xog sendo gravado em: C:\xog_sanofi\benefitPlan_20180327_115059.xml</t>
  </si>
  <si>
    <t>2018-03-27_11:51 - Login realizado. SessionID capturado: 34883555__17E88CFB-16BF-44E8-AFD5-8D172CB12802</t>
  </si>
  <si>
    <t>2018-03-27_11:51 - Chamando mensagem de requisição</t>
  </si>
  <si>
    <t>2018-03-27_11:51 - Capturando resultado final</t>
  </si>
  <si>
    <t>2018-03-27_11:51 - Efetuando logout</t>
  </si>
  <si>
    <t>2018-03-27_11:51 - Logout realizado</t>
  </si>
  <si>
    <t>2018-03-27_11:51 - -------------Fim da exportação transações de projeto-------------</t>
  </si>
  <si>
    <t>2018-03-27_11:51 - -------------Início da exportação transações de projeto-------------</t>
  </si>
  <si>
    <t>2018-03-27_11:51 - Arquivo xog sendo gravado em: C:\xog_sanofi\xog_costPlan_20180327_115100.xml</t>
  </si>
  <si>
    <t>2018-03-27_11:51 - Arquivo xog sendo gravado em: C:\xog_sanofi\benefitPlan_20180327_115158.xml</t>
  </si>
  <si>
    <t>2018-03-27_11:52 - -------------Início da exportação transações de projeto-------------</t>
  </si>
  <si>
    <t>2018-03-27_11:53 - -------------Início da exportação transações de projeto-------------</t>
  </si>
  <si>
    <t>2018-03-27_11:53 - Arquivo xog sendo gravado em: C:\xog_sanofi\benefitPlan_20180327_115350.xml</t>
  </si>
  <si>
    <t>2018-03-27_11:54 -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</si>
  <si>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2018-03-27_11:54 - Enviando requisição de login</t>
  </si>
  <si>
    <t>2018-03-27_11:54 - Login realizado. SessionID capturado: 34882759__B5E511A6-19E7-4164-AEEF-FE28C80D0A13</t>
  </si>
  <si>
    <t>2018-03-27_11:54 - Chamando mensagem de requisição</t>
  </si>
  <si>
    <t>2018-03-27_11:54 - Capturando resultado final</t>
  </si>
  <si>
    <t>2018-03-27_11:54 - Efetuando logout</t>
  </si>
  <si>
    <t>2018-03-27_11:54 - Logout realizado</t>
  </si>
  <si>
    <t>2018-03-27_11:54 - -------------Fim da exportação transações de projeto-------------</t>
  </si>
  <si>
    <t>2018-03-27_11:54 - -------------Início da exportação transações de projeto-------------</t>
  </si>
  <si>
    <t>2018-03-27_11:54 - Arquivo xog sendo gravado em: C:\xog_sanofi\benefitPlan_20180327_115446.xml</t>
  </si>
  <si>
    <t>2018-03-27_11:55 -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</si>
  <si>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2018-03-27_11:55 - Enviando requisição de login</t>
  </si>
  <si>
    <t>2018-03-27_11:55 - Login realizado. SessionID capturado: 34882782__C9241A9B-C447-4CE1-B1DC-AAB7826A5894</t>
  </si>
  <si>
    <t>2018-03-27_11:55 - Chamando mensagem de requisição</t>
  </si>
  <si>
    <t>2018-03-27_11:55 - Capturando resultado final</t>
  </si>
  <si>
    <t>2018-03-27_11:55 - Efetuando logout</t>
  </si>
  <si>
    <t>2018-03-27_11:55 - Logout realizado</t>
  </si>
  <si>
    <t>2018-03-27_11:55 - -------------Fim da exportação transações de projeto-------------</t>
  </si>
  <si>
    <t>2018-03-27_11:55 - -------------Início da exportação transações de projeto-------------</t>
  </si>
  <si>
    <t>2018-03-27_11:55 - Arquivo xog sendo gravado em: C:\xog_sanofi\prj_projects_20180327_115522.xml</t>
  </si>
  <si>
    <t>2018-03-27_11:55 - Login realizado. SessionID capturado: 34882783__8A4B4C63-A5FD-43C3-8543-A88E9B873301</t>
  </si>
  <si>
    <t>2018-03-27_11:55 - Arquivo xog sendo gravado em: C:\xog_sanofi\prj_sf_20180327_115522.xml</t>
  </si>
  <si>
    <t>2018-03-27_11:55 - Login realizado. SessionID capturado: 34882785__DCADC6D3-59F4-4DA2-AE13-568A4B14ECFB</t>
  </si>
  <si>
    <t>2018-03-27_11:55 - Arquivo xog sendo gravado em: C:\xog_sanofi\benefitPlan_20180327_115523.xml</t>
  </si>
  <si>
    <t>2018-03-27_11:55 - Login realizado. SessionID capturado: 34882789__1D03BCB2-2B5D-49B8-8C18-37F5C74A038B</t>
  </si>
  <si>
    <t>2018-03-27_11:55 - Arquivo xog sendo gravado em: C:\xog_sanofi\xog_costPlan_20180327_115528.xml</t>
  </si>
  <si>
    <t>2018-03-27_11:57 -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</si>
  <si>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2018-03-27_11:57 - Enviando requisição de login</t>
  </si>
  <si>
    <t>2018-03-27_11:57 - Login realizado. SessionID capturado: 34882831__5042479E-87AD-41FD-9494-B1755E83EFE8</t>
  </si>
  <si>
    <t>2018-03-27_11:57 - Chamando mensagem de requisição</t>
  </si>
  <si>
    <t>2018-03-27_11:57 - Capturando resultado final</t>
  </si>
  <si>
    <t>2018-03-27_11:57 - Efetuando logout</t>
  </si>
  <si>
    <t>2018-03-27_11:57 - Logout realizado</t>
  </si>
  <si>
    <t>2018-03-27_11:57 - -------------Fim da exportação transações de projeto-------------</t>
  </si>
  <si>
    <t>2018-03-27_11:57 - -------------Início da exportação transações de projeto-------------</t>
  </si>
  <si>
    <t>2018-03-27_11:57 - Arquivo xog sendo gravado em: C:\xog_sanofi\prj_projects_20180327_115712.xml</t>
  </si>
  <si>
    <t>2018-03-27_11:57 - Login realizado. SessionID capturado: 34882833__608AEB6D-7A11-4FC7-A659-79DCB1C904ED</t>
  </si>
  <si>
    <t>2018-03-27_11:57 - Arquivo xog sendo gravado em: C:\xog_sanofi\prj_sf_20180327_115713.xml</t>
  </si>
  <si>
    <t>2018-03-27_11:57 - Login realizado. SessionID capturado: 34882834__2225571A-179A-456D-95EE-B6B19FBBC9FC</t>
  </si>
  <si>
    <t>2018-03-27_11:57 - Arquivo xog sendo gravado em: C:\xog_sanofi\benefitPlan_20180327_115714.xml</t>
  </si>
  <si>
    <t>2018-03-27_11:57 - Login realizado. SessionID capturado: 34882837__470FA066-E094-4A40-9FAD-D890DA104641</t>
  </si>
  <si>
    <t>2018-03-27_11:57 - Arquivo xog sendo gravado em: C:\xog_sanofi\xog_costPlan_20180327_115715.xml</t>
  </si>
  <si>
    <t>2018-08-06_14:22 - Proxy identificado</t>
  </si>
  <si>
    <t>2018-08-06_14:23 - Proxy identificado</t>
  </si>
  <si>
    <t>2018-08-06_14:24 - Proxy identificado</t>
  </si>
  <si>
    <t>2018-08-06_14:25 - Writing Benefit Plan Class...</t>
  </si>
  <si>
    <t>2018-08-06_14:25 - Writing Benefit Plan Subclass...</t>
  </si>
  <si>
    <t>2018-08-06_14:25 - Writing Project Informations...</t>
  </si>
  <si>
    <t>2018-08-06_14:32 - Writing Benefit Plan Class...</t>
  </si>
  <si>
    <t>2018-08-06_14:32 - Writing Benefit Plan Subclass...</t>
  </si>
  <si>
    <t>2018-08-06_14:32 - Writing Project Informations...</t>
  </si>
  <si>
    <t>2018-08-06_16:21 - -------------Início da exportação transações de projeto-------------</t>
  </si>
  <si>
    <t>2018-08-06_16:21 - Arquivo xog sendo gravado em: C:\xog_sanofi\prj_projects_20180806_162144.xml</t>
  </si>
  <si>
    <t>2018-08-06_16:23 - -------------Início da exportação transações de projeto-------------</t>
  </si>
  <si>
    <t>2018-08-06_16:23 - Arquivo xog sendo gravado em: C:\xog_sanofi\prj_projects_20180806_162347.xml</t>
  </si>
  <si>
    <t>2018-08-06_16:25 - -------------Início da exportação transações de projeto-------------</t>
  </si>
  <si>
    <t>2018-08-06_16:25 - Arquivo xog sendo gravado em: C:\xog_sanofi\prj_projects_20180806_162539.xml</t>
  </si>
  <si>
    <t>2018-08-06_16:26 - -------------Início da exportação transações de projeto-------------</t>
  </si>
  <si>
    <t>2018-08-06_16:26 - Arquivo xog sendo gravado em: C:\xog_sanofi\prj_projects_20180806_162607.xml</t>
  </si>
  <si>
    <t>2018-08-06_16:31 - -------------Início da exportação transações de projeto-------------</t>
  </si>
  <si>
    <t>2018-08-06_16:31 - Arquivo xog sendo gravado em: C:\xog_sanofi\prj_projects_20180806_163102.xml</t>
  </si>
  <si>
    <t>2018-08-06_16:34 - -------------Início da exportação transações de projeto-------------</t>
  </si>
  <si>
    <t>2018-08-06_16:34 - Arquivo xog sendo gravado em: C:\xog_sanofi\prj_projects_20180806_163408.xml</t>
  </si>
  <si>
    <t>2018-08-06_16:37 - -------------Início da exportação transações de projeto-------------</t>
  </si>
  <si>
    <t>2018-08-06_16:37 - Arquivo xog sendo gravado em: C:\xog_sanofi\prj_projects_20180806_163705.xml</t>
  </si>
  <si>
    <t>2018-08-06_16:37 - Arquivo xog sendo gravado em: C:\xog_sanofi\prj_projects_20180806_163745.xml</t>
  </si>
  <si>
    <t>2018-08-06_16:37 - -------------Fim da exportação transações de projeto-------------</t>
  </si>
  <si>
    <t>2018-08-06_16:38 - -------------Início da exportação transações de projeto-------------</t>
  </si>
  <si>
    <t>2018-08-06_16:38 - Arquivo xog sendo gravado em: C:\xog_sanofi\prj_projects_20180806_163811.xml</t>
  </si>
  <si>
    <t>2018-08-06_16:38 -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</si>
  <si>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2018-08-06_16:38 - Enviando requisição de login</t>
  </si>
  <si>
    <t>2018-08-06_16:38 - Login realizado. SessionID capturado: 45275797__03C1EFA0-5637-417C-B80F-C962D607AFED</t>
  </si>
  <si>
    <t>2018-08-06_16:38 - Chamando mensagem de requisição</t>
  </si>
  <si>
    <t>2018-08-06_16:38 - Capturando resultado final</t>
  </si>
  <si>
    <t>2018-08-06_16:38 - Efetuando logout</t>
  </si>
  <si>
    <t>2018-08-06_16:38 - Logout realizado</t>
  </si>
  <si>
    <t>2018-08-06_16:38 - -------------Fim da exportação transações de projeto-------------</t>
  </si>
  <si>
    <t>2018-08-06_16:44 -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</si>
  <si>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2018-08-06_16:44 - Enviando requisição de login</t>
  </si>
  <si>
    <t>2018-08-06_16:44 - Login realizado. SessionID capturado: 45275962__3134E3BA-CEAF-4212-939F-06C69BA183E1</t>
  </si>
  <si>
    <t>2018-08-06_16:44 - Chamando mensagem de requisição</t>
  </si>
  <si>
    <t>2018-08-06_16:45 - Capturando resultado final</t>
  </si>
  <si>
    <t>2018-08-06_16:45 - Efetuando logout</t>
  </si>
  <si>
    <t>2018-08-06_16:45 - Logout realizado</t>
  </si>
  <si>
    <t>2018-08-06_16:49 -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</si>
  <si>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2018-08-06_16:49 - Enviando requisição de login</t>
  </si>
  <si>
    <t>2018-08-06_16:49 - Login realizado. SessionID capturado: 45276077__FDD48519-B74A-49A9-9C9F-AD654CF1F110</t>
  </si>
  <si>
    <t>2018-08-06_16:49 - Chamando mensagem de requisição</t>
  </si>
  <si>
    <t>2018-08-06_16:49 - Capturando resultado final</t>
  </si>
  <si>
    <t>2018-08-06_16:49 - Efetuando logout</t>
  </si>
  <si>
    <t>2018-08-06_16:49 - Logout realizado</t>
  </si>
  <si>
    <t>2018-08-06_16:51 -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</si>
  <si>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2018-08-06_16:51 - Enviando requisição de login</t>
  </si>
  <si>
    <t>2018-08-06_16:51 - Login realizado. SessionID capturado: 45276124__54EB9964-123B-48E9-A7A3-12721E0E3709</t>
  </si>
  <si>
    <t>2018-08-06_16:51 - Chamando mensagem de requisição</t>
  </si>
  <si>
    <t>2018-08-06_16:51 - Capturando resultado final</t>
  </si>
  <si>
    <t>2018-08-06_16:51 - Efetuando logout</t>
  </si>
  <si>
    <t>2018-08-06_16:51 - Logout realizado</t>
  </si>
  <si>
    <t>Yes</t>
  </si>
  <si>
    <t>2018-08-10_16:00 - Proxy identificado</t>
  </si>
  <si>
    <t>2018-08-10_16:00 - Writing Benefit Plan Class...</t>
  </si>
  <si>
    <t>2018-08-10_16:00 - Writing Benefit Plan Subclass...</t>
  </si>
  <si>
    <t>2018-08-10_16:00 - Writing Project Informations...</t>
  </si>
  <si>
    <t xml:space="preserve">&lt;soapenv:Envelope xmlns:soapenv="http://schemas.xmlsoap.org/soap/envelope/" xmlns:xsi="http://www.w3.org/2001/XMLSchema-instance"&gt;
  &lt;soapenv:Header/&gt;
  &lt;soapenv:Body&gt;
    &lt;QueryResult xmlns="http://www.niku.com/xog/Query"&gt;
      &lt;Code&gt;dtt_qry_prj_info&lt;/Code&gt;
      &lt;Records&gt;
        &lt;Record&gt;
          &lt;inv_code_prj&gt;BR17001&lt;/inv_code_prj&gt;
          &lt;inv_name_prj&gt;Cabergoline_BUY&lt;/inv_name_prj&gt;
        &lt;/Record&gt;
        &lt;Record&gt;
          &lt;inv_code_prj&gt;BR17002&lt;/inv_code_prj&gt;
          &lt;inv_name_prj&gt;Fluxocor Anlo&lt;/inv_name_prj&gt;
        &lt;/Record&gt;
        &lt;Record&gt;
          &lt;inv_code_prj&gt;BR17003&lt;/inv_code_prj&gt;
          &lt;inv_name_prj&gt;Bisoprolol_BGx&lt;/inv_name_prj&gt;
        &lt;/Record&gt;
        &lt;Record&gt;
          &lt;inv_code_prj&gt;BR17005&lt;/inv_code_prj&gt;
          &lt;inv_name_prj&gt;Tical_med&lt;/inv_name_prj&gt;
        &lt;/Record&gt;
        &lt;Record&gt;
          &lt;inv_code_prj&gt;BR17006&lt;/inv_code_prj&gt;
          &lt;inv_name_prj&gt;Tical&lt;/inv_name_prj&gt;
        &lt;/Record&gt;
        &lt;Record&gt;
          &lt;inv_code_prj&gt;BR17007&lt;/inv_code_prj&gt;
          &lt;inv_name_prj&gt;Dopez - BGX&lt;/inv_name_prj&gt;
        &lt;/Record&gt;
        &lt;Record&gt;
          &lt;inv_code_prj&gt;BR17009&lt;/inv_code_prj&gt;
          &lt;inv_name_prj&gt;Prome*&lt;/inv_name_prj&gt;
        &lt;/Record&gt;
        &lt;Record&gt;
          &lt;inv_code_prj&gt;BR17010&lt;/inv_code_prj&gt;
          &lt;inv_name_prj&gt;Meman_INN&lt;/inv_name_prj&gt;
        &lt;/Record&gt;
        &lt;Record&gt;
          &lt;inv_code_prj&gt;BR17012&lt;/inv_code_prj&gt;
          &lt;inv_name_prj&gt;Levofloxacin&lt;/inv_name_prj&gt;
        &lt;/Record&gt;
        &lt;Record&gt;
          &lt;inv_code_prj&gt;BR17013&lt;/inv_code_prj&gt;
          &lt;inv_name_prj&gt;LinagMet_Med&lt;/inv_name_prj&gt;
        &lt;/Record&gt;
        &lt;Record&gt;
          &lt;inv_code_prj&gt;BR17014&lt;/inv_code_prj&gt;
          &lt;inv_name_prj&gt;LinagMet&lt;/inv_name_prj&gt;
        &lt;/Record&gt;
        &lt;Record&gt;
          &lt;inv_code_prj&gt;BR17015&lt;/inv_code_prj&gt;
          &lt;inv_name_prj&gt;Linag_Med&lt;/inv_name_prj&gt;
        &lt;/Record&gt;
        &lt;Record&gt;
          &lt;inv_code_prj&gt;BR17016&lt;/inv_code_prj&gt;
          &lt;inv_name_prj&gt;Linag&lt;/inv_name_prj&gt;
        &lt;/Record&gt;
        &lt;Record&gt;
          &lt;inv_code_prj&gt;BR17017&lt;/inv_code_prj&gt;
          &lt;inv_name_prj&gt;Zenon_bilayer&lt;/inv_name_prj&gt;
        &lt;/Record&gt;
        &lt;Record&gt;
          &lt;inv_code_prj&gt;BR17018&lt;/inv_code_prj&gt;
          &lt;inv_name_prj&gt;SitagMet&lt;/inv_name_prj&gt;
        &lt;/Record&gt;
        &lt;Record&gt;
          &lt;inv_code_prj&gt;BR17019&lt;/inv_code_prj&gt;
          &lt;inv_name_prj&gt;Sitag&lt;/inv_name_prj&gt;
        &lt;/Record&gt;
        &lt;Record&gt;
          &lt;inv_code_prj&gt;BR17020&lt;/inv_code_prj&gt;
          &lt;inv_name_prj&gt;Vilda_BGX&lt;/inv_name_prj&gt;
        &lt;/Record&gt;
        &lt;Record&gt;
          &lt;inv_code_prj&gt;BR17021&lt;/inv_code_prj&gt;
          &lt;inv_name_prj&gt;Vilda_INN&lt;/inv_name_prj&gt;
        &lt;/Record&gt;
        &lt;Record&gt;
          &lt;inv_code_prj&gt;BR17022&lt;/inv_code_prj&gt;
          &lt;inv_name_prj&gt;VildaMet_BGX&lt;/inv_name_prj&gt;
        &lt;/Record&gt;
        &lt;Record&gt;
          &lt;inv_code_prj&gt;BR17023&lt;/inv_code_prj&gt;
          &lt;inv_name_prj&gt;VildaMet_INN (BGX @BR17022)&lt;/inv_name_prj&gt;
        &lt;/Record&gt;
        &lt;Record&gt;
          &lt;inv_code_prj&gt;BR17024&lt;/inv_code_prj&gt;
          &lt;inv_name_prj&gt;Zenon_Mono&lt;/inv_name_prj&gt;
        &lt;/Record&gt;
        &lt;Record&gt;
          &lt;inv_code_prj&gt;BR17025&lt;/inv_code_prj&gt;
          &lt;inv_name_prj&gt;Chlormadinone +EE (Belarina)_BUY_BGX - new assignmento to project BR17225&lt;/inv_name_prj&gt;
        &lt;/Record&gt;
        &lt;Record&gt;
          &lt;inv_code_prj&gt;BR17026&lt;/inv_code_prj&gt;
          &lt;inv_name_prj&gt;DopezMem - BGX&lt;/inv_name_prj&gt;
        &lt;/Record&gt;
        &lt;Record&gt;
          &lt;inv_code_prj&gt;BR17027&lt;/inv_code_prj&gt;
          &lt;inv_name_prj&gt;RosuvAsa&lt;/inv_name_prj&gt;
        &lt;/Record&gt;
        &lt;Record&gt;
          &lt;inv_code_prj&gt;BR17028&lt;/inv_code_prj&gt;
          &lt;inv_name_prj&gt;IlapraMed*&lt;/inv_name_prj&gt;
        &lt;/Record&gt;
        &lt;Record&gt;
          &lt;inv_code_prj&gt;BR17029&lt;/inv_code_prj&gt;
          &lt;inv_name_prj&gt;Proleptol 50mg&lt;/inv_name_prj&gt;
        &lt;/Record&gt;
        &lt;Record&gt;
          &lt;inv_code_prj&gt;BR17031&lt;/inv_code_prj&gt;
          &lt;inv_name_prj&gt;Lercanidipine + Enalapril_BUY_BGX&lt;/inv_name_prj&gt;
        &lt;/Record&gt;
        &lt;Record&gt;
          &lt;inv_code_prj&gt;BR17035&lt;/inv_code_prj&gt;
          &lt;inv_name_prj&gt;Aciclovir (Merck)&lt;/inv_name_prj&gt;
        &lt;/Record&gt;
        &lt;Record&gt;
          &lt;inv_code_prj&gt;BR17036&lt;/inv_code_prj&gt;
          &lt;inv_name_prj&gt;Doxasozin (Merck)&lt;/inv_name_prj&gt;
        &lt;/Record&gt;
        &lt;Record&gt;
          &lt;inv_code_prj&gt;BR17037&lt;/inv_code_prj&gt;
          &lt;inv_name_prj&gt;Risperidone_BD&lt;/inv_name_prj&gt;
        &lt;/Record&gt;
        &lt;Record&gt;
          &lt;inv_code_prj&gt;BR17038&lt;/inv_code_prj&gt;
          &lt;inv_name_prj&gt;DutasTamXR&lt;/inv_name_prj&gt;
        &lt;/Record&gt;
        &lt;Record&gt;
          &lt;inv_code_prj&gt;BR17039&lt;/inv_code_prj&gt;
          &lt;inv_name_prj&gt;Desven_INN&lt;/inv_name_prj&gt;
        &lt;/Record&gt;
        &lt;Record&gt;
          &lt;inv_code_prj&gt;BR17040&lt;/inv_code_prj&gt;
          &lt;inv_name_prj&gt;Zodel&lt;/inv_name_prj&gt;
        &lt;/Record&gt;
        &lt;Record&gt;
          &lt;inv_code_prj&gt;BR17041&lt;/inv_code_prj&gt;
          &lt;inv_name_prj&gt;DuloxMed&lt;/inv_name_prj&gt;
        &lt;/Record&gt;
        &lt;Record&gt;
          &lt;inv_code_prj&gt;BR17042&lt;/inv_code_prj&gt;
          &lt;inv_name_prj&gt;Profenid Relax XR&lt;/inv_name_prj&gt;
        &lt;/Record&gt;
        &lt;Record&gt;
          &lt;inv_code_prj&gt;BR17044&lt;/inv_code_prj&gt;
          &lt;inv_name_prj&gt;Puran gts&lt;/inv_name_prj&gt;
        &lt;/Record&gt;
        &lt;Record&gt;
          &lt;inv_code_prj&gt;BR17047&lt;/inv_code_prj&gt;
          &lt;inv_name_prj&gt;ProfenidVitB&lt;/inv_name_prj&gt;
        &lt;/Record&gt;
        &lt;Record&gt;
          &lt;inv_code_prj&gt;BR17049&lt;/inv_code_prj&gt;
          &lt;inv_name_prj&gt;Puran +pills&lt;/inv_name_prj&gt;
        &lt;/Record&gt;
        &lt;Record&gt;
          &lt;inv_code_prj&gt;BR17050&lt;/inv_code_prj&gt;
          &lt;inv_name_prj&gt;Soliqua&lt;/inv_name_prj&gt;
        &lt;/Record&gt;
        &lt;Record&gt;
          &lt;inv_code_prj&gt;BR17051&lt;/inv_code_prj&gt;
          &lt;inv_name_prj&gt;Junior Star&lt;/inv_name_prj&gt;
        &lt;/Record&gt;
        &lt;Record&gt;
          &lt;inv_code_prj&gt;BR17052&lt;/inv_code_prj&gt;
          &lt;inv_name_prj&gt;Admelog&lt;/inv_name_prj&gt;
        &lt;/Record&gt;
        &lt;Record&gt;
          &lt;inv_code_prj&gt;BR17053&lt;/inv_code_prj&gt;
          &lt;inv_name_prj&gt;Dupixent&lt;/inv_name_prj&gt;
        &lt;/Record&gt;
        &lt;Record&gt;
          &lt;inv_code_prj&gt;BR17054&lt;/inv_code_prj&gt;
          &lt;inv_name_prj&gt;AlendAcid&lt;/inv_name_prj&gt;
        &lt;/Record&gt;
        &lt;Record&gt;
          &lt;inv_code_prj&gt;BR17057&lt;/inv_code_prj&gt;
          &lt;inv_name_prj&gt;BuproMed&lt;/inv_name_prj&gt;
        &lt;/Record&gt;
        &lt;Record&gt;
          &lt;inv_code_prj&gt;BR17058&lt;/inv_code_prj&gt;
          &lt;inv_name_prj&gt;Bupro_INN&lt;/inv_name_prj&gt;
        &lt;/Record&gt;
        &lt;Record&gt;
          &lt;inv_code_prj&gt;BR17059&lt;/inv_code_prj&gt;
          &lt;inv_name_prj&gt;Carme&lt;/inv_name_prj&gt;
        &lt;/Record&gt;
        &lt;Record&gt;
          &lt;inv_code_prj&gt;BR17060&lt;/inv_code_prj&gt;
          &lt;inv_name_prj&gt;Eficentus15&lt;/inv_name_prj&gt;
        &lt;/Record&gt;
        &lt;Record&gt;
          &lt;inv_code_prj&gt;BR17061&lt;/inv_code_prj&gt;
          &lt;inv_name_prj&gt;Escit15&lt;/inv_name_prj&gt;
        &lt;/Record&gt;
        &lt;Record&gt;
          &lt;inv_code_prj&gt;BR17063&lt;/inv_code_prj&gt;
          &lt;inv_name_prj&gt;Levof*&lt;/inv_name_prj&gt;
        &lt;/Record&gt;
        &lt;Record&gt;
          &lt;inv_code_prj&gt;BR17064&lt;/inv_code_prj&gt;
          &lt;inv_name_prj&gt;Methyl_IR&lt;/inv_name_prj&gt;
        &lt;/Record&gt;
        &lt;Record&gt;
          &lt;inv_code_prj&gt;BR17069&lt;/inv_code_prj&gt;
          &lt;inv_name_prj&gt;Nitaz&lt;/inv_name_prj&gt;
        &lt;/Record&gt;
        &lt;Record&gt;
          &lt;inv_code_prj&gt;BR17070&lt;/inv_code_prj&gt;
          &lt;inv_name_prj&gt;Ondas_BGX*&lt;/inv_name_prj&gt;
        &lt;/Record&gt;
        &lt;Record&gt;
          &lt;inv_code_prj&gt;BR17071&lt;/inv_code_prj&gt;
          &lt;inv_name_prj&gt;Orlistat 120mg&lt;/inv_name_prj&gt;
        &lt;/Record&gt;
        &lt;Record&gt;
          &lt;inv_code_prj&gt;BR17072&lt;/inv_code_prj&gt;
          &lt;inv_name_prj&gt;RasagMed*&lt;/inv_name_prj&gt;
        &lt;/Record&gt;
        &lt;Record&gt;
          &lt;inv_code_prj&gt;BR17073&lt;/inv_code_prj&gt;
          &lt;inv_name_prj&gt;RispeTabs&lt;/inv_name_prj&gt;
        &lt;/Record&gt;
        &lt;Record&gt;
          &lt;inv_code_prj&gt;BR17075&lt;/inv_code_prj&gt;
          &lt;inv_name_prj&gt;Rivas4,6, 9,5 &amp;amp;13,3_BGx&lt;/inv_name_prj&gt;
        &lt;/Record&gt;
        &lt;Record&gt;
          &lt;inv_code_prj&gt;BR17076&lt;/inv_code_prj&gt;
          &lt;inv_name_prj&gt;RotigMed*&lt;/inv_name_prj&gt;
        &lt;/Record&gt;
        &lt;Record&gt;
          &lt;inv_code_prj&gt;BR17079&lt;/inv_code_prj&gt;
          &lt;inv_name_prj&gt;Trazo_BGX&lt;/inv_name_prj&gt;
        &lt;/Record&gt;
        &lt;Record&gt;
          &lt;inv_code_prj&gt;BR17080&lt;/inv_code_prj&gt;
          &lt;inv_name_prj&gt;TrazoCR_BGX&lt;/inv_name_prj&gt;
        &lt;/Record&gt;
        &lt;Record&gt;
          &lt;inv_code_prj&gt;BR17081&lt;/inv_code_prj&gt;
          &lt;inv_name_prj&gt;Zolpi*&lt;/inv_name_prj&gt;
        &lt;/Record&gt;
        &lt;Record&gt;
          &lt;inv_code_prj&gt;BR17082&lt;/inv_code_prj&gt;
          &lt;inv_name_prj&gt;BB12&lt;/inv_name_prj&gt;
        &lt;/Record&gt;
        &lt;Record&gt;
          &lt;inv_code_prj&gt;BR17083&lt;/inv_code_prj&gt;
          &lt;inv_name_prj&gt;Aripi*&lt;/inv_name_prj&gt;
        &lt;/Record&gt;
        &lt;Record&gt;
          &lt;inv_code_prj&gt;BR17085&lt;/inv_code_prj&gt;
          &lt;inv_name_prj&gt;Praluent&lt;/inv_name_prj&gt;
        &lt;/Record&gt;
        &lt;Record&gt;
          &lt;inv_code_prj&gt;BR17086&lt;/inv_code_prj&gt;
          &lt;inv_name_prj&gt;Priftin&lt;/inv_name_prj&gt;
        &lt;/Record&gt;
        &lt;Record&gt;
          &lt;inv_code_prj&gt;BR17087&lt;/inv_code_prj&gt;
          &lt;inv_name_prj&gt;Puran gts*&lt;/inv_name_prj&gt;
        &lt;/Record&gt;
        &lt;Record&gt;
          &lt;inv_code_prj&gt;BR17089&lt;/inv_code_prj&gt;
          &lt;inv_name_prj&gt;Cefur*_INN&lt;/inv_name_prj&gt;
        &lt;/Record&gt;
        &lt;Record&gt;
          &lt;inv_code_prj&gt;BR17090&lt;/inv_code_prj&gt;
          &lt;inv_name_prj&gt;Diosmin+Hesperidin&lt;/inv_name_prj&gt;
        &lt;/Record&gt;
        &lt;Record&gt;
          &lt;inv_code_prj&gt;BR17091&lt;/inv_code_prj&gt;
          &lt;inv_name_prj&gt;Drospierone + EE + Levomefolic acid_BUY_BGX&lt;/inv_name_prj&gt;
        &lt;/Record&gt;
        &lt;Record&gt;
          &lt;inv_code_prj&gt;BR17092&lt;/inv_code_prj&gt;
          &lt;inv_name_prj&gt;BR17092&lt;/inv_name_prj&gt;
        &lt;/Record&gt;
        &lt;Record&gt;
          &lt;inv_code_prj&gt;BR17093&lt;/inv_code_prj&gt;
          &lt;inv_name_prj&gt;Gabap*&lt;/inv_name_prj&gt;
        &lt;/Record&gt;
        &lt;Record&gt;
          &lt;inv_code_prj&gt;BR17095&lt;/inv_code_prj&gt;
          &lt;inv_name_prj&gt;LANELI DHA&lt;/inv_name_prj&gt;
        &lt;/Record&gt;
        &lt;Record&gt;
          &lt;inv_code_prj&gt;BR17096&lt;/inv_code_prj&gt;
          &lt;inv_name_prj&gt;Mirta*_INN&lt;/inv_name_prj&gt;
        &lt;/Record&gt;
        &lt;Record&gt;
          &lt;inv_code_prj&gt;BR17097&lt;/inv_code_prj&gt;
          &lt;inv_name_prj&gt;Propafenone_BUY_INN&lt;/inv_name_prj&gt;
        &lt;/Record&gt;
        &lt;Record&gt;
          &lt;inv_code_prj&gt;BR17098&lt;/inv_code_prj&gt;
          &lt;inv_name_prj&gt;Queti_INN&lt;/inv_name_prj&gt;
        &lt;/Record&gt;
        &lt;Record&gt;
          &lt;inv_code_prj&gt;BR17099&lt;/inv_code_prj&gt;
          &lt;inv_name_prj&gt;Inixaban&lt;/inv_name_prj&gt;
        &lt;/Record&gt;
        &lt;Record&gt;
          &lt;inv_code_prj&gt;BR17100&lt;/inv_code_prj&gt;
          &lt;inv_name_prj&gt;Rivar_INN (BGX @BR17099)&lt;/inv_name_prj&gt;
        &lt;/Record&gt;
        &lt;Record&gt;
          &lt;inv_code_prj&gt;BR17101&lt;/inv_code_prj&gt;
          &lt;inv_name_prj&gt;Voriconazole&lt;/inv_name_prj&gt;
        &lt;/Record&gt;
        &lt;Record&gt;
          &lt;inv_code_prj&gt;BR17102&lt;/inv_code_prj&gt;
          &lt;inv_name_prj&gt;Zaltrap&lt;/inv_name_prj&gt;
        &lt;/Record&gt;
        &lt;Record&gt;
          &lt;inv_code_prj&gt;BR17105&lt;/inv_code_prj&gt;
          &lt;inv_name_prj&gt;NPD TEMPLATE - Import Produtos Estabelecidos - Grupo SANOFI&lt;/inv_name_prj&gt;
        &lt;/Record&gt;
        &lt;Record&gt;
          &lt;inv_code_prj&gt;BR17106&lt;/inv_code_prj&gt;
          &lt;inv_name_prj&gt;NPD TEMPLATE - Import Produtos Estabelecidos - Licenciamento&lt;/inv_name_prj&gt;
        &lt;/Record&gt;
        &lt;Record&gt;
          &lt;inv_code_prj&gt;BR17108&lt;/inv_code_prj&gt;
          &lt;inv_name_prj&gt;NPD TEMPLATE - Tech Transfer Produtos Estabelecidos&lt;/inv_name_prj&gt;
        &lt;/Record&gt;
        &lt;Record&gt;
          &lt;inv_code_prj&gt;BR17109&lt;/inv_code_prj&gt;
          &lt;inv_name_prj&gt;NPD TEMPLATE - Vitaminas&lt;/inv_name_prj&gt;
        &lt;/Record&gt;
        &lt;Record&gt;
          &lt;inv_code_prj&gt;BR17111&lt;/inv_code_prj&gt;
          &lt;inv_name_prj&gt;NPD TEMPLATE - Clone Produtos Estabelecidos&lt;/inv_name_prj&gt;
        &lt;/Record&gt;
        &lt;Record&gt;
          &lt;inv_code_prj&gt;BR17119&lt;/inv_code_prj&gt;
          &lt;inv_name_prj&gt;Puran NoFast&lt;/inv_name_prj&gt;
        &lt;/Record&gt;
        &lt;Record&gt;
          &lt;inv_code_prj&gt;BR17121&lt;/inv_code_prj&gt;
          &lt;inv_name_prj&gt;Vorti - BGX&lt;/inv_name_prj&gt;
        &lt;/Record&gt;
        &lt;Record&gt;
          &lt;inv_code_prj&gt;BR17125&lt;/inv_code_prj&gt;
          &lt;inv_name_prj&gt;Puran _Suz&lt;/inv_name_prj&gt;
        &lt;/Record&gt;
        &lt;Record&gt;
          &lt;inv_code_prj&gt;BR17126&lt;/inv_code_prj&gt;
          &lt;inv_name_prj&gt;Dapag_Med&lt;/inv_name_prj&gt;
        &lt;/Record&gt;
        &lt;Record&gt;
          &lt;inv_code_prj&gt;BR17141&lt;/inv_code_prj&gt;
          &lt;inv_name_prj&gt;Profe+Trama&lt;/inv_name_prj&gt;
        &lt;/Record&gt;
        &lt;Record&gt;
          &lt;inv_code_prj&gt;BR17147&lt;/inv_code_prj&gt;
          &lt;inv_name_prj&gt;Fluxocor Tri&lt;/inv_name_prj&gt;
        &lt;/Record&gt;
        &lt;Record&gt;
          &lt;inv_code_prj&gt;BR17148&lt;/inv_code_prj&gt;
          &lt;inv_name_prj&gt;Trime&lt;/inv_name_prj&gt;
        &lt;/Record&gt;
        &lt;Record&gt;
          &lt;inv_code_prj&gt;BR17150&lt;/inv_code_prj&gt;
          &lt;inv_name_prj&gt;ProfeProtPack&lt;/inv_name_prj&gt;
        &lt;/Record&gt;
        &lt;Record&gt;
          &lt;inv_code_prj&gt;BR17151&lt;/inv_code_prj&gt;
          &lt;inv_name_prj&gt;Amiodarona INN&lt;/inv_name_prj&gt;
        &lt;/Record&gt;
        &lt;Record&gt;
          &lt;inv_code_prj&gt;BR17153&lt;/inv_code_prj&gt;
          &lt;inv_name_prj&gt;Zolpidem_INN&lt;/inv_name_prj&gt;
        &lt;/Record&gt;
        &lt;Record&gt;
          &lt;inv_code_prj&gt;BR17156&lt;/inv_code_prj&gt;
          &lt;inv_name_prj&gt;Memantix&lt;/inv_name_prj&gt;
        &lt;/Record&gt;
        &lt;Record&gt;
          &lt;inv_code_prj&gt;BR17167&lt;/inv_code_prj&gt;
          &lt;inv_name_prj&gt;etori_EP&lt;/inv_name_prj&gt;
        &lt;/Record&gt;
        &lt;Record&gt;
          &lt;inv_code_prj&gt;BR17170&lt;/inv_code_prj&gt;
          &lt;inv_name_prj&gt;Prega150_INN&lt;/inv_name_prj&gt;
        &lt;/Record&gt;
        &lt;Record&gt;
          &lt;inv_code_prj&gt;BR17171&lt;/inv_code_prj&gt;
          &lt;inv_name_prj&gt;Proleptol150&lt;/inv_name_prj&gt;
        &lt;/Record&gt;
        &lt;Record&gt;
          &lt;inv_code_prj&gt;BR17175&lt;/inv_code_prj&gt;
          &lt;inv_name_prj&gt;Zinpass_60&lt;/inv_name_prj&gt;
        &lt;/Record&gt;
        &lt;Record&gt;
          &lt;inv_code_prj&gt;BR17176&lt;/inv_code_prj&gt;
          &lt;inv_name_prj&gt;Bisoprolol_INN&lt;/inv_name_prj&gt;
        &lt;/Record&gt;
        &lt;Record&gt;
          &lt;inv_code_prj&gt;BR17182&lt;/inv_code_prj&gt;
          &lt;inv_name_prj&gt;Caverdilol&lt;/inv_name_prj&gt;
        &lt;/Record&gt;
        &lt;Record&gt;
          &lt;inv_code_prj&gt;BR17184&lt;/inv_code_prj&gt;
          &lt;inv_name_prj&gt;TrazoCR_INN&lt;/inv_name_prj&gt;
        &lt;/Record&gt;
        &lt;Record&gt;
          &lt;inv_code_prj&gt;BR17192&lt;/inv_code_prj&gt;
          &lt;inv_name_prj&gt;etori_inn&lt;/inv_name_prj&gt;
        &lt;/Record&gt;
        &lt;Record&gt;
          &lt;inv_code_prj&gt;BR17195&lt;/inv_code_prj&gt;
          &lt;inv_name_prj&gt;Rispe_gts&lt;/inv_name_prj&gt;
        &lt;/Record&gt;
        &lt;Record&gt;
          &lt;inv_code_prj&gt;BR17196&lt;/inv_code_prj&gt;
          &lt;inv_name_prj&gt;LevetIR - BGX&lt;/inv_name_prj&gt;
        &lt;/Record&gt;
        &lt;Record&gt;
          &lt;inv_code_prj&gt;BR17197&lt;/inv_code_prj&gt;
          &lt;inv_name_prj&gt;LevetXR_BGx&lt;/inv_name_prj&gt;
        &lt;/Record&gt;
        &lt;Record&gt;
          &lt;inv_code_prj&gt;BR17198&lt;/inv_code_prj&gt;
          &lt;inv_name_prj&gt;Levof750_INN&lt;/inv_name_prj&gt;
        &lt;/Record&gt;
        &lt;Record&gt;
          &lt;inv_code_prj&gt;BR17200&lt;/inv_code_prj&gt;
          &lt;inv_name_prj&gt;Dulox - BGX&lt;/inv_name_prj&gt;
        &lt;/Record&gt;
        &lt;Record&gt;
          &lt;inv_code_prj&gt;BR17201&lt;/inv_code_prj&gt;
          &lt;inv_name_prj&gt;Empa&lt;/inv_name_prj&gt;
        &lt;/Record&gt;
        &lt;Record&gt;
          &lt;inv_code_prj&gt;BR17203&lt;/inv_code_prj&gt;
          &lt;inv_name_prj&gt;Apixa&lt;/inv_name_prj&gt;
        &lt;/Record&gt;
        &lt;Record&gt;
          &lt;inv_code_prj&gt;BR17208&lt;/inv_code_prj&gt;
          &lt;inv_name_prj&gt;DonepMem - INN (BGX @ BR17026)&lt;/inv_name_prj&gt;
        &lt;/Record&gt;
        &lt;Record&gt;
          &lt;inv_code_prj&gt;BR17211&lt;/inv_code_prj&gt;
          &lt;inv_name_prj&gt;Betah&lt;/inv_name_prj&gt;
        &lt;/Record&gt;
        &lt;Record&gt;
          &lt;inv_code_prj&gt;BR17212&lt;/inv_code_prj&gt;
          &lt;inv_name_prj&gt;Methylinn&lt;/inv_name_prj&gt;
        &lt;/Record&gt;
        &lt;Record&gt;
          &lt;inv_code_prj&gt;BR17215&lt;/inv_code_prj&gt;
          &lt;inv_name_prj&gt;Trazo_INN&lt;/inv_name_prj&gt;
        &lt;/Record&gt;
        &lt;Record&gt;
          &lt;inv_code_prj&gt;BR17217&lt;/inv_code_prj&gt;
          &lt;inv_name_prj&gt;DapagMed_BGx&lt;/inv_name_prj&gt;
        &lt;/Record&gt;
        &lt;Record&gt;
          &lt;inv_code_prj&gt;BR17218&lt;/inv_code_prj&gt;
          &lt;inv_name_prj&gt;EmpagInn&lt;/inv_name_prj&gt;
        &lt;/Record&gt;
        &lt;Record&gt;
          &lt;inv_code_prj&gt;BR17219&lt;/inv_code_prj&gt;
          &lt;inv_name_prj&gt;Apixainn&lt;/inv_name_prj&gt;
        &lt;/Record&gt;
        &lt;Record&gt;
          &lt;inv_code_prj&gt;BR17230&lt;/inv_code_prj&gt;
          &lt;inv_name_prj&gt;Paraccod&lt;/inv_name_prj&gt;
        &lt;/Record&gt;
        &lt;Record&gt;
          &lt;inv_code_prj&gt;BR17232&lt;/inv_code_prj&gt;
          &lt;inv_name_prj&gt;Spiro&lt;/inv_name_prj&gt;
        &lt;/Record&gt;
        &lt;Record&gt;
          &lt;inv_code_prj&gt;BR17244&lt;/inv_code_prj&gt;
          &lt;inv_name_prj&gt;Fluxocor HCT*&lt;/inv_name_prj&gt;
        &lt;/Record&gt;
        &lt;Record&gt;
          &lt;inv_code_prj&gt;BR17249&lt;/inv_code_prj&gt;
          &lt;inv_name_prj&gt;Zodel30&lt;/inv_name_prj&gt;
        &lt;/Record&gt;
        &lt;Record&gt;
          &lt;inv_code_prj&gt;BR17252&lt;/inv_code_prj&gt;
          &lt;inv_name_prj&gt;Rivaroxaban+ASA&lt;/inv_name_prj&gt;
        &lt;/Record&gt;
        &lt;Record&gt;
          &lt;inv_code_prj&gt;BR17253&lt;/inv_code_prj&gt;
          &lt;inv_name_prj&gt;Bilas&lt;/inv_name_prj&gt;
        &lt;/Record&gt;
        &lt;Record&gt;
          &lt;inv_code_prj&gt;BR17254&lt;/inv_code_prj&gt;
          &lt;inv_name_prj&gt;Cilos&lt;/inv_name_prj&gt;
        &lt;/Record&gt;
        &lt;Record&gt;
          &lt;inv_code_prj&gt;BR17255&lt;/inv_code_prj&gt;
          &lt;inv_name_prj&gt;Alenthus XR 225MG&lt;/inv_name_prj&gt;
        &lt;/Record&gt;
        &lt;Record&gt;
          &lt;inv_code_prj&gt;BR17256&lt;/inv_code_prj&gt;
          &lt;inv_name_prj&gt;ValsaHCT&lt;/inv_name_prj&gt;
        &lt;/Record&gt;
        &lt;Record&gt;
          &lt;inv_code_prj&gt;BR17260&lt;/inv_code_prj&gt;
          &lt;inv_name_prj&gt;Glicazida MR&lt;/inv_name_prj&gt;
        &lt;/Record&gt;
        &lt;Record&gt;
          &lt;inv_code_prj&gt;BR17261&lt;/inv_code_prj&gt;
          &lt;inv_name_prj&gt;Cefas*&lt;/inv_name_prj&gt;
        &lt;/Record&gt;
        &lt;Record&gt;
          &lt;inv_code_prj&gt;BR17268&lt;/inv_code_prj&gt;
          &lt;inv_name_prj&gt;Ibupr*_INN&lt;/inv_name_prj&gt;
        &lt;/Record&gt;
        &lt;Record&gt;
          &lt;inv_code_prj&gt;BR17273&lt;/inv_code_prj&gt;
          &lt;inv_name_prj&gt;BenzeLevIR_BGx&lt;/inv_name_prj&gt;
        &lt;/Record&gt;
        &lt;Record&gt;
          &lt;inv_code_prj&gt;BR17274&lt;/inv_code_prj&gt;
          &lt;inv_name_prj&gt;BenzeLevDR_BGx&lt;/inv_name_prj&gt;
        &lt;/Record&gt;
        &lt;Record&gt;
          &lt;inv_code_prj&gt;BR17275&lt;/inv_code_prj&gt;
          &lt;inv_name_prj&gt;SacubVal_BGX&lt;/inv_name_prj&gt;
        &lt;/Record&gt;
        &lt;Record&gt;
          &lt;inv_code_prj&gt;BR17276&lt;/inv_code_prj&gt;
          &lt;inv_name_prj&gt;SacubVal_INN&lt;/inv_name_prj&gt;
        &lt;/Record&gt;
        &lt;Record&gt;
          &lt;inv_code_prj&gt;BR18002&lt;/inv_code_prj&gt;
          &lt;inv_name_prj&gt;Bismu&lt;/inv_name_prj&gt;
        &lt;/Record&gt;
        &lt;Record&gt;
          &lt;inv_code_prj&gt;BR18003&lt;/inv_code_prj&gt;
          &lt;inv_name_prj&gt;ProfeProtec&lt;/inv_name_prj&gt;
        &lt;/Record&gt;
        &lt;Record&gt;
          &lt;inv_code_prj&gt;BR18004&lt;/inv_code_prj&gt;
          &lt;inv_name_prj&gt;Profenid Relax IR&lt;/inv_name_prj&gt;
        &lt;/Record&gt;
        &lt;Record&gt;
          &lt;inv_code_prj&gt;BR18005&lt;/inv_code_prj&gt;
          &lt;inv_name_prj&gt;Pyloripac14days&lt;/inv_name_prj&gt;
        &lt;/Record&gt;
        &lt;Record&gt;
          &lt;inv_code_prj&gt;BR18009&lt;/inv_code_prj&gt;
          &lt;inv_name_prj&gt;Cetop150_INN&lt;/inv_name_prj&gt;
        &lt;/Record&gt;
        &lt;Record&gt;
          &lt;inv_code_prj&gt;BR18010&lt;/inv_code_prj&gt;
          &lt;inv_name_prj&gt;Nista&lt;/inv_name_prj&gt;
        &lt;/Record&gt;
        &lt;Record&gt;
          &lt;inv_code_prj&gt;BR18011&lt;/inv_code_prj&gt;
          &lt;inv_name_prj&gt;Desog_INN&lt;/inv_name_prj&gt;
        &lt;/Record&gt;
        &lt;Record&gt;
          &lt;inv_code_prj&gt;BR18012&lt;/inv_code_prj&gt;
          &lt;inv_name_prj&gt;Rifam&lt;/inv_name_prj&gt;
        &lt;/Record&gt;
        &lt;Record&gt;
          &lt;inv_code_prj&gt;BR18013&lt;/inv_code_prj&gt;
          &lt;inv_name_prj&gt;Furos&lt;/inv_name_prj&gt;
        &lt;/Record&gt;
        &lt;Record&gt;
          &lt;inv_code_prj&gt;BR18014&lt;/inv_code_prj&gt;
          &lt;inv_name_prj&gt;Prome&lt;/inv_name_prj&gt;
        &lt;/Record&gt;
        &lt;Record&gt;
          &lt;inv_code_prj&gt;BR18015&lt;/inv_code_prj&gt;
          &lt;inv_name_prj&gt;Levot&lt;/inv_name_prj&gt;
        &lt;/Record&gt;
        &lt;Record&gt;
          &lt;inv_code_prj&gt;BR18016&lt;/inv_code_prj&gt;
          &lt;inv_name_prj&gt;HexamTet_INN&lt;/inv_name_prj&gt;
        &lt;/Record&gt;
        &lt;Record&gt;
          &lt;inv_code_prj&gt;BR18017&lt;/inv_code_prj&gt;
          &lt;inv_name_prj&gt;Dipir1G_INN&lt;/inv_name_prj&gt;
        &lt;/Record&gt;
        &lt;Record&gt;
          &lt;inv_code_prj&gt;BR18018&lt;/inv_code_prj&gt;
          &lt;inv_name_prj&gt;Fitusiran&lt;/inv_name_prj&gt;
        &lt;/Record&gt;
        &lt;Record&gt;
          &lt;inv_code_prj&gt;BR18022&lt;/inv_code_prj&gt;
          &lt;inv_name_prj&gt;Icaria - isatuximabe&lt;/inv_name_prj&gt;
        &lt;/Record&gt;
        &lt;Record&gt;
          &lt;inv_code_prj&gt;BR18023&lt;/inv_code_prj&gt;
          &lt;inv_name_prj&gt;Olipudase&lt;/inv_name_prj&gt;
        &lt;/Record&gt;
        &lt;Record&gt;
          &lt;inv_code_prj&gt;BR18024&lt;/inv_code_prj&gt;
          &lt;inv_name_prj&gt;Cerdelga&lt;/inv_name_prj&gt;
        &lt;/Record&gt;
        &lt;Record&gt;
          &lt;inv_code_prj&gt;BR18025&lt;/inv_code_prj&gt;
          &lt;inv_name_prj&gt;NeoGAA&lt;/inv_name_prj&gt;
        &lt;/Record&gt;
        &lt;Record&gt;
          &lt;inv_code_prj&gt;BR18026&lt;/inv_code_prj&gt;
          &lt;inv_name_prj&gt;Efpeglenatide&lt;/inv_name_prj&gt;
        &lt;/Record&gt;
        &lt;Record&gt;
          &lt;inv_code_prj&gt;BR18027&lt;/inv_code_prj&gt;
          &lt;inv_name_prj&gt;SAR341402 - Sara&lt;/inv_name_prj&gt;
        &lt;/Record&gt;
        &lt;Record&gt;
          &lt;inv_code_prj&gt;BR18028&lt;/inv_code_prj&gt;
          &lt;inv_name_prj&gt;SAR425899 - SarDual&lt;/inv_name_prj&gt;
        &lt;/Record&gt;
        &lt;Record&gt;
          &lt;inv_code_prj&gt;BR18029&lt;/inv_code_prj&gt;
          &lt;inv_name_prj&gt;Sotaglifosina&lt;/inv_name_prj&gt;
        &lt;/Record&gt;
        &lt;Record&gt;
          &lt;inv_code_prj&gt;BR18030&lt;/inv_code_prj&gt;
          &lt;inv_name_prj&gt;Venglustate&lt;/inv_name_prj&gt;
        &lt;/Record&gt;
        &lt;Record&gt;
          &lt;inv_code_prj&gt;BR18033&lt;/inv_code_prj&gt;
          &lt;inv_name_prj&gt;LurasMed&lt;/inv_name_prj&gt;
        &lt;/Record&gt;
        &lt;Record&gt;
          &lt;inv_code_prj&gt;BR18039&lt;/inv_code_prj&gt;
          &lt;inv_name_prj&gt;Edoxa_BGX&lt;/inv_name_prj&gt;
        &lt;/Record&gt;
        &lt;Record&gt;
          &lt;inv_code_prj&gt;BR18042&lt;/inv_code_prj&gt;
          &lt;inv_name_prj&gt;T3 Liotironina&lt;/inv_name_prj&gt;
        &lt;/Record&gt;
        &lt;Record&gt;
          &lt;inv_code_prj&gt;BR18044&lt;/inv_code_prj&gt;
          &lt;inv_name_prj&gt;MethylXRMed&lt;/inv_name_prj&gt;
        &lt;/Record&gt;
        &lt;Record&gt;
          &lt;inv_code_prj&gt;BR18045&lt;/inv_code_prj&gt;
          &lt;inv_name_prj&gt;Aceti&lt;/inv_name_prj&gt;
        &lt;/Record&gt;
        &lt;Record&gt;
          &lt;inv_code_prj&gt;BR18048&lt;/inv_code_prj&gt;
          &lt;inv_name_prj&gt;Pylory_2tbs&lt;/inv_name_prj&gt;
        &lt;/Record&gt;
        &lt;Record&gt;
          &lt;inv_code_prj&gt;BR18049&lt;/inv_code_prj&gt;
          &lt;inv_name_prj&gt;TopirXR&lt;/inv_name_prj&gt;
        &lt;/Record&gt;
        &lt;Record&gt;
          &lt;inv_code_prj&gt;BR18051&lt;/inv_code_prj&gt;
          &lt;inv_name_prj&gt;Bismu_BGx&lt;/inv_name_prj&gt;
        &lt;/Record&gt;
        &lt;Record&gt;
          &lt;inv_code_prj&gt;BR18052&lt;/inv_code_prj&gt;
          &lt;inv_name_prj&gt;Trian_BGx&lt;/inv_name_prj&gt;
        &lt;/Record&gt;
        &lt;Record&gt;
          &lt;inv_code_prj&gt;BR18054&lt;/inv_code_prj&gt;
          &lt;inv_name_prj&gt;Etodo_BGx&lt;/inv_name_prj&gt;
        &lt;/Record&gt;
        &lt;Record&gt;
          &lt;inv_code_prj&gt;BR18055&lt;/inv_code_prj&gt;
          &lt;inv_name_prj&gt;Alogl_BGX&lt;/inv_name_prj&gt;
        &lt;/Record&gt;
        &lt;Record&gt;
          &lt;inv_code_prj&gt;BR18056&lt;/inv_code_prj&gt;
          &lt;inv_name_prj&gt;AlogMet_BGX&lt;/inv_name_prj&gt;
        &lt;/Record&gt;
        &lt;Record&gt;
          &lt;inv_code_prj&gt;BR18057&lt;/inv_code_prj&gt;
          &lt;inv_name_prj&gt;AlogPio_BGX&lt;/inv_name_prj&gt;
        &lt;/Record&gt;
        &lt;Record&gt;
          &lt;inv_code_prj&gt;BR18058&lt;/inv_code_prj&gt;
          &lt;inv_name_prj&gt;Clexane40mg6syr&lt;/inv_name_prj&gt;
        &lt;/Record&gt;
        &lt;Record&gt;
          &lt;inv_code_prj&gt;BR18060&lt;/inv_code_prj&gt;
          &lt;inv_name_prj&gt;Desenvolvimento Interno de Produtos Estabelecidos (Rx, Gx, BGx)&lt;/inv_name_prj&gt;
        &lt;/Record&gt;
        &lt;Record&gt;
          &lt;inv_code_prj&gt;BR18062&lt;/inv_code_prj&gt;
          &lt;inv_name_prj&gt;Metop_INN&lt;/inv_name_prj&gt;
        &lt;/Record&gt;
      &lt;/Records&gt;
      &lt;Slice&gt;
        &lt;Number&gt;0&lt;/Number&gt;
        &lt;Size&gt;171&lt;/Size&gt;
        &lt;Total&gt;171&lt;/Total&gt;
      &lt;/Slice&gt;
    &lt;/QueryResult&gt;
  &lt;/soapenv:Body&gt;
&lt;/soapenv:Envelope&gt;
</t>
  </si>
  <si>
    <t>2018-08-10_16:01 - Writing Benefit Plan Class...</t>
  </si>
  <si>
    <t>2018-08-10_16:01 - Writing Benefit Plan Subclass...</t>
  </si>
  <si>
    <t>2018-08-10_16:01 - Writing Project Informations...</t>
  </si>
  <si>
    <t>2018-08-10_16:02 - Writing Benefit Plan Class...</t>
  </si>
  <si>
    <t>2018-08-10_16:02 - Writing Benefit Plan Subclass...</t>
  </si>
  <si>
    <t>2018-08-10_16:02 - Writing Project Informations...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</si>
</sst>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_-;\-* #,##0.00_-;_-* &quot;-&quot;??_-;_-@_-"/>
    <numFmt numFmtId="164" formatCode=";;;**"/>
    <numFmt numFmtId="165" formatCode="[$-405]mmm\-yy;@"/>
    <numFmt numFmtId="166" formatCode="yyyy"/>
    <numFmt numFmtId="167" formatCode="0.0%"/>
    <numFmt numFmtId="168" formatCode="0.0"/>
    <numFmt numFmtId="169" formatCode="_-* #,##0_-;\-* #,##0_-;_-* &quot;-&quot;??_-;_-@_-"/>
    <numFmt numFmtId="170" formatCode="#,##0.0;\-#,##0.0;\-"/>
  </numFmts>
  <fonts count="6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6"/>
      <name val="Calibri"/>
      <family val="2"/>
      <scheme val="minor"/>
    </font>
    <font>
      <b/>
      <i/>
      <sz val="11"/>
      <color theme="6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0"/>
      <color theme="1"/>
      <name val="Calibri"/>
      <family val="2"/>
      <scheme val="minor"/>
    </font>
    <font>
      <sz val="11"/>
      <name val="ＭＳ Ｐゴシック"/>
      <family val="3"/>
      <charset val="128"/>
    </font>
    <font>
      <b/>
      <sz val="10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0"/>
      <name val="Arial"/>
      <family val="2"/>
      <charset val="238"/>
    </font>
    <font>
      <b/>
      <sz val="12"/>
      <name val="Arial"/>
      <family val="2"/>
      <charset val="238"/>
    </font>
    <font>
      <b/>
      <sz val="10"/>
      <name val="Arial"/>
      <family val="2"/>
      <charset val="238"/>
    </font>
    <font>
      <b/>
      <i/>
      <sz val="12"/>
      <name val="Arial"/>
      <family val="2"/>
      <charset val="238"/>
    </font>
    <font>
      <sz val="12"/>
      <name val="Arial"/>
      <family val="2"/>
      <charset val="238"/>
    </font>
    <font>
      <i/>
      <sz val="10"/>
      <name val="Arial"/>
      <family val="2"/>
      <charset val="238"/>
    </font>
    <font>
      <b/>
      <sz val="16"/>
      <color theme="0"/>
      <name val="Arial"/>
      <family val="2"/>
      <charset val="238"/>
    </font>
    <font>
      <b/>
      <sz val="12"/>
      <color theme="0"/>
      <name val="Arial"/>
      <family val="2"/>
      <charset val="238"/>
    </font>
    <font>
      <b/>
      <sz val="20"/>
      <name val="Arial"/>
      <family val="2"/>
      <charset val="238"/>
    </font>
    <font>
      <sz val="20"/>
      <name val="Arial"/>
      <family val="2"/>
      <charset val="238"/>
    </font>
    <font>
      <b/>
      <sz val="24"/>
      <name val="Arial"/>
      <family val="2"/>
      <charset val="238"/>
    </font>
    <font>
      <sz val="9"/>
      <name val="Arial"/>
      <family val="2"/>
      <charset val="238"/>
    </font>
    <font>
      <sz val="8"/>
      <name val="Arial"/>
      <family val="2"/>
      <charset val="238"/>
    </font>
    <font>
      <b/>
      <u/>
      <sz val="12"/>
      <name val="Arial"/>
      <family val="2"/>
      <charset val="238"/>
    </font>
    <font>
      <b/>
      <sz val="8"/>
      <name val="Arial"/>
      <family val="2"/>
      <charset val="238"/>
    </font>
    <font>
      <b/>
      <sz val="14"/>
      <name val="Arial"/>
      <family val="2"/>
      <charset val="238"/>
    </font>
    <font>
      <b/>
      <sz val="9"/>
      <name val="Arial"/>
      <family val="2"/>
      <charset val="238"/>
    </font>
    <font>
      <sz val="6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9"/>
      <color indexed="8"/>
      <name val="Arial"/>
      <family val="2"/>
      <charset val="238"/>
    </font>
    <font>
      <u/>
      <sz val="10"/>
      <color theme="10"/>
      <name val="Arial"/>
      <family val="2"/>
      <charset val="238"/>
    </font>
    <font>
      <sz val="11"/>
      <color indexed="8"/>
      <name val="Calibri"/>
      <family val="2"/>
      <charset val="238"/>
    </font>
    <font>
      <b/>
      <sz val="9"/>
      <color indexed="8"/>
      <name val="Arial"/>
      <family val="2"/>
      <charset val="238"/>
    </font>
    <font>
      <b/>
      <sz val="9"/>
      <color indexed="9"/>
      <name val="Arial"/>
      <family val="2"/>
      <charset val="238"/>
    </font>
    <font>
      <b/>
      <sz val="8"/>
      <color indexed="8"/>
      <name val="Arial"/>
      <family val="2"/>
      <charset val="238"/>
    </font>
    <font>
      <sz val="9"/>
      <color indexed="9"/>
      <name val="Arial"/>
      <family val="2"/>
      <charset val="238"/>
    </font>
    <font>
      <i/>
      <sz val="9"/>
      <color indexed="8"/>
      <name val="Arial"/>
      <family val="2"/>
      <charset val="238"/>
    </font>
    <font>
      <sz val="9"/>
      <color indexed="55"/>
      <name val="Arial"/>
      <family val="2"/>
      <charset val="238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  <charset val="238"/>
    </font>
    <font>
      <sz val="11"/>
      <color rgb="FFFF0000"/>
      <name val="Calibri"/>
      <family val="2"/>
      <charset val="238"/>
      <scheme val="minor"/>
    </font>
    <font>
      <sz val="11"/>
      <name val="Arial"/>
      <family val="2"/>
      <charset val="238"/>
    </font>
    <font>
      <sz val="10"/>
      <color theme="0"/>
      <name val="Arial"/>
      <family val="2"/>
      <charset val="238"/>
    </font>
    <font>
      <sz val="9"/>
      <color theme="0"/>
      <name val="Arial"/>
      <family val="2"/>
      <charset val="238"/>
    </font>
    <font>
      <sz val="8"/>
      <color rgb="FF000000"/>
      <name val="Arial"/>
      <family val="2"/>
    </font>
    <font>
      <sz val="12"/>
      <name val="Arial"/>
      <family val="2"/>
    </font>
    <font>
      <sz val="10"/>
      <color indexed="63"/>
      <name val="Arial"/>
      <family val="2"/>
      <charset val="238"/>
    </font>
    <font>
      <b/>
      <sz val="12"/>
      <color indexed="63"/>
      <name val="Arial"/>
      <family val="2"/>
      <charset val="238"/>
    </font>
    <font>
      <b/>
      <sz val="10"/>
      <color indexed="63"/>
      <name val="Arial"/>
      <family val="2"/>
      <charset val="238"/>
    </font>
    <font>
      <b/>
      <sz val="16"/>
      <color indexed="9"/>
      <name val="Arial"/>
      <family val="2"/>
      <charset val="238"/>
    </font>
    <font>
      <i/>
      <sz val="10"/>
      <color indexed="63"/>
      <name val="Arial"/>
      <family val="2"/>
      <charset val="238"/>
    </font>
    <font>
      <sz val="12"/>
      <color indexed="63"/>
      <name val="Arial"/>
      <family val="2"/>
      <charset val="238"/>
    </font>
    <font>
      <b/>
      <i/>
      <sz val="12"/>
      <color indexed="63"/>
      <name val="Arial"/>
      <family val="2"/>
      <charset val="238"/>
    </font>
    <font>
      <sz val="16"/>
      <name val="Arial"/>
      <family val="2"/>
      <charset val="238"/>
    </font>
    <font>
      <b/>
      <sz val="16"/>
      <name val="Arial"/>
      <family val="2"/>
      <charset val="238"/>
    </font>
    <font>
      <sz val="11"/>
      <color theme="0"/>
      <name val="Calibri"/>
      <family val="2"/>
      <scheme val="minor"/>
    </font>
    <font>
      <b/>
      <sz val="11"/>
      <name val="Arial"/>
      <family val="2"/>
      <charset val="238"/>
    </font>
    <font>
      <i/>
      <sz val="10"/>
      <color theme="0"/>
      <name val="Arial"/>
      <family val="2"/>
      <charset val="238"/>
    </font>
  </fonts>
  <fills count="18">
    <fill>
      <patternFill patternType="none"/>
    </fill>
    <fill>
      <patternFill patternType="gray125"/>
    </fill>
    <fill>
      <patternFill patternType="solid">
        <fgColor rgb="FF00277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2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00"/>
        <bgColor indexed="64"/>
      </patternFill>
    </fill>
  </fills>
  <borders count="75">
    <border>
      <left/>
      <right/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hair">
        <color theme="1"/>
      </left>
      <right style="hair">
        <color theme="1"/>
      </right>
      <top/>
      <bottom style="hair">
        <color theme="1"/>
      </bottom>
      <diagonal/>
    </border>
    <border>
      <left/>
      <right/>
      <top style="medium">
        <color indexed="55"/>
      </top>
      <bottom/>
      <diagonal/>
    </border>
    <border>
      <left style="thin">
        <color indexed="55"/>
      </left>
      <right style="thin">
        <color indexed="55"/>
      </right>
      <top style="medium">
        <color indexed="55"/>
      </top>
      <bottom/>
      <diagonal/>
    </border>
    <border>
      <left/>
      <right/>
      <top style="thin">
        <color indexed="55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 style="thin">
        <color indexed="55"/>
      </right>
      <top/>
      <bottom/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/>
      <right/>
      <top/>
      <bottom style="double">
        <color indexed="55"/>
      </bottom>
      <diagonal/>
    </border>
    <border>
      <left style="thin">
        <color indexed="55"/>
      </left>
      <right style="thin">
        <color indexed="55"/>
      </right>
      <top/>
      <bottom style="double">
        <color indexed="55"/>
      </bottom>
      <diagonal/>
    </border>
    <border>
      <left/>
      <right/>
      <top style="dashed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dashed">
        <color indexed="55"/>
      </top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/>
      <top/>
      <bottom style="medium">
        <color indexed="55"/>
      </bottom>
      <diagonal/>
    </border>
    <border>
      <left style="thin">
        <color indexed="55"/>
      </left>
      <right style="thin">
        <color indexed="55"/>
      </right>
      <top/>
      <bottom style="medium">
        <color indexed="55"/>
      </bottom>
      <diagonal/>
    </border>
    <border>
      <left/>
      <right/>
      <top style="mediumDashed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55"/>
      </right>
      <top/>
      <bottom style="hair">
        <color indexed="55"/>
      </bottom>
      <diagonal/>
    </border>
    <border>
      <left style="hair">
        <color indexed="55"/>
      </left>
      <right style="hair">
        <color indexed="55"/>
      </right>
      <top/>
      <bottom style="hair">
        <color indexed="55"/>
      </bottom>
      <diagonal/>
    </border>
    <border>
      <left style="hair">
        <color indexed="55"/>
      </left>
      <right/>
      <top/>
      <bottom style="hair">
        <color indexed="55"/>
      </bottom>
      <diagonal/>
    </border>
    <border>
      <left/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hair">
        <color indexed="55"/>
      </left>
      <right/>
      <top style="hair">
        <color indexed="55"/>
      </top>
      <bottom style="hair">
        <color indexed="55"/>
      </bottom>
      <diagonal/>
    </border>
    <border>
      <left/>
      <right style="hair">
        <color indexed="55"/>
      </right>
      <top style="hair">
        <color indexed="55"/>
      </top>
      <bottom/>
      <diagonal/>
    </border>
    <border>
      <left style="hair">
        <color indexed="55"/>
      </left>
      <right style="hair">
        <color indexed="55"/>
      </right>
      <top style="hair">
        <color indexed="55"/>
      </top>
      <bottom/>
      <diagonal/>
    </border>
    <border>
      <left style="hair">
        <color indexed="55"/>
      </left>
      <right/>
      <top style="hair">
        <color indexed="55"/>
      </top>
      <bottom/>
      <diagonal/>
    </border>
    <border>
      <left/>
      <right style="hair">
        <color indexed="55"/>
      </right>
      <top/>
      <bottom style="medium">
        <color indexed="8"/>
      </bottom>
      <diagonal/>
    </border>
    <border>
      <left style="hair">
        <color indexed="55"/>
      </left>
      <right style="hair">
        <color indexed="55"/>
      </right>
      <top/>
      <bottom style="medium">
        <color indexed="8"/>
      </bottom>
      <diagonal/>
    </border>
    <border>
      <left style="hair">
        <color indexed="55"/>
      </left>
      <right/>
      <top/>
      <bottom style="medium">
        <color indexed="8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medium">
        <color indexed="55"/>
      </top>
      <bottom/>
      <diagonal/>
    </border>
    <border>
      <left/>
      <right/>
      <top style="thin">
        <color theme="0" tint="-0.34998626667073579"/>
      </top>
      <bottom style="medium">
        <color theme="0" tint="-0.34998626667073579"/>
      </bottom>
      <diagonal/>
    </border>
    <border>
      <left style="thin">
        <color indexed="55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34998626667073579"/>
      </top>
      <bottom style="medium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34998626667073579"/>
      </bottom>
      <diagonal/>
    </border>
    <border>
      <left style="thin">
        <color indexed="55"/>
      </left>
      <right/>
      <top style="thin">
        <color theme="0" tint="-0.499984740745262"/>
      </top>
      <bottom style="medium">
        <color theme="0" tint="-0.34998626667073579"/>
      </bottom>
      <diagonal/>
    </border>
    <border>
      <left/>
      <right/>
      <top style="thin">
        <color theme="0" tint="-0.499984740745262"/>
      </top>
      <bottom style="medium">
        <color theme="0" tint="-0.34998626667073579"/>
      </bottom>
      <diagonal/>
    </border>
  </borders>
  <cellStyleXfs count="1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9" fillId="0" borderId="0">
      <alignment vertical="center"/>
    </xf>
    <xf numFmtId="0" fontId="11" fillId="0" borderId="0"/>
    <xf numFmtId="0" fontId="11" fillId="0" borderId="0"/>
    <xf numFmtId="9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165" fontId="37" fillId="0" borderId="0"/>
    <xf numFmtId="165" fontId="39" fillId="0" borderId="0" applyNumberFormat="0" applyFill="0" applyBorder="0" applyAlignment="0" applyProtection="0"/>
    <xf numFmtId="0" fontId="37" fillId="0" borderId="0"/>
    <xf numFmtId="9" fontId="40" fillId="0" borderId="0" applyFont="0" applyFill="0" applyBorder="0" applyAlignment="0" applyProtection="0"/>
    <xf numFmtId="9" fontId="37" fillId="0" borderId="0" applyFont="0" applyFill="0" applyBorder="0" applyAlignment="0" applyProtection="0"/>
    <xf numFmtId="165" fontId="19" fillId="0" borderId="0"/>
  </cellStyleXfs>
  <cellXfs count="377">
    <xf numFmtId="0" fontId="0" fillId="0" borderId="0" xfId="0"/>
    <xf numFmtId="0" fontId="1" fillId="0" borderId="0" xfId="1"/>
    <xf numFmtId="0" fontId="0" fillId="2" borderId="1" xfId="0" applyFill="1" applyBorder="1"/>
    <xf numFmtId="0" fontId="2" fillId="3" borderId="2" xfId="0" applyFont="1" applyFill="1" applyBorder="1"/>
    <xf numFmtId="0" fontId="0" fillId="3" borderId="2" xfId="0" applyFill="1" applyBorder="1"/>
    <xf numFmtId="0" fontId="0" fillId="2" borderId="4" xfId="0" applyFill="1" applyBorder="1"/>
    <xf numFmtId="0" fontId="2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3" fillId="3" borderId="0" xfId="0" applyFont="1" applyFill="1" applyBorder="1"/>
    <xf numFmtId="0" fontId="0" fillId="3" borderId="7" xfId="0" applyFill="1" applyBorder="1" applyProtection="1">
      <protection locked="0"/>
    </xf>
    <xf numFmtId="0" fontId="0" fillId="3" borderId="7" xfId="0" applyFill="1" applyBorder="1" applyAlignment="1" applyProtection="1">
      <alignment horizontal="left"/>
      <protection locked="0"/>
    </xf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0" xfId="0" applyFill="1" applyBorder="1" applyProtection="1">
      <protection locked="0"/>
    </xf>
    <xf numFmtId="0" fontId="0" fillId="3" borderId="0" xfId="0" applyFill="1"/>
    <xf numFmtId="0" fontId="1" fillId="0" borderId="0" xfId="1" applyAlignment="1">
      <alignment wrapText="1"/>
    </xf>
    <xf numFmtId="0" fontId="8" fillId="3" borderId="0" xfId="0" applyFont="1" applyFill="1"/>
    <xf numFmtId="164" fontId="4" fillId="3" borderId="0" xfId="0" applyNumberFormat="1" applyFont="1" applyFill="1" applyBorder="1" applyProtection="1">
      <protection locked="0"/>
    </xf>
    <xf numFmtId="0" fontId="0" fillId="3" borderId="8" xfId="0" applyFill="1" applyBorder="1" applyAlignment="1" applyProtection="1">
      <alignment horizontal="left"/>
      <protection locked="0"/>
    </xf>
    <xf numFmtId="0" fontId="0" fillId="2" borderId="0" xfId="0" applyFill="1" applyBorder="1"/>
    <xf numFmtId="0" fontId="8" fillId="3" borderId="2" xfId="0" applyFont="1" applyFill="1" applyBorder="1"/>
    <xf numFmtId="0" fontId="8" fillId="3" borderId="3" xfId="0" applyFont="1" applyFill="1" applyBorder="1"/>
    <xf numFmtId="0" fontId="0" fillId="3" borderId="11" xfId="0" applyFill="1" applyBorder="1"/>
    <xf numFmtId="0" fontId="0" fillId="3" borderId="0" xfId="0" applyFill="1" applyAlignment="1">
      <alignment horizontal="center"/>
    </xf>
    <xf numFmtId="0" fontId="0" fillId="3" borderId="11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10" fillId="0" borderId="0" xfId="0" applyFont="1" applyBorder="1" applyAlignment="1"/>
    <xf numFmtId="0" fontId="10" fillId="0" borderId="0" xfId="0" applyFont="1" applyBorder="1" applyAlignment="1">
      <alignment horizontal="center"/>
    </xf>
    <xf numFmtId="0" fontId="10" fillId="0" borderId="0" xfId="0" applyFont="1" applyBorder="1" applyAlignment="1">
      <alignment horizontal="left"/>
    </xf>
    <xf numFmtId="0" fontId="10" fillId="0" borderId="12" xfId="0" applyFont="1" applyBorder="1" applyAlignment="1">
      <alignment horizontal="left"/>
    </xf>
    <xf numFmtId="0" fontId="10" fillId="0" borderId="12" xfId="0" applyFont="1" applyBorder="1" applyAlignment="1">
      <alignment horizontal="center"/>
    </xf>
    <xf numFmtId="0" fontId="10" fillId="0" borderId="12" xfId="0" applyFont="1" applyBorder="1" applyAlignment="1"/>
    <xf numFmtId="0" fontId="10" fillId="0" borderId="14" xfId="0" applyFont="1" applyBorder="1" applyAlignment="1"/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13" fillId="3" borderId="0" xfId="0" applyFont="1" applyFill="1"/>
    <xf numFmtId="0" fontId="10" fillId="0" borderId="14" xfId="0" applyFont="1" applyBorder="1" applyAlignment="1">
      <alignment horizontal="left"/>
    </xf>
    <xf numFmtId="0" fontId="10" fillId="0" borderId="14" xfId="0" applyFont="1" applyBorder="1" applyAlignment="1">
      <alignment horizontal="center"/>
    </xf>
    <xf numFmtId="0" fontId="12" fillId="4" borderId="13" xfId="0" applyFont="1" applyFill="1" applyBorder="1" applyAlignment="1" applyProtection="1">
      <alignment horizontal="center" vertical="center" wrapText="1"/>
    </xf>
    <xf numFmtId="0" fontId="15" fillId="0" borderId="0" xfId="0" applyFont="1" applyBorder="1" applyAlignment="1">
      <alignment horizontal="center" vertical="center"/>
    </xf>
    <xf numFmtId="0" fontId="5" fillId="0" borderId="0" xfId="2" quotePrefix="1" applyProtection="1">
      <protection hidden="1"/>
    </xf>
    <xf numFmtId="164" fontId="5" fillId="3" borderId="7" xfId="2" applyNumberFormat="1" applyFill="1" applyBorder="1" applyAlignment="1" applyProtection="1">
      <alignment horizontal="left"/>
      <protection hidden="1"/>
    </xf>
    <xf numFmtId="0" fontId="0" fillId="3" borderId="7" xfId="0" applyFill="1" applyBorder="1" applyAlignment="1" applyProtection="1">
      <alignment horizontal="left"/>
      <protection hidden="1"/>
    </xf>
    <xf numFmtId="0" fontId="0" fillId="3" borderId="0" xfId="0" applyFill="1" applyBorder="1" applyAlignment="1" applyProtection="1">
      <alignment horizontal="left"/>
      <protection locked="0"/>
    </xf>
    <xf numFmtId="164" fontId="6" fillId="3" borderId="0" xfId="2" applyNumberFormat="1" applyFont="1" applyFill="1" applyBorder="1" applyProtection="1">
      <protection locked="0"/>
    </xf>
    <xf numFmtId="164" fontId="5" fillId="3" borderId="0" xfId="2" applyNumberFormat="1" applyFill="1" applyBorder="1" applyAlignment="1" applyProtection="1">
      <alignment horizontal="left"/>
      <protection hidden="1"/>
    </xf>
    <xf numFmtId="0" fontId="0" fillId="3" borderId="0" xfId="0" applyFill="1" applyBorder="1" applyAlignment="1" applyProtection="1">
      <alignment horizontal="left"/>
      <protection hidden="1"/>
    </xf>
    <xf numFmtId="0" fontId="12" fillId="6" borderId="13" xfId="0" applyFont="1" applyFill="1" applyBorder="1" applyAlignment="1" applyProtection="1">
      <alignment horizontal="center" vertical="center" wrapText="1"/>
    </xf>
    <xf numFmtId="0" fontId="10" fillId="0" borderId="0" xfId="0" applyFont="1" applyBorder="1" applyAlignment="1">
      <alignment horizontal="center" vertical="center" wrapText="1"/>
    </xf>
    <xf numFmtId="0" fontId="0" fillId="3" borderId="11" xfId="0" applyFill="1" applyBorder="1" applyProtection="1">
      <protection locked="0"/>
    </xf>
    <xf numFmtId="0" fontId="0" fillId="3" borderId="11" xfId="0" applyFill="1" applyBorder="1" applyAlignment="1" applyProtection="1">
      <alignment horizontal="center"/>
      <protection locked="0"/>
    </xf>
    <xf numFmtId="0" fontId="0" fillId="3" borderId="11" xfId="0" applyFill="1" applyBorder="1" applyAlignment="1" applyProtection="1">
      <alignment horizontal="center" vertical="center"/>
      <protection locked="0"/>
    </xf>
    <xf numFmtId="0" fontId="8" fillId="3" borderId="6" xfId="0" applyFont="1" applyFill="1" applyBorder="1" applyProtection="1">
      <protection hidden="1"/>
    </xf>
    <xf numFmtId="0" fontId="6" fillId="0" borderId="0" xfId="0" applyFont="1"/>
    <xf numFmtId="0" fontId="6" fillId="2" borderId="4" xfId="0" applyFont="1" applyFill="1" applyBorder="1"/>
    <xf numFmtId="0" fontId="6" fillId="3" borderId="11" xfId="0" applyFont="1" applyFill="1" applyBorder="1" applyProtection="1">
      <protection locked="0"/>
    </xf>
    <xf numFmtId="0" fontId="6" fillId="3" borderId="11" xfId="0" applyFont="1" applyFill="1" applyBorder="1" applyAlignment="1" applyProtection="1">
      <alignment horizontal="center"/>
      <protection locked="0"/>
    </xf>
    <xf numFmtId="0" fontId="6" fillId="3" borderId="11" xfId="0" applyFont="1" applyFill="1" applyBorder="1" applyAlignment="1" applyProtection="1">
      <alignment horizontal="center" vertical="center"/>
      <protection locked="0"/>
    </xf>
    <xf numFmtId="0" fontId="6" fillId="0" borderId="0" xfId="0" applyFont="1" applyFill="1"/>
    <xf numFmtId="165" fontId="25" fillId="7" borderId="16" xfId="0" applyNumberFormat="1" applyFont="1" applyFill="1" applyBorder="1" applyAlignment="1" applyProtection="1">
      <alignment horizontal="center" vertical="center"/>
    </xf>
    <xf numFmtId="166" fontId="25" fillId="7" borderId="15" xfId="0" applyNumberFormat="1" applyFont="1" applyFill="1" applyBorder="1" applyAlignment="1" applyProtection="1">
      <alignment horizontal="center" vertical="center"/>
    </xf>
    <xf numFmtId="164" fontId="5" fillId="3" borderId="7" xfId="2" applyNumberFormat="1" applyFill="1" applyBorder="1" applyProtection="1">
      <protection locked="0"/>
    </xf>
    <xf numFmtId="0" fontId="5" fillId="3" borderId="11" xfId="2" applyFill="1" applyBorder="1" applyProtection="1">
      <protection locked="0"/>
    </xf>
    <xf numFmtId="165" fontId="26" fillId="7" borderId="15" xfId="0" applyNumberFormat="1" applyFont="1" applyFill="1" applyBorder="1" applyAlignment="1" applyProtection="1">
      <alignment horizontal="center" vertical="center"/>
    </xf>
    <xf numFmtId="0" fontId="1" fillId="0" borderId="0" xfId="1" applyAlignment="1">
      <alignment horizontal="center"/>
    </xf>
    <xf numFmtId="0" fontId="0" fillId="0" borderId="0" xfId="0" applyAlignment="1">
      <alignment horizontal="center"/>
    </xf>
    <xf numFmtId="165" fontId="20" fillId="9" borderId="17" xfId="0" applyNumberFormat="1" applyFont="1" applyFill="1" applyBorder="1" applyAlignment="1" applyProtection="1">
      <alignment horizontal="left" vertical="center"/>
      <protection hidden="1"/>
    </xf>
    <xf numFmtId="165" fontId="20" fillId="0" borderId="17" xfId="0" applyNumberFormat="1" applyFont="1" applyFill="1" applyBorder="1" applyAlignment="1" applyProtection="1">
      <alignment horizontal="left" vertical="center"/>
      <protection hidden="1"/>
    </xf>
    <xf numFmtId="165" fontId="20" fillId="0" borderId="23" xfId="0" applyNumberFormat="1" applyFont="1" applyFill="1" applyBorder="1" applyAlignment="1" applyProtection="1">
      <alignment horizontal="left" vertical="center"/>
      <protection hidden="1"/>
    </xf>
    <xf numFmtId="0" fontId="6" fillId="0" borderId="0" xfId="0" applyFont="1" applyProtection="1">
      <protection hidden="1"/>
    </xf>
    <xf numFmtId="49" fontId="25" fillId="7" borderId="15" xfId="0" applyNumberFormat="1" applyFont="1" applyFill="1" applyBorder="1" applyAlignment="1" applyProtection="1">
      <alignment horizontal="center" vertical="center"/>
      <protection hidden="1"/>
    </xf>
    <xf numFmtId="49" fontId="6" fillId="0" borderId="0" xfId="0" applyNumberFormat="1" applyFont="1" applyAlignment="1" applyProtection="1">
      <alignment horizontal="left"/>
      <protection hidden="1"/>
    </xf>
    <xf numFmtId="49" fontId="6" fillId="0" borderId="0" xfId="0" applyNumberFormat="1" applyFont="1" applyAlignment="1" applyProtection="1">
      <alignment horizontal="center"/>
      <protection hidden="1"/>
    </xf>
    <xf numFmtId="49" fontId="23" fillId="0" borderId="17" xfId="0" applyNumberFormat="1" applyFont="1" applyFill="1" applyBorder="1" applyAlignment="1" applyProtection="1">
      <alignment horizontal="center"/>
      <protection hidden="1"/>
    </xf>
    <xf numFmtId="49" fontId="23" fillId="0" borderId="23" xfId="0" applyNumberFormat="1" applyFont="1" applyFill="1" applyBorder="1" applyAlignment="1" applyProtection="1">
      <alignment horizontal="center"/>
      <protection hidden="1"/>
    </xf>
    <xf numFmtId="49" fontId="23" fillId="0" borderId="17" xfId="0" applyNumberFormat="1" applyFont="1" applyFill="1" applyBorder="1" applyAlignment="1" applyProtection="1">
      <alignment horizontal="left"/>
      <protection hidden="1"/>
    </xf>
    <xf numFmtId="49" fontId="23" fillId="0" borderId="23" xfId="0" applyNumberFormat="1" applyFont="1" applyFill="1" applyBorder="1" applyAlignment="1" applyProtection="1">
      <alignment horizontal="left"/>
      <protection hidden="1"/>
    </xf>
    <xf numFmtId="165" fontId="27" fillId="8" borderId="28" xfId="0" applyNumberFormat="1" applyFont="1" applyFill="1" applyBorder="1" applyAlignment="1" applyProtection="1">
      <alignment horizontal="left"/>
    </xf>
    <xf numFmtId="165" fontId="28" fillId="8" borderId="28" xfId="0" applyNumberFormat="1" applyFont="1" applyFill="1" applyBorder="1" applyProtection="1"/>
    <xf numFmtId="165" fontId="27" fillId="8" borderId="28" xfId="0" applyNumberFormat="1" applyFont="1" applyFill="1" applyBorder="1" applyAlignment="1" applyProtection="1">
      <alignment horizontal="right"/>
    </xf>
    <xf numFmtId="165" fontId="29" fillId="0" borderId="28" xfId="0" applyNumberFormat="1" applyFont="1" applyFill="1" applyBorder="1" applyAlignment="1" applyProtection="1">
      <alignment horizontal="left" vertical="center"/>
    </xf>
    <xf numFmtId="0" fontId="31" fillId="8" borderId="0" xfId="0" applyFont="1" applyFill="1" applyBorder="1" applyProtection="1"/>
    <xf numFmtId="0" fontId="31" fillId="8" borderId="0" xfId="0" applyFont="1" applyFill="1" applyBorder="1" applyAlignment="1" applyProtection="1">
      <alignment horizontal="center"/>
    </xf>
    <xf numFmtId="0" fontId="31" fillId="3" borderId="0" xfId="0" applyFont="1" applyFill="1" applyBorder="1" applyAlignment="1" applyProtection="1">
      <alignment horizontal="center"/>
    </xf>
    <xf numFmtId="0" fontId="31" fillId="3" borderId="0" xfId="0" applyFont="1" applyFill="1" applyBorder="1" applyProtection="1"/>
    <xf numFmtId="0" fontId="19" fillId="8" borderId="0" xfId="0" applyFont="1" applyFill="1" applyBorder="1" applyAlignment="1" applyProtection="1">
      <alignment horizontal="center"/>
    </xf>
    <xf numFmtId="0" fontId="34" fillId="8" borderId="0" xfId="0" applyFont="1" applyFill="1" applyBorder="1" applyAlignment="1" applyProtection="1">
      <alignment horizontal="left" vertical="center"/>
    </xf>
    <xf numFmtId="0" fontId="33" fillId="8" borderId="0" xfId="0" applyFont="1" applyFill="1" applyBorder="1" applyProtection="1"/>
    <xf numFmtId="0" fontId="33" fillId="0" borderId="0" xfId="0" applyFont="1" applyBorder="1" applyAlignment="1" applyProtection="1">
      <alignment horizontal="center"/>
    </xf>
    <xf numFmtId="49" fontId="30" fillId="8" borderId="29" xfId="0" applyNumberFormat="1" applyFont="1" applyFill="1" applyBorder="1" applyProtection="1"/>
    <xf numFmtId="49" fontId="19" fillId="8" borderId="29" xfId="0" applyNumberFormat="1" applyFont="1" applyFill="1" applyBorder="1" applyProtection="1"/>
    <xf numFmtId="49" fontId="6" fillId="0" borderId="0" xfId="0" applyNumberFormat="1" applyFont="1"/>
    <xf numFmtId="1" fontId="36" fillId="0" borderId="0" xfId="0" applyNumberFormat="1" applyFont="1" applyBorder="1" applyProtection="1"/>
    <xf numFmtId="165" fontId="38" fillId="0" borderId="0" xfId="9" applyFont="1" applyProtection="1"/>
    <xf numFmtId="165" fontId="38" fillId="0" borderId="0" xfId="9" applyFont="1" applyBorder="1" applyProtection="1"/>
    <xf numFmtId="0" fontId="37" fillId="0" borderId="0" xfId="11" applyProtection="1"/>
    <xf numFmtId="165" fontId="38" fillId="0" borderId="0" xfId="9" applyFont="1" applyFill="1" applyProtection="1"/>
    <xf numFmtId="165" fontId="41" fillId="0" borderId="0" xfId="9" applyFont="1" applyFill="1" applyBorder="1" applyProtection="1"/>
    <xf numFmtId="165" fontId="38" fillId="0" borderId="0" xfId="9" applyFont="1" applyFill="1" applyBorder="1" applyProtection="1"/>
    <xf numFmtId="165" fontId="41" fillId="0" borderId="0" xfId="9" applyFont="1" applyProtection="1"/>
    <xf numFmtId="9" fontId="38" fillId="0" borderId="0" xfId="12" applyFont="1" applyBorder="1" applyAlignment="1" applyProtection="1"/>
    <xf numFmtId="3" fontId="41" fillId="0" borderId="0" xfId="12" applyNumberFormat="1" applyFont="1" applyFill="1" applyBorder="1" applyAlignment="1" applyProtection="1">
      <alignment vertical="top"/>
    </xf>
    <xf numFmtId="165" fontId="41" fillId="0" borderId="0" xfId="9" applyFont="1" applyFill="1" applyAlignment="1" applyProtection="1">
      <alignment vertical="top"/>
    </xf>
    <xf numFmtId="165" fontId="38" fillId="0" borderId="0" xfId="9" applyFont="1" applyBorder="1" applyAlignment="1" applyProtection="1">
      <alignment horizontal="right"/>
    </xf>
    <xf numFmtId="17" fontId="38" fillId="0" borderId="0" xfId="9" applyNumberFormat="1" applyFont="1" applyBorder="1" applyAlignment="1" applyProtection="1">
      <alignment horizontal="left"/>
    </xf>
    <xf numFmtId="165" fontId="43" fillId="0" borderId="45" xfId="9" applyFont="1" applyFill="1" applyBorder="1" applyAlignment="1" applyProtection="1">
      <alignment horizontal="left"/>
    </xf>
    <xf numFmtId="165" fontId="43" fillId="0" borderId="46" xfId="9" applyFont="1" applyFill="1" applyBorder="1" applyAlignment="1" applyProtection="1">
      <alignment horizontal="left"/>
    </xf>
    <xf numFmtId="165" fontId="43" fillId="0" borderId="47" xfId="9" applyFont="1" applyFill="1" applyBorder="1" applyAlignment="1" applyProtection="1">
      <alignment horizontal="left"/>
    </xf>
    <xf numFmtId="165" fontId="38" fillId="0" borderId="0" xfId="9" applyFont="1" applyAlignment="1" applyProtection="1">
      <alignment horizontal="right"/>
    </xf>
    <xf numFmtId="3" fontId="38" fillId="0" borderId="0" xfId="9" applyNumberFormat="1" applyFont="1" applyProtection="1"/>
    <xf numFmtId="165" fontId="38" fillId="0" borderId="0" xfId="9" applyFont="1" applyAlignment="1" applyProtection="1">
      <alignment horizontal="left"/>
    </xf>
    <xf numFmtId="9" fontId="38" fillId="0" borderId="0" xfId="9" applyNumberFormat="1" applyFont="1" applyProtection="1"/>
    <xf numFmtId="165" fontId="42" fillId="12" borderId="0" xfId="9" applyFont="1" applyFill="1" applyProtection="1"/>
    <xf numFmtId="165" fontId="41" fillId="8" borderId="0" xfId="9" applyFont="1" applyFill="1" applyBorder="1" applyAlignment="1" applyProtection="1">
      <alignment horizontal="right" indent="1"/>
    </xf>
    <xf numFmtId="14" fontId="45" fillId="8" borderId="0" xfId="12" applyNumberFormat="1" applyFont="1" applyFill="1" applyBorder="1" applyAlignment="1" applyProtection="1">
      <alignment horizontal="right" indent="1"/>
    </xf>
    <xf numFmtId="165" fontId="41" fillId="0" borderId="0" xfId="9" applyFont="1" applyAlignment="1" applyProtection="1">
      <alignment horizontal="right" indent="1"/>
    </xf>
    <xf numFmtId="9" fontId="45" fillId="0" borderId="0" xfId="12" applyFont="1" applyFill="1" applyBorder="1" applyAlignment="1" applyProtection="1">
      <alignment horizontal="right" indent="1"/>
    </xf>
    <xf numFmtId="165" fontId="42" fillId="13" borderId="54" xfId="9" applyFont="1" applyFill="1" applyBorder="1" applyAlignment="1" applyProtection="1">
      <alignment horizontal="right" vertical="top"/>
    </xf>
    <xf numFmtId="1" fontId="42" fillId="13" borderId="55" xfId="9" applyNumberFormat="1" applyFont="1" applyFill="1" applyBorder="1" applyAlignment="1" applyProtection="1">
      <alignment horizontal="center" vertical="top"/>
    </xf>
    <xf numFmtId="1" fontId="42" fillId="13" borderId="56" xfId="9" applyNumberFormat="1" applyFont="1" applyFill="1" applyBorder="1" applyAlignment="1" applyProtection="1">
      <alignment horizontal="center"/>
    </xf>
    <xf numFmtId="165" fontId="38" fillId="0" borderId="57" xfId="9" applyFont="1" applyBorder="1" applyProtection="1"/>
    <xf numFmtId="3" fontId="38" fillId="11" borderId="58" xfId="9" applyNumberFormat="1" applyFont="1" applyFill="1" applyBorder="1" applyAlignment="1" applyProtection="1">
      <alignment horizontal="right" indent="1"/>
      <protection locked="0"/>
    </xf>
    <xf numFmtId="3" fontId="38" fillId="0" borderId="58" xfId="9" applyNumberFormat="1" applyFont="1" applyBorder="1" applyAlignment="1" applyProtection="1">
      <alignment horizontal="right" indent="1"/>
    </xf>
    <xf numFmtId="3" fontId="38" fillId="0" borderId="59" xfId="9" applyNumberFormat="1" applyFont="1" applyBorder="1" applyAlignment="1" applyProtection="1">
      <alignment horizontal="right" indent="1"/>
    </xf>
    <xf numFmtId="165" fontId="45" fillId="0" borderId="60" xfId="9" applyFont="1" applyBorder="1" applyAlignment="1" applyProtection="1">
      <alignment horizontal="right"/>
    </xf>
    <xf numFmtId="9" fontId="38" fillId="0" borderId="61" xfId="9" applyNumberFormat="1" applyFont="1" applyBorder="1" applyAlignment="1" applyProtection="1">
      <alignment horizontal="right" indent="1"/>
    </xf>
    <xf numFmtId="9" fontId="45" fillId="11" borderId="61" xfId="12" applyNumberFormat="1" applyFont="1" applyFill="1" applyBorder="1" applyAlignment="1" applyProtection="1">
      <alignment horizontal="right" indent="1"/>
      <protection locked="0"/>
    </xf>
    <xf numFmtId="165" fontId="38" fillId="0" borderId="42" xfId="9" applyFont="1" applyBorder="1" applyProtection="1"/>
    <xf numFmtId="3" fontId="38" fillId="0" borderId="43" xfId="9" applyNumberFormat="1" applyFont="1" applyBorder="1" applyAlignment="1" applyProtection="1">
      <alignment horizontal="right" indent="1"/>
    </xf>
    <xf numFmtId="3" fontId="38" fillId="0" borderId="44" xfId="9" applyNumberFormat="1" applyFont="1" applyBorder="1" applyAlignment="1" applyProtection="1">
      <alignment horizontal="right" indent="1"/>
    </xf>
    <xf numFmtId="9" fontId="38" fillId="11" borderId="61" xfId="9" applyNumberFormat="1" applyFont="1" applyFill="1" applyBorder="1" applyAlignment="1" applyProtection="1">
      <alignment horizontal="right" indent="1"/>
      <protection locked="0"/>
    </xf>
    <xf numFmtId="165" fontId="41" fillId="0" borderId="62" xfId="9" applyFont="1" applyBorder="1" applyProtection="1"/>
    <xf numFmtId="3" fontId="41" fillId="0" borderId="63" xfId="9" applyNumberFormat="1" applyFont="1" applyBorder="1" applyAlignment="1" applyProtection="1">
      <alignment horizontal="right" indent="1"/>
    </xf>
    <xf numFmtId="3" fontId="41" fillId="0" borderId="64" xfId="9" applyNumberFormat="1" applyFont="1" applyBorder="1" applyAlignment="1" applyProtection="1">
      <alignment horizontal="right" indent="1"/>
    </xf>
    <xf numFmtId="165" fontId="41" fillId="14" borderId="36" xfId="9" applyFont="1" applyFill="1" applyBorder="1" applyAlignment="1" applyProtection="1">
      <alignment horizontal="center"/>
    </xf>
    <xf numFmtId="1" fontId="41" fillId="14" borderId="37" xfId="9" applyNumberFormat="1" applyFont="1" applyFill="1" applyBorder="1" applyAlignment="1" applyProtection="1">
      <alignment horizontal="center"/>
    </xf>
    <xf numFmtId="1" fontId="41" fillId="14" borderId="38" xfId="9" applyNumberFormat="1" applyFont="1" applyFill="1" applyBorder="1" applyAlignment="1" applyProtection="1">
      <alignment horizontal="center"/>
    </xf>
    <xf numFmtId="165" fontId="38" fillId="0" borderId="0" xfId="9" applyFont="1" applyAlignment="1" applyProtection="1">
      <alignment horizontal="right" indent="1"/>
    </xf>
    <xf numFmtId="2" fontId="38" fillId="11" borderId="0" xfId="9" applyNumberFormat="1" applyFont="1" applyFill="1" applyAlignment="1" applyProtection="1">
      <alignment horizontal="right" indent="1"/>
      <protection locked="0"/>
    </xf>
    <xf numFmtId="4" fontId="38" fillId="0" borderId="65" xfId="9" applyNumberFormat="1" applyFont="1" applyBorder="1" applyAlignment="1" applyProtection="1">
      <alignment horizontal="right" indent="1"/>
    </xf>
    <xf numFmtId="4" fontId="38" fillId="0" borderId="40" xfId="9" applyNumberFormat="1" applyFont="1" applyBorder="1" applyAlignment="1" applyProtection="1">
      <alignment horizontal="right" indent="1"/>
    </xf>
    <xf numFmtId="9" fontId="45" fillId="11" borderId="43" xfId="12" applyFont="1" applyFill="1" applyBorder="1" applyAlignment="1" applyProtection="1">
      <alignment horizontal="right" indent="1"/>
      <protection locked="0"/>
    </xf>
    <xf numFmtId="165" fontId="45" fillId="0" borderId="0" xfId="9" applyFont="1" applyAlignment="1" applyProtection="1">
      <alignment horizontal="right" indent="1"/>
    </xf>
    <xf numFmtId="9" fontId="45" fillId="11" borderId="61" xfId="12" applyFont="1" applyFill="1" applyBorder="1" applyAlignment="1" applyProtection="1">
      <alignment horizontal="right" indent="1"/>
      <protection locked="0"/>
    </xf>
    <xf numFmtId="9" fontId="45" fillId="11" borderId="66" xfId="12" applyFont="1" applyFill="1" applyBorder="1" applyAlignment="1" applyProtection="1">
      <alignment horizontal="right" indent="1"/>
      <protection locked="0"/>
    </xf>
    <xf numFmtId="165" fontId="46" fillId="0" borderId="0" xfId="9" applyFont="1" applyAlignment="1" applyProtection="1">
      <alignment horizontal="right"/>
    </xf>
    <xf numFmtId="4" fontId="46" fillId="0" borderId="0" xfId="9" applyNumberFormat="1" applyFont="1" applyAlignment="1" applyProtection="1">
      <alignment horizontal="right" indent="1"/>
    </xf>
    <xf numFmtId="167" fontId="38" fillId="11" borderId="42" xfId="9" applyNumberFormat="1" applyFont="1" applyFill="1" applyBorder="1" applyProtection="1">
      <protection locked="0"/>
    </xf>
    <xf numFmtId="4" fontId="38" fillId="11" borderId="60" xfId="9" applyNumberFormat="1" applyFont="1" applyFill="1" applyBorder="1" applyAlignment="1" applyProtection="1">
      <alignment horizontal="right" indent="1"/>
      <protection locked="0"/>
    </xf>
    <xf numFmtId="4" fontId="38" fillId="11" borderId="61" xfId="9" applyNumberFormat="1" applyFont="1" applyFill="1" applyBorder="1" applyAlignment="1" applyProtection="1">
      <alignment horizontal="right" indent="1"/>
      <protection locked="0"/>
    </xf>
    <xf numFmtId="168" fontId="46" fillId="0" borderId="0" xfId="9" applyNumberFormat="1" applyFont="1" applyAlignment="1" applyProtection="1">
      <alignment horizontal="right" indent="1"/>
    </xf>
    <xf numFmtId="165" fontId="41" fillId="16" borderId="36" xfId="9" applyFont="1" applyFill="1" applyBorder="1" applyAlignment="1" applyProtection="1">
      <alignment horizontal="right"/>
    </xf>
    <xf numFmtId="1" fontId="41" fillId="16" borderId="37" xfId="9" applyNumberFormat="1" applyFont="1" applyFill="1" applyBorder="1" applyAlignment="1" applyProtection="1">
      <alignment horizontal="center"/>
    </xf>
    <xf numFmtId="1" fontId="41" fillId="16" borderId="38" xfId="9" applyNumberFormat="1" applyFont="1" applyFill="1" applyBorder="1" applyAlignment="1" applyProtection="1">
      <alignment horizontal="center"/>
    </xf>
    <xf numFmtId="165" fontId="38" fillId="0" borderId="39" xfId="9" applyFont="1" applyBorder="1" applyAlignment="1" applyProtection="1">
      <alignment horizontal="right" indent="1"/>
    </xf>
    <xf numFmtId="3" fontId="38" fillId="0" borderId="40" xfId="9" applyNumberFormat="1" applyFont="1" applyBorder="1" applyAlignment="1" applyProtection="1">
      <alignment horizontal="right" indent="1"/>
    </xf>
    <xf numFmtId="3" fontId="38" fillId="0" borderId="41" xfId="9" applyNumberFormat="1" applyFont="1" applyBorder="1" applyAlignment="1" applyProtection="1">
      <alignment horizontal="right" indent="1"/>
    </xf>
    <xf numFmtId="165" fontId="38" fillId="0" borderId="42" xfId="9" applyFont="1" applyBorder="1" applyAlignment="1" applyProtection="1">
      <alignment horizontal="right" indent="1"/>
    </xf>
    <xf numFmtId="9" fontId="45" fillId="11" borderId="43" xfId="12" applyNumberFormat="1" applyFont="1" applyFill="1" applyBorder="1" applyAlignment="1" applyProtection="1">
      <alignment horizontal="right" indent="1"/>
      <protection locked="0"/>
    </xf>
    <xf numFmtId="165" fontId="38" fillId="0" borderId="60" xfId="9" applyFont="1" applyBorder="1" applyAlignment="1" applyProtection="1">
      <alignment horizontal="right" indent="1"/>
    </xf>
    <xf numFmtId="9" fontId="38" fillId="0" borderId="66" xfId="9" applyNumberFormat="1" applyFont="1" applyBorder="1" applyAlignment="1" applyProtection="1">
      <alignment horizontal="right" indent="1"/>
    </xf>
    <xf numFmtId="167" fontId="38" fillId="11" borderId="43" xfId="9" applyNumberFormat="1" applyFont="1" applyFill="1" applyBorder="1" applyProtection="1">
      <protection locked="0"/>
    </xf>
    <xf numFmtId="165" fontId="44" fillId="0" borderId="0" xfId="9" applyFont="1" applyFill="1" applyBorder="1" applyProtection="1"/>
    <xf numFmtId="165" fontId="44" fillId="8" borderId="0" xfId="9" applyFont="1" applyFill="1" applyBorder="1" applyProtection="1"/>
    <xf numFmtId="0" fontId="38" fillId="0" borderId="0" xfId="9" applyNumberFormat="1" applyFont="1" applyProtection="1"/>
    <xf numFmtId="169" fontId="38" fillId="11" borderId="49" xfId="8" applyNumberFormat="1" applyFont="1" applyFill="1" applyBorder="1" applyAlignment="1" applyProtection="1">
      <alignment horizontal="center" vertical="center"/>
      <protection locked="0"/>
    </xf>
    <xf numFmtId="169" fontId="38" fillId="11" borderId="50" xfId="8" applyNumberFormat="1" applyFont="1" applyFill="1" applyBorder="1" applyAlignment="1" applyProtection="1">
      <alignment horizontal="center" vertical="center"/>
      <protection locked="0"/>
    </xf>
    <xf numFmtId="169" fontId="38" fillId="11" borderId="52" xfId="8" applyNumberFormat="1" applyFont="1" applyFill="1" applyBorder="1" applyAlignment="1" applyProtection="1">
      <alignment horizontal="center" vertical="center"/>
      <protection locked="0"/>
    </xf>
    <xf numFmtId="169" fontId="38" fillId="11" borderId="53" xfId="8" applyNumberFormat="1" applyFont="1" applyFill="1" applyBorder="1" applyAlignment="1" applyProtection="1">
      <alignment horizontal="center" vertical="center"/>
      <protection locked="0"/>
    </xf>
    <xf numFmtId="0" fontId="38" fillId="11" borderId="48" xfId="9" applyNumberFormat="1" applyFont="1" applyFill="1" applyBorder="1" applyAlignment="1" applyProtection="1">
      <alignment horizontal="center" vertical="center"/>
      <protection locked="0"/>
    </xf>
    <xf numFmtId="0" fontId="38" fillId="11" borderId="51" xfId="9" applyNumberFormat="1" applyFont="1" applyFill="1" applyBorder="1" applyAlignment="1" applyProtection="1">
      <alignment horizontal="center" vertical="center"/>
      <protection locked="0"/>
    </xf>
    <xf numFmtId="169" fontId="21" fillId="0" borderId="0" xfId="8" applyNumberFormat="1" applyFont="1" applyFill="1" applyBorder="1" applyAlignment="1" applyProtection="1">
      <alignment horizontal="left" indent="2"/>
    </xf>
    <xf numFmtId="169" fontId="20" fillId="9" borderId="17" xfId="8" applyNumberFormat="1" applyFont="1" applyFill="1" applyBorder="1" applyAlignment="1" applyProtection="1">
      <alignment horizontal="right" vertical="center" indent="1"/>
    </xf>
    <xf numFmtId="169" fontId="19" fillId="0" borderId="0" xfId="8" applyNumberFormat="1" applyFont="1" applyFill="1" applyBorder="1" applyAlignment="1" applyProtection="1">
      <alignment horizontal="right" vertical="center" indent="1"/>
    </xf>
    <xf numFmtId="169" fontId="19" fillId="0" borderId="0" xfId="8" applyNumberFormat="1" applyFont="1" applyFill="1" applyBorder="1" applyAlignment="1" applyProtection="1">
      <alignment horizontal="left" indent="2"/>
    </xf>
    <xf numFmtId="169" fontId="20" fillId="0" borderId="17" xfId="8" applyNumberFormat="1" applyFont="1" applyFill="1" applyBorder="1" applyAlignment="1" applyProtection="1">
      <alignment horizontal="right" vertical="center" indent="1"/>
    </xf>
    <xf numFmtId="169" fontId="21" fillId="0" borderId="17" xfId="8" applyNumberFormat="1" applyFont="1" applyFill="1" applyBorder="1" applyAlignment="1" applyProtection="1">
      <alignment horizontal="right" vertical="center" indent="1"/>
    </xf>
    <xf numFmtId="169" fontId="19" fillId="0" borderId="17" xfId="8" applyNumberFormat="1" applyFont="1" applyFill="1" applyBorder="1" applyAlignment="1" applyProtection="1">
      <alignment horizontal="right" vertical="center" indent="1"/>
    </xf>
    <xf numFmtId="169" fontId="19" fillId="0" borderId="21" xfId="8" applyNumberFormat="1" applyFont="1" applyFill="1" applyBorder="1" applyAlignment="1" applyProtection="1">
      <alignment horizontal="right" vertical="center" indent="1"/>
    </xf>
    <xf numFmtId="169" fontId="21" fillId="0" borderId="21" xfId="8" applyNumberFormat="1" applyFont="1" applyFill="1" applyBorder="1" applyAlignment="1" applyProtection="1">
      <alignment horizontal="right" vertical="center" indent="1"/>
    </xf>
    <xf numFmtId="169" fontId="24" fillId="0" borderId="0" xfId="8" applyNumberFormat="1" applyFont="1" applyFill="1" applyBorder="1" applyAlignment="1" applyProtection="1">
      <alignment horizontal="right" indent="2"/>
    </xf>
    <xf numFmtId="169" fontId="21" fillId="0" borderId="0" xfId="8" applyNumberFormat="1" applyFont="1" applyFill="1" applyBorder="1" applyAlignment="1" applyProtection="1">
      <alignment horizontal="right" indent="2"/>
    </xf>
    <xf numFmtId="169" fontId="19" fillId="0" borderId="0" xfId="8" applyNumberFormat="1" applyFont="1" applyFill="1" applyBorder="1" applyAlignment="1" applyProtection="1">
      <alignment horizontal="right" indent="2"/>
    </xf>
    <xf numFmtId="169" fontId="20" fillId="0" borderId="23" xfId="8" applyNumberFormat="1" applyFont="1" applyFill="1" applyBorder="1" applyAlignment="1" applyProtection="1">
      <alignment horizontal="right" vertical="center" indent="1"/>
    </xf>
    <xf numFmtId="169" fontId="21" fillId="0" borderId="23" xfId="8" applyNumberFormat="1" applyFont="1" applyFill="1" applyBorder="1" applyAlignment="1" applyProtection="1">
      <alignment horizontal="right" vertical="center" indent="1"/>
    </xf>
    <xf numFmtId="169" fontId="19" fillId="0" borderId="23" xfId="8" applyNumberFormat="1" applyFont="1" applyFill="1" applyBorder="1" applyAlignment="1" applyProtection="1">
      <alignment horizontal="right" vertical="center" indent="1"/>
    </xf>
    <xf numFmtId="169" fontId="21" fillId="0" borderId="0" xfId="8" applyNumberFormat="1" applyFont="1" applyFill="1" applyBorder="1" applyAlignment="1" applyProtection="1">
      <alignment horizontal="right" vertical="center" indent="1"/>
    </xf>
    <xf numFmtId="169" fontId="24" fillId="0" borderId="0" xfId="8" applyNumberFormat="1" applyFont="1" applyFill="1" applyBorder="1" applyAlignment="1" applyProtection="1">
      <alignment horizontal="right" vertical="center" indent="1"/>
    </xf>
    <xf numFmtId="169" fontId="6" fillId="0" borderId="0" xfId="8" applyNumberFormat="1" applyFont="1" applyFill="1"/>
    <xf numFmtId="0" fontId="0" fillId="0" borderId="67" xfId="0" applyBorder="1"/>
    <xf numFmtId="0" fontId="0" fillId="0" borderId="67" xfId="0" applyBorder="1" applyAlignment="1">
      <alignment horizontal="center" vertical="center"/>
    </xf>
    <xf numFmtId="165" fontId="48" fillId="0" borderId="0" xfId="9" applyFont="1" applyProtection="1"/>
    <xf numFmtId="3" fontId="48" fillId="0" borderId="0" xfId="9" applyNumberFormat="1" applyFont="1" applyProtection="1"/>
    <xf numFmtId="0" fontId="47" fillId="0" borderId="0" xfId="0" applyFont="1"/>
    <xf numFmtId="0" fontId="49" fillId="0" borderId="0" xfId="11" applyFont="1" applyProtection="1"/>
    <xf numFmtId="3" fontId="37" fillId="0" borderId="0" xfId="11" applyNumberFormat="1" applyProtection="1"/>
    <xf numFmtId="165" fontId="50" fillId="0" borderId="0" xfId="9" applyFont="1" applyProtection="1"/>
    <xf numFmtId="165" fontId="51" fillId="0" borderId="0" xfId="9" applyFont="1" applyProtection="1">
      <protection hidden="1"/>
    </xf>
    <xf numFmtId="17" fontId="51" fillId="0" borderId="0" xfId="9" applyNumberFormat="1" applyFont="1" applyAlignment="1" applyProtection="1">
      <alignment horizontal="left"/>
      <protection hidden="1"/>
    </xf>
    <xf numFmtId="0" fontId="0" fillId="0" borderId="0" xfId="0" applyProtection="1">
      <protection hidden="1"/>
    </xf>
    <xf numFmtId="165" fontId="26" fillId="7" borderId="49" xfId="0" applyNumberFormat="1" applyFont="1" applyFill="1" applyBorder="1" applyAlignment="1" applyProtection="1">
      <alignment horizontal="center" vertical="center"/>
      <protection hidden="1"/>
    </xf>
    <xf numFmtId="0" fontId="0" fillId="0" borderId="49" xfId="0" applyBorder="1" applyProtection="1">
      <protection hidden="1"/>
    </xf>
    <xf numFmtId="0" fontId="53" fillId="0" borderId="0" xfId="0" applyFont="1"/>
    <xf numFmtId="10" fontId="19" fillId="0" borderId="0" xfId="8" applyNumberFormat="1" applyFont="1" applyFill="1" applyBorder="1" applyAlignment="1" applyProtection="1">
      <alignment horizontal="right" vertical="center" indent="1"/>
      <protection locked="0"/>
    </xf>
    <xf numFmtId="10" fontId="21" fillId="0" borderId="0" xfId="8" applyNumberFormat="1" applyFont="1" applyFill="1" applyBorder="1" applyAlignment="1" applyProtection="1">
      <alignment horizontal="right" vertical="center" indent="1"/>
      <protection locked="0"/>
    </xf>
    <xf numFmtId="10" fontId="6" fillId="0" borderId="0" xfId="8" applyNumberFormat="1" applyFont="1" applyFill="1"/>
    <xf numFmtId="10" fontId="6" fillId="0" borderId="0" xfId="0" applyNumberFormat="1" applyFont="1" applyFill="1"/>
    <xf numFmtId="10" fontId="19" fillId="0" borderId="21" xfId="8" applyNumberFormat="1" applyFont="1" applyFill="1" applyBorder="1" applyAlignment="1" applyProtection="1">
      <alignment horizontal="right" vertical="center" indent="1"/>
    </xf>
    <xf numFmtId="10" fontId="21" fillId="0" borderId="21" xfId="8" applyNumberFormat="1" applyFont="1" applyFill="1" applyBorder="1" applyAlignment="1" applyProtection="1">
      <alignment horizontal="right" vertical="center" indent="1"/>
    </xf>
    <xf numFmtId="10" fontId="19" fillId="0" borderId="21" xfId="6" applyNumberFormat="1" applyFont="1" applyFill="1" applyBorder="1" applyAlignment="1" applyProtection="1">
      <alignment horizontal="right" vertical="center" indent="1"/>
    </xf>
    <xf numFmtId="10" fontId="21" fillId="0" borderId="21" xfId="6" applyNumberFormat="1" applyFont="1" applyFill="1" applyBorder="1" applyAlignment="1" applyProtection="1">
      <alignment horizontal="right" vertical="center" indent="1"/>
    </xf>
    <xf numFmtId="10" fontId="6" fillId="0" borderId="0" xfId="6" applyNumberFormat="1" applyFont="1" applyFill="1"/>
    <xf numFmtId="10" fontId="19" fillId="0" borderId="0" xfId="8" applyNumberFormat="1" applyFont="1" applyFill="1" applyBorder="1" applyAlignment="1" applyProtection="1">
      <alignment horizontal="right" vertical="center" indent="1"/>
    </xf>
    <xf numFmtId="10" fontId="19" fillId="0" borderId="26" xfId="8" applyNumberFormat="1" applyFont="1" applyFill="1" applyBorder="1" applyAlignment="1" applyProtection="1">
      <alignment horizontal="right" vertical="center" indent="1"/>
    </xf>
    <xf numFmtId="10" fontId="22" fillId="0" borderId="0" xfId="0" applyNumberFormat="1" applyFont="1" applyFill="1" applyBorder="1" applyAlignment="1" applyProtection="1">
      <alignment horizontal="left" indent="2"/>
      <protection hidden="1"/>
    </xf>
    <xf numFmtId="10" fontId="23" fillId="0" borderId="0" xfId="0" applyNumberFormat="1" applyFont="1" applyFill="1" applyBorder="1" applyAlignment="1" applyProtection="1">
      <alignment horizontal="left"/>
      <protection hidden="1"/>
    </xf>
    <xf numFmtId="10" fontId="23" fillId="0" borderId="0" xfId="0" applyNumberFormat="1" applyFont="1" applyFill="1" applyBorder="1" applyAlignment="1" applyProtection="1">
      <alignment horizontal="center"/>
      <protection hidden="1"/>
    </xf>
    <xf numFmtId="165" fontId="22" fillId="0" borderId="0" xfId="0" applyNumberFormat="1" applyFont="1" applyFill="1" applyBorder="1" applyAlignment="1" applyProtection="1">
      <alignment horizontal="left" indent="2"/>
      <protection hidden="1"/>
    </xf>
    <xf numFmtId="49" fontId="23" fillId="0" borderId="0" xfId="0" applyNumberFormat="1" applyFont="1" applyFill="1" applyBorder="1" applyAlignment="1" applyProtection="1">
      <alignment horizontal="left"/>
      <protection hidden="1"/>
    </xf>
    <xf numFmtId="49" fontId="23" fillId="0" borderId="0" xfId="0" applyNumberFormat="1" applyFont="1" applyFill="1" applyBorder="1" applyAlignment="1" applyProtection="1">
      <alignment horizontal="center"/>
      <protection hidden="1"/>
    </xf>
    <xf numFmtId="165" fontId="20" fillId="0" borderId="0" xfId="0" applyNumberFormat="1" applyFont="1" applyFill="1" applyBorder="1" applyAlignment="1" applyProtection="1">
      <alignment horizontal="left" vertical="center"/>
      <protection hidden="1"/>
    </xf>
    <xf numFmtId="169" fontId="23" fillId="0" borderId="0" xfId="8" applyNumberFormat="1" applyFont="1" applyFill="1" applyBorder="1" applyAlignment="1" applyProtection="1">
      <alignment horizontal="right" vertical="center" indent="1"/>
    </xf>
    <xf numFmtId="10" fontId="21" fillId="0" borderId="0" xfId="8" applyNumberFormat="1" applyFont="1" applyFill="1" applyBorder="1" applyAlignment="1" applyProtection="1">
      <alignment horizontal="right" vertical="center" indent="1"/>
    </xf>
    <xf numFmtId="165" fontId="21" fillId="0" borderId="0" xfId="0" applyNumberFormat="1" applyFont="1" applyFill="1" applyBorder="1" applyAlignment="1" applyProtection="1">
      <alignment horizontal="left" indent="2"/>
      <protection hidden="1"/>
    </xf>
    <xf numFmtId="49" fontId="19" fillId="0" borderId="0" xfId="0" applyNumberFormat="1" applyFont="1" applyFill="1" applyBorder="1" applyAlignment="1" applyProtection="1">
      <alignment horizontal="left"/>
      <protection hidden="1"/>
    </xf>
    <xf numFmtId="49" fontId="19" fillId="0" borderId="0" xfId="0" applyNumberFormat="1" applyFont="1" applyFill="1" applyBorder="1" applyAlignment="1" applyProtection="1">
      <alignment horizontal="center"/>
      <protection hidden="1"/>
    </xf>
    <xf numFmtId="10" fontId="22" fillId="0" borderId="21" xfId="0" applyNumberFormat="1" applyFont="1" applyFill="1" applyBorder="1" applyAlignment="1" applyProtection="1">
      <alignment horizontal="left" indent="2"/>
      <protection hidden="1"/>
    </xf>
    <xf numFmtId="10" fontId="23" fillId="0" borderId="21" xfId="0" applyNumberFormat="1" applyFont="1" applyFill="1" applyBorder="1" applyAlignment="1" applyProtection="1">
      <alignment horizontal="left"/>
      <protection hidden="1"/>
    </xf>
    <xf numFmtId="10" fontId="23" fillId="0" borderId="21" xfId="0" applyNumberFormat="1" applyFont="1" applyFill="1" applyBorder="1" applyAlignment="1" applyProtection="1">
      <alignment horizontal="center"/>
      <protection hidden="1"/>
    </xf>
    <xf numFmtId="165" fontId="24" fillId="0" borderId="0" xfId="0" applyNumberFormat="1" applyFont="1" applyFill="1" applyBorder="1" applyAlignment="1" applyProtection="1">
      <alignment horizontal="left" indent="4"/>
      <protection hidden="1"/>
    </xf>
    <xf numFmtId="10" fontId="22" fillId="0" borderId="21" xfId="6" applyNumberFormat="1" applyFont="1" applyFill="1" applyBorder="1" applyAlignment="1" applyProtection="1">
      <alignment horizontal="left" indent="2"/>
      <protection hidden="1"/>
    </xf>
    <xf numFmtId="10" fontId="23" fillId="0" borderId="21" xfId="6" applyNumberFormat="1" applyFont="1" applyFill="1" applyBorder="1" applyAlignment="1" applyProtection="1">
      <alignment horizontal="left"/>
      <protection hidden="1"/>
    </xf>
    <xf numFmtId="10" fontId="23" fillId="0" borderId="21" xfId="6" applyNumberFormat="1" applyFont="1" applyFill="1" applyBorder="1" applyAlignment="1" applyProtection="1">
      <alignment horizontal="center"/>
      <protection hidden="1"/>
    </xf>
    <xf numFmtId="169" fontId="23" fillId="0" borderId="0" xfId="8" applyNumberFormat="1" applyFont="1" applyFill="1" applyBorder="1" applyAlignment="1" applyProtection="1">
      <alignment horizontal="right" vertical="center" indent="1"/>
      <protection locked="0"/>
    </xf>
    <xf numFmtId="169" fontId="21" fillId="0" borderId="0" xfId="8" applyNumberFormat="1" applyFont="1" applyFill="1" applyBorder="1" applyAlignment="1" applyProtection="1">
      <alignment horizontal="right" vertical="center" indent="1"/>
      <protection locked="0"/>
    </xf>
    <xf numFmtId="165" fontId="24" fillId="0" borderId="0" xfId="0" applyNumberFormat="1" applyFont="1" applyFill="1" applyBorder="1" applyAlignment="1" applyProtection="1">
      <alignment horizontal="left" indent="2"/>
      <protection hidden="1"/>
    </xf>
    <xf numFmtId="169" fontId="21" fillId="0" borderId="25" xfId="8" applyNumberFormat="1" applyFont="1" applyFill="1" applyBorder="1" applyAlignment="1" applyProtection="1">
      <alignment horizontal="right" vertical="center" indent="1"/>
      <protection locked="0"/>
    </xf>
    <xf numFmtId="169" fontId="23" fillId="0" borderId="25" xfId="8" applyNumberFormat="1" applyFont="1" applyFill="1" applyBorder="1" applyAlignment="1" applyProtection="1">
      <alignment horizontal="right" vertical="center" indent="1"/>
      <protection locked="0"/>
    </xf>
    <xf numFmtId="165" fontId="22" fillId="0" borderId="21" xfId="0" applyNumberFormat="1" applyFont="1" applyFill="1" applyBorder="1" applyAlignment="1" applyProtection="1">
      <alignment horizontal="left" indent="2"/>
      <protection hidden="1"/>
    </xf>
    <xf numFmtId="49" fontId="23" fillId="0" borderId="21" xfId="0" applyNumberFormat="1" applyFont="1" applyFill="1" applyBorder="1" applyAlignment="1" applyProtection="1">
      <alignment horizontal="left"/>
      <protection hidden="1"/>
    </xf>
    <xf numFmtId="49" fontId="23" fillId="0" borderId="21" xfId="0" applyNumberFormat="1" applyFont="1" applyFill="1" applyBorder="1" applyAlignment="1" applyProtection="1">
      <alignment horizontal="center"/>
      <protection hidden="1"/>
    </xf>
    <xf numFmtId="10" fontId="22" fillId="0" borderId="26" xfId="0" applyNumberFormat="1" applyFont="1" applyFill="1" applyBorder="1" applyAlignment="1" applyProtection="1">
      <alignment horizontal="left" indent="2"/>
      <protection hidden="1"/>
    </xf>
    <xf numFmtId="10" fontId="23" fillId="0" borderId="26" xfId="0" applyNumberFormat="1" applyFont="1" applyFill="1" applyBorder="1" applyAlignment="1" applyProtection="1">
      <alignment horizontal="left"/>
      <protection hidden="1"/>
    </xf>
    <xf numFmtId="10" fontId="23" fillId="0" borderId="26" xfId="0" applyNumberFormat="1" applyFont="1" applyFill="1" applyBorder="1" applyAlignment="1" applyProtection="1">
      <alignment horizontal="center"/>
      <protection hidden="1"/>
    </xf>
    <xf numFmtId="165" fontId="24" fillId="0" borderId="0" xfId="0" applyNumberFormat="1" applyFont="1" applyFill="1" applyBorder="1" applyAlignment="1" applyProtection="1">
      <alignment horizontal="left"/>
      <protection hidden="1"/>
    </xf>
    <xf numFmtId="49" fontId="21" fillId="0" borderId="0" xfId="0" applyNumberFormat="1" applyFont="1" applyFill="1" applyBorder="1" applyAlignment="1" applyProtection="1">
      <alignment horizontal="center"/>
      <protection hidden="1"/>
    </xf>
    <xf numFmtId="0" fontId="6" fillId="0" borderId="0" xfId="0" applyFont="1" applyFill="1" applyProtection="1">
      <protection hidden="1"/>
    </xf>
    <xf numFmtId="49" fontId="6" fillId="0" borderId="0" xfId="0" applyNumberFormat="1" applyFont="1" applyFill="1" applyAlignment="1" applyProtection="1">
      <alignment horizontal="left"/>
      <protection hidden="1"/>
    </xf>
    <xf numFmtId="49" fontId="6" fillId="0" borderId="0" xfId="0" applyNumberFormat="1" applyFont="1" applyFill="1" applyAlignment="1" applyProtection="1">
      <alignment horizontal="center"/>
      <protection hidden="1"/>
    </xf>
    <xf numFmtId="165" fontId="20" fillId="9" borderId="0" xfId="0" applyNumberFormat="1" applyFont="1" applyFill="1" applyBorder="1" applyAlignment="1" applyProtection="1">
      <alignment horizontal="left" vertical="center"/>
      <protection hidden="1"/>
    </xf>
    <xf numFmtId="49" fontId="23" fillId="9" borderId="0" xfId="0" applyNumberFormat="1" applyFont="1" applyFill="1" applyBorder="1" applyAlignment="1" applyProtection="1">
      <alignment horizontal="left"/>
      <protection hidden="1"/>
    </xf>
    <xf numFmtId="49" fontId="23" fillId="9" borderId="0" xfId="0" applyNumberFormat="1" applyFont="1" applyFill="1" applyBorder="1" applyAlignment="1" applyProtection="1">
      <alignment horizontal="center"/>
      <protection hidden="1"/>
    </xf>
    <xf numFmtId="169" fontId="23" fillId="9" borderId="0" xfId="8" applyNumberFormat="1" applyFont="1" applyFill="1" applyBorder="1" applyAlignment="1" applyProtection="1">
      <alignment horizontal="right" vertical="center" indent="1"/>
    </xf>
    <xf numFmtId="169" fontId="21" fillId="9" borderId="0" xfId="8" applyNumberFormat="1" applyFont="1" applyFill="1" applyBorder="1" applyAlignment="1" applyProtection="1">
      <alignment horizontal="right" vertical="center" indent="1"/>
    </xf>
    <xf numFmtId="169" fontId="19" fillId="9" borderId="0" xfId="8" applyNumberFormat="1" applyFont="1" applyFill="1" applyBorder="1" applyAlignment="1" applyProtection="1">
      <alignment horizontal="right" vertical="center" indent="1"/>
    </xf>
    <xf numFmtId="49" fontId="54" fillId="9" borderId="17" xfId="0" applyNumberFormat="1" applyFont="1" applyFill="1" applyBorder="1" applyAlignment="1" applyProtection="1">
      <alignment horizontal="left"/>
      <protection hidden="1"/>
    </xf>
    <xf numFmtId="49" fontId="54" fillId="9" borderId="17" xfId="0" applyNumberFormat="1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165" fontId="26" fillId="4" borderId="15" xfId="0" applyNumberFormat="1" applyFont="1" applyFill="1" applyBorder="1" applyAlignment="1" applyProtection="1">
      <alignment horizontal="center" vertical="center"/>
      <protection hidden="1"/>
    </xf>
    <xf numFmtId="165" fontId="26" fillId="6" borderId="15" xfId="0" applyNumberFormat="1" applyFont="1" applyFill="1" applyBorder="1" applyAlignment="1" applyProtection="1">
      <alignment horizontal="center" vertical="center"/>
      <protection hidden="1"/>
    </xf>
    <xf numFmtId="169" fontId="6" fillId="0" borderId="0" xfId="8" applyNumberFormat="1" applyFont="1" applyAlignment="1" applyProtection="1">
      <alignment horizontal="center"/>
      <protection hidden="1"/>
    </xf>
    <xf numFmtId="169" fontId="6" fillId="0" borderId="0" xfId="8" applyNumberFormat="1" applyFont="1" applyFill="1" applyAlignment="1" applyProtection="1">
      <alignment horizontal="center"/>
      <protection hidden="1"/>
    </xf>
    <xf numFmtId="170" fontId="56" fillId="8" borderId="69" xfId="7" applyNumberFormat="1" applyFont="1" applyFill="1" applyBorder="1" applyAlignment="1" applyProtection="1">
      <alignment horizontal="right" vertical="center" indent="1"/>
    </xf>
    <xf numFmtId="170" fontId="60" fillId="8" borderId="18" xfId="7" applyNumberFormat="1" applyFont="1" applyFill="1" applyBorder="1" applyAlignment="1" applyProtection="1">
      <alignment horizontal="right" vertical="center" indent="1"/>
    </xf>
    <xf numFmtId="170" fontId="60" fillId="8" borderId="17" xfId="7" applyNumberFormat="1" applyFont="1" applyFill="1" applyBorder="1" applyAlignment="1" applyProtection="1">
      <alignment horizontal="right" vertical="center" indent="1"/>
    </xf>
    <xf numFmtId="170" fontId="60" fillId="8" borderId="19" xfId="7" applyNumberFormat="1" applyFont="1" applyFill="1" applyBorder="1" applyAlignment="1" applyProtection="1">
      <alignment horizontal="right" vertical="center" indent="1"/>
    </xf>
    <xf numFmtId="170" fontId="60" fillId="8" borderId="70" xfId="7" applyNumberFormat="1" applyFont="1" applyFill="1" applyBorder="1" applyAlignment="1" applyProtection="1">
      <alignment horizontal="right" vertical="center" indent="1"/>
    </xf>
    <xf numFmtId="170" fontId="60" fillId="8" borderId="0" xfId="7" applyNumberFormat="1" applyFont="1" applyFill="1" applyBorder="1" applyAlignment="1" applyProtection="1">
      <alignment horizontal="right" vertical="center" indent="1"/>
    </xf>
    <xf numFmtId="170" fontId="56" fillId="8" borderId="71" xfId="7" applyNumberFormat="1" applyFont="1" applyFill="1" applyBorder="1" applyAlignment="1" applyProtection="1">
      <alignment horizontal="right" vertical="center" indent="1"/>
    </xf>
    <xf numFmtId="170" fontId="56" fillId="8" borderId="72" xfId="7" applyNumberFormat="1" applyFont="1" applyFill="1" applyBorder="1" applyAlignment="1" applyProtection="1">
      <alignment horizontal="right" vertical="center" indent="1"/>
    </xf>
    <xf numFmtId="170" fontId="56" fillId="8" borderId="73" xfId="7" applyNumberFormat="1" applyFont="1" applyFill="1" applyBorder="1" applyAlignment="1" applyProtection="1">
      <alignment horizontal="right" vertical="center" indent="1"/>
    </xf>
    <xf numFmtId="170" fontId="56" fillId="8" borderId="74" xfId="7" applyNumberFormat="1" applyFont="1" applyFill="1" applyBorder="1" applyAlignment="1" applyProtection="1">
      <alignment horizontal="right" vertical="center" indent="1"/>
    </xf>
    <xf numFmtId="165" fontId="58" fillId="7" borderId="16" xfId="0" applyNumberFormat="1" applyFont="1" applyFill="1" applyBorder="1" applyAlignment="1" applyProtection="1">
      <alignment horizontal="center" vertical="center"/>
    </xf>
    <xf numFmtId="166" fontId="58" fillId="7" borderId="15" xfId="0" applyNumberFormat="1" applyFont="1" applyFill="1" applyBorder="1" applyAlignment="1" applyProtection="1">
      <alignment horizontal="center" vertical="center"/>
    </xf>
    <xf numFmtId="0" fontId="0" fillId="0" borderId="0" xfId="0" applyProtection="1"/>
    <xf numFmtId="165" fontId="57" fillId="0" borderId="0" xfId="0" applyNumberFormat="1" applyFont="1" applyFill="1" applyBorder="1" applyAlignment="1" applyProtection="1">
      <alignment horizontal="left" indent="2"/>
    </xf>
    <xf numFmtId="165" fontId="55" fillId="3" borderId="0" xfId="0" applyNumberFormat="1" applyFont="1" applyFill="1" applyProtection="1"/>
    <xf numFmtId="165" fontId="56" fillId="3" borderId="0" xfId="0" applyNumberFormat="1" applyFont="1" applyFill="1" applyBorder="1" applyAlignment="1" applyProtection="1">
      <alignment vertical="center"/>
    </xf>
    <xf numFmtId="165" fontId="56" fillId="3" borderId="0" xfId="0" applyNumberFormat="1" applyFont="1" applyFill="1" applyBorder="1" applyProtection="1"/>
    <xf numFmtId="3" fontId="35" fillId="0" borderId="0" xfId="9" applyNumberFormat="1" applyFont="1" applyFill="1" applyBorder="1" applyAlignment="1" applyProtection="1">
      <alignment horizontal="right" indent="1"/>
    </xf>
    <xf numFmtId="165" fontId="19" fillId="0" borderId="0" xfId="9" applyFont="1" applyBorder="1" applyProtection="1"/>
    <xf numFmtId="165" fontId="30" fillId="0" borderId="0" xfId="9" applyFont="1" applyProtection="1"/>
    <xf numFmtId="2" fontId="19" fillId="0" borderId="0" xfId="9" applyNumberFormat="1" applyFont="1" applyBorder="1" applyProtection="1"/>
    <xf numFmtId="3" fontId="35" fillId="0" borderId="0" xfId="12" applyNumberFormat="1" applyFont="1" applyFill="1" applyBorder="1" applyAlignment="1" applyProtection="1">
      <alignment vertical="top"/>
    </xf>
    <xf numFmtId="3" fontId="65" fillId="0" borderId="0" xfId="9" applyNumberFormat="1" applyFont="1" applyFill="1" applyBorder="1" applyAlignment="1" applyProtection="1">
      <alignment horizontal="right" indent="1"/>
    </xf>
    <xf numFmtId="165" fontId="30" fillId="0" borderId="0" xfId="9" applyFont="1" applyProtection="1">
      <protection hidden="1"/>
    </xf>
    <xf numFmtId="2" fontId="30" fillId="0" borderId="0" xfId="9" applyNumberFormat="1" applyFont="1" applyFill="1" applyProtection="1">
      <protection hidden="1"/>
    </xf>
    <xf numFmtId="165" fontId="30" fillId="0" borderId="0" xfId="9" applyFont="1" applyFill="1" applyProtection="1">
      <protection hidden="1"/>
    </xf>
    <xf numFmtId="165" fontId="30" fillId="0" borderId="0" xfId="9" applyFont="1" applyFill="1" applyProtection="1"/>
    <xf numFmtId="165" fontId="30" fillId="0" borderId="0" xfId="9" applyFont="1" applyBorder="1" applyProtection="1"/>
    <xf numFmtId="165" fontId="29" fillId="8" borderId="0" xfId="0" applyNumberFormat="1" applyFont="1" applyFill="1" applyBorder="1" applyAlignment="1" applyProtection="1">
      <alignment horizontal="left"/>
      <protection hidden="1"/>
    </xf>
    <xf numFmtId="165" fontId="52" fillId="8" borderId="29" xfId="0" applyNumberFormat="1" applyFont="1" applyFill="1" applyBorder="1" applyProtection="1">
      <protection hidden="1"/>
    </xf>
    <xf numFmtId="165" fontId="34" fillId="0" borderId="0" xfId="0" applyNumberFormat="1" applyFont="1" applyBorder="1" applyProtection="1">
      <protection hidden="1"/>
    </xf>
    <xf numFmtId="165" fontId="59" fillId="0" borderId="0" xfId="0" applyNumberFormat="1" applyFont="1" applyProtection="1">
      <protection hidden="1"/>
    </xf>
    <xf numFmtId="165" fontId="58" fillId="7" borderId="15" xfId="0" applyNumberFormat="1" applyFont="1" applyFill="1" applyBorder="1" applyAlignment="1" applyProtection="1">
      <alignment horizontal="left" vertical="center"/>
      <protection hidden="1"/>
    </xf>
    <xf numFmtId="165" fontId="63" fillId="17" borderId="15" xfId="0" applyNumberFormat="1" applyFont="1" applyFill="1" applyBorder="1" applyAlignment="1" applyProtection="1">
      <alignment horizontal="left" vertical="center"/>
      <protection hidden="1"/>
    </xf>
    <xf numFmtId="165" fontId="63" fillId="17" borderId="68" xfId="0" applyNumberFormat="1" applyFont="1" applyFill="1" applyBorder="1" applyAlignment="1" applyProtection="1">
      <alignment horizontal="left" vertical="center"/>
      <protection hidden="1"/>
    </xf>
    <xf numFmtId="165" fontId="57" fillId="0" borderId="0" xfId="0" applyNumberFormat="1" applyFont="1" applyBorder="1" applyAlignment="1" applyProtection="1">
      <alignment horizontal="left" indent="2"/>
      <protection hidden="1"/>
    </xf>
    <xf numFmtId="165" fontId="60" fillId="0" borderId="17" xfId="0" applyNumberFormat="1" applyFont="1" applyFill="1" applyBorder="1" applyAlignment="1" applyProtection="1">
      <alignment horizontal="left" vertical="center"/>
      <protection hidden="1"/>
    </xf>
    <xf numFmtId="165" fontId="56" fillId="0" borderId="17" xfId="0" applyNumberFormat="1" applyFont="1" applyFill="1" applyBorder="1" applyAlignment="1" applyProtection="1">
      <alignment horizontal="left" vertical="center"/>
      <protection hidden="1"/>
    </xf>
    <xf numFmtId="165" fontId="60" fillId="0" borderId="0" xfId="0" applyNumberFormat="1" applyFont="1" applyFill="1" applyBorder="1" applyAlignment="1" applyProtection="1">
      <alignment horizontal="left" vertical="center"/>
      <protection hidden="1"/>
    </xf>
    <xf numFmtId="165" fontId="56" fillId="0" borderId="0" xfId="0" applyNumberFormat="1" applyFont="1" applyFill="1" applyBorder="1" applyAlignment="1" applyProtection="1">
      <alignment horizontal="left" vertical="center"/>
      <protection hidden="1"/>
    </xf>
    <xf numFmtId="165" fontId="56" fillId="0" borderId="69" xfId="0" applyNumberFormat="1" applyFont="1" applyBorder="1" applyAlignment="1" applyProtection="1">
      <alignment horizontal="left"/>
      <protection hidden="1"/>
    </xf>
    <xf numFmtId="165" fontId="61" fillId="0" borderId="69" xfId="0" applyNumberFormat="1" applyFont="1" applyBorder="1" applyAlignment="1" applyProtection="1">
      <alignment horizontal="left" indent="2"/>
      <protection hidden="1"/>
    </xf>
    <xf numFmtId="1" fontId="52" fillId="8" borderId="29" xfId="0" applyNumberFormat="1" applyFont="1" applyFill="1" applyBorder="1" applyProtection="1">
      <protection hidden="1"/>
    </xf>
    <xf numFmtId="0" fontId="64" fillId="0" borderId="0" xfId="0" applyFont="1" applyProtection="1">
      <protection hidden="1"/>
    </xf>
    <xf numFmtId="165" fontId="62" fillId="3" borderId="0" xfId="0" applyNumberFormat="1" applyFont="1" applyFill="1" applyProtection="1">
      <protection hidden="1"/>
    </xf>
    <xf numFmtId="0" fontId="38" fillId="11" borderId="48" xfId="9" applyNumberFormat="1" applyFont="1" applyFill="1" applyBorder="1" applyAlignment="1" applyProtection="1">
      <alignment horizontal="left" vertical="center"/>
      <protection locked="0"/>
    </xf>
    <xf numFmtId="0" fontId="38" fillId="11" borderId="48" xfId="9" applyNumberFormat="1" applyFont="1" applyFill="1" applyBorder="1" applyAlignment="1" applyProtection="1">
      <alignment horizontal="right" vertical="center"/>
      <protection locked="0"/>
    </xf>
    <xf numFmtId="165" fontId="51" fillId="0" borderId="0" xfId="9" applyFont="1" applyBorder="1" applyProtection="1">
      <protection hidden="1"/>
    </xf>
    <xf numFmtId="2" fontId="51" fillId="0" borderId="0" xfId="9" applyNumberFormat="1" applyFont="1" applyFill="1" applyBorder="1" applyAlignment="1" applyProtection="1">
      <alignment horizontal="right" indent="1"/>
      <protection hidden="1"/>
    </xf>
    <xf numFmtId="9" fontId="66" fillId="0" borderId="0" xfId="12" applyFont="1" applyFill="1" applyBorder="1" applyAlignment="1" applyProtection="1">
      <alignment horizontal="right" indent="1"/>
      <protection hidden="1"/>
    </xf>
    <xf numFmtId="49" fontId="51" fillId="0" borderId="0" xfId="9" applyNumberFormat="1" applyFont="1" applyFill="1" applyBorder="1" applyProtection="1">
      <protection hidden="1"/>
    </xf>
    <xf numFmtId="165" fontId="51" fillId="0" borderId="0" xfId="9" applyFont="1" applyFill="1" applyBorder="1" applyProtection="1">
      <protection hidden="1"/>
    </xf>
    <xf numFmtId="165" fontId="51" fillId="0" borderId="0" xfId="9" applyFont="1" applyBorder="1" applyAlignment="1" applyProtection="1">
      <alignment horizontal="center"/>
      <protection hidden="1"/>
    </xf>
    <xf numFmtId="165" fontId="51" fillId="0" borderId="0" xfId="9" applyFont="1" applyBorder="1" applyAlignment="1" applyProtection="1">
      <alignment horizontal="right"/>
      <protection hidden="1"/>
    </xf>
    <xf numFmtId="17" fontId="51" fillId="0" borderId="0" xfId="9" applyNumberFormat="1" applyFont="1" applyBorder="1" applyAlignment="1" applyProtection="1">
      <alignment horizontal="left"/>
      <protection hidden="1"/>
    </xf>
    <xf numFmtId="49" fontId="23" fillId="9" borderId="17" xfId="0" applyNumberFormat="1" applyFont="1" applyFill="1" applyBorder="1" applyAlignment="1" applyProtection="1">
      <alignment horizontal="left"/>
      <protection hidden="1"/>
    </xf>
    <xf numFmtId="49" fontId="23" fillId="9" borderId="17" xfId="0" applyNumberFormat="1" applyFont="1" applyFill="1" applyBorder="1" applyAlignment="1" applyProtection="1">
      <alignment horizontal="center"/>
      <protection hidden="1"/>
    </xf>
    <xf numFmtId="165" fontId="38" fillId="0" borderId="0" xfId="9" applyNumberFormat="1" applyFont="1" applyProtection="1"/>
    <xf numFmtId="165" fontId="38" fillId="0" borderId="61" xfId="9" applyNumberFormat="1" applyFont="1" applyBorder="1" applyAlignment="1" applyProtection="1">
      <alignment horizontal="right" indent="1"/>
    </xf>
    <xf numFmtId="165" fontId="38" fillId="11" borderId="61" xfId="9" applyNumberFormat="1" applyFont="1" applyFill="1" applyBorder="1" applyAlignment="1" applyProtection="1">
      <alignment horizontal="right" indent="1"/>
      <protection locked="0"/>
    </xf>
    <xf numFmtId="165" fontId="45" fillId="11" borderId="61" xfId="12" applyNumberFormat="1" applyFont="1" applyFill="1" applyBorder="1" applyAlignment="1" applyProtection="1">
      <alignment horizontal="right" indent="1"/>
      <protection locked="0"/>
    </xf>
    <xf numFmtId="169" fontId="6" fillId="0" borderId="0" xfId="8" applyNumberFormat="1" applyFont="1" applyAlignment="1" applyProtection="1">
      <protection hidden="1"/>
    </xf>
    <xf numFmtId="169" fontId="21" fillId="0" borderId="0" xfId="8" applyNumberFormat="1" applyFont="1" applyFill="1" applyBorder="1" applyAlignment="1" applyProtection="1"/>
    <xf numFmtId="169" fontId="20" fillId="9" borderId="18" xfId="8" applyNumberFormat="1" applyFont="1" applyFill="1" applyBorder="1" applyAlignment="1" applyProtection="1">
      <alignment vertical="center"/>
    </xf>
    <xf numFmtId="169" fontId="19" fillId="0" borderId="19" xfId="8" applyNumberFormat="1" applyFont="1" applyFill="1" applyBorder="1" applyAlignment="1" applyProtection="1">
      <alignment vertical="center"/>
    </xf>
    <xf numFmtId="169" fontId="21" fillId="0" borderId="19" xfId="8" applyNumberFormat="1" applyFont="1" applyFill="1" applyBorder="1" applyAlignment="1" applyProtection="1"/>
    <xf numFmtId="169" fontId="23" fillId="9" borderId="19" xfId="8" applyNumberFormat="1" applyFont="1" applyFill="1" applyBorder="1" applyAlignment="1" applyProtection="1">
      <alignment vertical="center"/>
    </xf>
    <xf numFmtId="169" fontId="21" fillId="0" borderId="20" xfId="8" applyNumberFormat="1" applyFont="1" applyFill="1" applyBorder="1" applyAlignment="1" applyProtection="1"/>
    <xf numFmtId="169" fontId="19" fillId="0" borderId="22" xfId="8" applyNumberFormat="1" applyFont="1" applyFill="1" applyBorder="1" applyAlignment="1" applyProtection="1">
      <alignment vertical="center"/>
    </xf>
    <xf numFmtId="169" fontId="24" fillId="0" borderId="19" xfId="8" applyNumberFormat="1" applyFont="1" applyFill="1" applyBorder="1" applyAlignment="1" applyProtection="1"/>
    <xf numFmtId="169" fontId="23" fillId="0" borderId="19" xfId="8" applyNumberFormat="1" applyFont="1" applyFill="1" applyBorder="1" applyAlignment="1" applyProtection="1">
      <alignment vertical="center"/>
    </xf>
    <xf numFmtId="169" fontId="20" fillId="0" borderId="24" xfId="8" applyNumberFormat="1" applyFont="1" applyFill="1" applyBorder="1" applyAlignment="1" applyProtection="1">
      <alignment vertical="center"/>
    </xf>
    <xf numFmtId="169" fontId="20" fillId="0" borderId="18" xfId="8" applyNumberFormat="1" applyFont="1" applyFill="1" applyBorder="1" applyAlignment="1" applyProtection="1">
      <alignment vertical="center"/>
    </xf>
    <xf numFmtId="169" fontId="19" fillId="0" borderId="22" xfId="6" applyNumberFormat="1" applyFont="1" applyFill="1" applyBorder="1" applyAlignment="1" applyProtection="1">
      <alignment vertical="center"/>
    </xf>
    <xf numFmtId="169" fontId="24" fillId="0" borderId="19" xfId="8" applyNumberFormat="1" applyFont="1" applyFill="1" applyBorder="1" applyAlignment="1" applyProtection="1">
      <alignment vertical="center"/>
    </xf>
    <xf numFmtId="169" fontId="23" fillId="0" borderId="20" xfId="8" applyNumberFormat="1" applyFont="1" applyFill="1" applyBorder="1" applyAlignment="1" applyProtection="1">
      <alignment vertical="center"/>
    </xf>
    <xf numFmtId="169" fontId="19" fillId="0" borderId="27" xfId="8" applyNumberFormat="1" applyFont="1" applyFill="1" applyBorder="1" applyAlignment="1" applyProtection="1">
      <alignment vertical="center"/>
    </xf>
    <xf numFmtId="169" fontId="24" fillId="0" borderId="16" xfId="8" applyNumberFormat="1" applyFont="1" applyFill="1" applyBorder="1" applyAlignment="1" applyProtection="1"/>
    <xf numFmtId="169" fontId="6" fillId="0" borderId="0" xfId="8" applyNumberFormat="1" applyFont="1" applyFill="1" applyAlignment="1"/>
    <xf numFmtId="0" fontId="6" fillId="0" borderId="0" xfId="0" applyFont="1" applyAlignment="1"/>
    <xf numFmtId="165" fontId="25" fillId="7" borderId="15" xfId="0" applyNumberFormat="1" applyFont="1" applyFill="1" applyBorder="1" applyAlignment="1" applyProtection="1">
      <alignment horizontal="center" vertical="center"/>
      <protection hidden="1"/>
    </xf>
    <xf numFmtId="0" fontId="6" fillId="0" borderId="0" xfId="0" applyFont="1" applyFill="1" applyAlignment="1">
      <alignment horizontal="center"/>
    </xf>
    <xf numFmtId="0" fontId="14" fillId="5" borderId="13" xfId="0" applyFont="1" applyFill="1" applyBorder="1" applyAlignment="1">
      <alignment horizontal="center" vertical="center"/>
    </xf>
    <xf numFmtId="167" fontId="21" fillId="10" borderId="0" xfId="6" applyNumberFormat="1" applyFont="1" applyFill="1" applyBorder="1" applyAlignment="1" applyProtection="1">
      <alignment horizontal="center" vertical="center"/>
    </xf>
    <xf numFmtId="0" fontId="35" fillId="8" borderId="0" xfId="0" applyFont="1" applyFill="1" applyBorder="1" applyAlignment="1" applyProtection="1">
      <alignment horizontal="right" vertical="justify" textRotation="90" wrapText="1"/>
    </xf>
    <xf numFmtId="0" fontId="35" fillId="8" borderId="0" xfId="0" applyFont="1" applyFill="1" applyBorder="1" applyAlignment="1" applyProtection="1">
      <alignment horizontal="right" vertical="justify" textRotation="90"/>
    </xf>
    <xf numFmtId="0" fontId="33" fillId="0" borderId="0" xfId="0" applyFont="1" applyBorder="1" applyAlignment="1" applyProtection="1">
      <alignment horizontal="center"/>
    </xf>
    <xf numFmtId="3" fontId="21" fillId="10" borderId="32" xfId="0" applyNumberFormat="1" applyFont="1" applyFill="1" applyBorder="1" applyAlignment="1" applyProtection="1">
      <alignment horizontal="center" vertical="center"/>
    </xf>
    <xf numFmtId="3" fontId="21" fillId="10" borderId="33" xfId="0" applyNumberFormat="1" applyFont="1" applyFill="1" applyBorder="1" applyAlignment="1" applyProtection="1">
      <alignment horizontal="center" vertical="center"/>
    </xf>
    <xf numFmtId="3" fontId="21" fillId="10" borderId="34" xfId="0" applyNumberFormat="1" applyFont="1" applyFill="1" applyBorder="1" applyAlignment="1" applyProtection="1">
      <alignment horizontal="center" vertical="center"/>
    </xf>
    <xf numFmtId="3" fontId="21" fillId="10" borderId="35" xfId="0" applyNumberFormat="1" applyFont="1" applyFill="1" applyBorder="1" applyAlignment="1" applyProtection="1">
      <alignment horizontal="center" vertical="center"/>
    </xf>
    <xf numFmtId="3" fontId="21" fillId="10" borderId="0" xfId="0" applyNumberFormat="1" applyFont="1" applyFill="1" applyBorder="1" applyAlignment="1" applyProtection="1">
      <alignment horizontal="center" vertical="center"/>
    </xf>
    <xf numFmtId="0" fontId="21" fillId="10" borderId="0" xfId="0" applyFont="1" applyFill="1" applyBorder="1" applyAlignment="1" applyProtection="1">
      <alignment horizontal="center" vertical="center"/>
    </xf>
    <xf numFmtId="0" fontId="32" fillId="8" borderId="0" xfId="0" applyFont="1" applyFill="1" applyBorder="1" applyAlignment="1" applyProtection="1">
      <alignment horizontal="center" vertical="center" wrapText="1"/>
    </xf>
    <xf numFmtId="0" fontId="31" fillId="10" borderId="30" xfId="0" applyFont="1" applyFill="1" applyBorder="1" applyAlignment="1" applyProtection="1">
      <alignment horizontal="center"/>
    </xf>
    <xf numFmtId="0" fontId="31" fillId="10" borderId="31" xfId="0" applyFont="1" applyFill="1" applyBorder="1" applyAlignment="1" applyProtection="1">
      <alignment horizontal="center"/>
    </xf>
    <xf numFmtId="0" fontId="31" fillId="10" borderId="0" xfId="0" applyFont="1" applyFill="1" applyBorder="1" applyAlignment="1" applyProtection="1">
      <alignment horizontal="center"/>
    </xf>
    <xf numFmtId="0" fontId="34" fillId="8" borderId="0" xfId="0" applyFont="1" applyFill="1" applyBorder="1" applyAlignment="1" applyProtection="1">
      <alignment horizontal="left" vertical="center"/>
    </xf>
    <xf numFmtId="0" fontId="21" fillId="10" borderId="32" xfId="0" applyFont="1" applyFill="1" applyBorder="1" applyAlignment="1" applyProtection="1">
      <alignment horizontal="center" vertical="center"/>
    </xf>
    <xf numFmtId="0" fontId="21" fillId="10" borderId="33" xfId="0" applyFont="1" applyFill="1" applyBorder="1" applyAlignment="1" applyProtection="1">
      <alignment horizontal="center" vertical="center"/>
    </xf>
    <xf numFmtId="0" fontId="21" fillId="10" borderId="34" xfId="0" applyFont="1" applyFill="1" applyBorder="1" applyAlignment="1" applyProtection="1">
      <alignment horizontal="center" vertical="center"/>
    </xf>
    <xf numFmtId="0" fontId="21" fillId="10" borderId="35" xfId="0" applyFont="1" applyFill="1" applyBorder="1" applyAlignment="1" applyProtection="1">
      <alignment horizontal="center" vertical="center"/>
    </xf>
    <xf numFmtId="167" fontId="21" fillId="10" borderId="32" xfId="0" applyNumberFormat="1" applyFont="1" applyFill="1" applyBorder="1" applyAlignment="1" applyProtection="1">
      <alignment horizontal="center" vertical="center"/>
    </xf>
    <xf numFmtId="167" fontId="21" fillId="10" borderId="33" xfId="0" applyNumberFormat="1" applyFont="1" applyFill="1" applyBorder="1" applyAlignment="1" applyProtection="1">
      <alignment horizontal="center" vertical="center"/>
    </xf>
    <xf numFmtId="167" fontId="21" fillId="10" borderId="34" xfId="0" applyNumberFormat="1" applyFont="1" applyFill="1" applyBorder="1" applyAlignment="1" applyProtection="1">
      <alignment horizontal="center" vertical="center"/>
    </xf>
    <xf numFmtId="167" fontId="21" fillId="10" borderId="35" xfId="0" applyNumberFormat="1" applyFont="1" applyFill="1" applyBorder="1" applyAlignment="1" applyProtection="1">
      <alignment horizontal="center" vertical="center"/>
    </xf>
    <xf numFmtId="165" fontId="38" fillId="15" borderId="0" xfId="9" quotePrefix="1" applyFont="1" applyFill="1" applyBorder="1" applyAlignment="1" applyProtection="1">
      <alignment horizontal="center" vertical="top"/>
    </xf>
    <xf numFmtId="9" fontId="0" fillId="0" borderId="67" xfId="6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26" fillId="7" borderId="15" xfId="0" applyNumberFormat="1" applyFont="1" applyFill="1" applyBorder="1" applyAlignment="1" applyProtection="1">
      <alignment horizontal="center" vertical="center"/>
      <protection hidden="1"/>
    </xf>
  </cellXfs>
  <cellStyles count="15">
    <cellStyle name="Comma" xfId="8" builtinId="3"/>
    <cellStyle name="Hyperlink" xfId="2" builtinId="8"/>
    <cellStyle name="Hyperlink 2" xfId="10"/>
    <cellStyle name="Milliers_GO LIVE MODEL" xfId="7"/>
    <cellStyle name="Normal" xfId="0" builtinId="0"/>
    <cellStyle name="Normal 2" xfId="1"/>
    <cellStyle name="Normal 2 2" xfId="3"/>
    <cellStyle name="Normal 3" xfId="11"/>
    <cellStyle name="normální 2" xfId="9"/>
    <cellStyle name="Percent" xfId="6" builtinId="5"/>
    <cellStyle name="Percent 2" xfId="13"/>
    <cellStyle name="procent 2" xfId="12"/>
    <cellStyle name="Styl 1" xfId="14"/>
    <cellStyle name="標準 10" xfId="4"/>
    <cellStyle name="標準 6" xfId="5"/>
  </cellStyles>
  <dxfs count="4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26" Type="http://schemas.openxmlformats.org/officeDocument/2006/relationships/externalLink" Target="externalLinks/externalLink15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0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5" Type="http://schemas.openxmlformats.org/officeDocument/2006/relationships/externalLink" Target="externalLinks/externalLink14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externalLink" Target="externalLinks/externalLink9.xml"/><Relationship Id="rId29" Type="http://schemas.openxmlformats.org/officeDocument/2006/relationships/externalLink" Target="externalLinks/externalLink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3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externalLink" Target="externalLinks/externalLink12.xml"/><Relationship Id="rId28" Type="http://schemas.openxmlformats.org/officeDocument/2006/relationships/externalLink" Target="externalLinks/externalLink17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31" Type="http://schemas.openxmlformats.org/officeDocument/2006/relationships/externalLink" Target="externalLinks/externalLink2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externalLink" Target="externalLinks/externalLink11.xml"/><Relationship Id="rId27" Type="http://schemas.openxmlformats.org/officeDocument/2006/relationships/externalLink" Target="externalLinks/externalLink16.xml"/><Relationship Id="rId30" Type="http://schemas.openxmlformats.org/officeDocument/2006/relationships/externalLink" Target="externalLinks/externalLink19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CheckBox" fmlaLink="#REF!" noThreeD="1"/>
</file>

<file path=xl/ctrlProps/ctrlProp2.xml><?xml version="1.0" encoding="utf-8"?>
<formControlPr xmlns="http://schemas.microsoft.com/office/spreadsheetml/2009/9/main" objectType="CheckBox" fmlaLink="#REF!" lockText="1" noThreeD="1"/>
</file>

<file path=xl/ctrlProps/ctrlProp3.xml><?xml version="1.0" encoding="utf-8"?>
<formControlPr xmlns="http://schemas.microsoft.com/office/spreadsheetml/2009/9/main" objectType="CheckBox" fmlaLink="#REF!" lockText="1" noThreeD="1"/>
</file>

<file path=xl/ctrlProps/ctrlProp4.xml><?xml version="1.0" encoding="utf-8"?>
<formControlPr xmlns="http://schemas.microsoft.com/office/spreadsheetml/2009/9/main" objectType="CheckBox" fmlaLink="#REF!" lockText="1" noThreeD="1"/>
</file>

<file path=xl/ctrlProps/ctrlProp5.xml><?xml version="1.0" encoding="utf-8"?>
<formControlPr xmlns="http://schemas.microsoft.com/office/spreadsheetml/2009/9/main" objectType="CheckBox" fmlaLink="#REF!" lockText="1" noThreeD="1"/>
</file>

<file path=xl/ctrlProps/ctrlProp6.xml><?xml version="1.0" encoding="utf-8"?>
<formControlPr xmlns="http://schemas.microsoft.com/office/spreadsheetml/2009/9/main" objectType="CheckBox" fmlaLink="#REF!" lockText="1" noThreeD="1"/>
</file>

<file path=xl/ctrlProps/ctrlProp7.xml><?xml version="1.0" encoding="utf-8"?>
<formControlPr xmlns="http://schemas.microsoft.com/office/spreadsheetml/2009/9/main" objectType="CheckBox" fmlaLink="#REF!" lockText="1" noThreeD="1"/>
</file>

<file path=xl/ctrlProps/ctrlProp8.xml><?xml version="1.0" encoding="utf-8"?>
<formControlPr xmlns="http://schemas.microsoft.com/office/spreadsheetml/2009/9/main" objectType="CheckBox" fmlaLink="#REF!" lockText="1" noThreeD="1"/>
</file>

<file path=xl/ctrlProps/ctrlProp9.xml><?xml version="1.0" encoding="utf-8"?>
<formControlPr xmlns="http://schemas.microsoft.com/office/spreadsheetml/2009/9/main" objectType="CheckBox" fmlaLink="#REF!" lockText="1" noThreeD="1"/>
</file>

<file path=xl/ctrlProps/ctrlProp10.xml><?xml version="1.0" encoding="utf-8"?>
<formControlPr xmlns="http://schemas.microsoft.com/office/spreadsheetml/2009/9/main" objectType="CheckBox" fmlaLink="#REF!" lockText="1" noThreeD="1"/>
</file>

<file path=xl/ctrlProps/ctrlProp11.xml><?xml version="1.0" encoding="utf-8"?>
<formControlPr xmlns="http://schemas.microsoft.com/office/spreadsheetml/2009/9/main" objectType="CheckBox" fmlaLink="#REF!" lockText="1" noThreeD="1"/>
</file>

<file path=xl/ctrlProps/ctrlProp12.xml><?xml version="1.0" encoding="utf-8"?>
<formControlPr xmlns="http://schemas.microsoft.com/office/spreadsheetml/2009/9/main" objectType="CheckBox" fmlaLink="#REF!" lockText="1" noThreeD="1"/>
</file>

<file path=xl/ctrlProps/ctrlProp13.xml><?xml version="1.0" encoding="utf-8"?>
<formControlPr xmlns="http://schemas.microsoft.com/office/spreadsheetml/2009/9/main" objectType="CheckBox" fmlaLink="#REF!" lockText="1" noThreeD="1"/>
</file>

<file path=xl/ctrlProps/ctrlProp14.xml><?xml version="1.0" encoding="utf-8"?>
<formControlPr xmlns="http://schemas.microsoft.com/office/spreadsheetml/2009/9/main" objectType="CheckBox" fmlaLink="#REF!" lockText="1" noThreeD="1"/>
</file>

<file path=xl/ctrlProps/ctrlProp15.xml><?xml version="1.0" encoding="utf-8"?>
<formControlPr xmlns="http://schemas.microsoft.com/office/spreadsheetml/2009/9/main" objectType="CheckBox" fmlaLink="#REF!" lockText="1" noThreeD="1"/>
</file>

<file path=xl/ctrlProps/ctrlProp16.xml><?xml version="1.0" encoding="utf-8"?>
<formControlPr xmlns="http://schemas.microsoft.com/office/spreadsheetml/2009/9/main" objectType="CheckBox" fmlaLink="$AM$7" noThreeD="1"/>
</file>

<file path=xl/ctrlProps/ctrlProp17.xml><?xml version="1.0" encoding="utf-8"?>
<formControlPr xmlns="http://schemas.microsoft.com/office/spreadsheetml/2009/9/main" objectType="CheckBox" fmlaLink="$G$20" noThreeD="1"/>
</file>

<file path=xl/ctrlProps/ctrlProp18.xml><?xml version="1.0" encoding="utf-8"?>
<formControlPr xmlns="http://schemas.microsoft.com/office/spreadsheetml/2009/9/main" objectType="CheckBox" fmlaLink="$AM$8" noThreeD="1"/>
</file>

<file path=xl/ctrlProps/ctrlProp19.xml><?xml version="1.0" encoding="utf-8"?>
<formControlPr xmlns="http://schemas.microsoft.com/office/spreadsheetml/2009/9/main" objectType="CheckBox" fmlaLink="$AM$9" noThreeD="1"/>
</file>

<file path=xl/ctrlProps/ctrlProp20.xml><?xml version="1.0" encoding="utf-8"?>
<formControlPr xmlns="http://schemas.microsoft.com/office/spreadsheetml/2009/9/main" objectType="CheckBox" fmlaLink="$AM$10" noThreeD="1"/>
</file>

<file path=xl/ctrlProps/ctrlProp21.xml><?xml version="1.0" encoding="utf-8"?>
<formControlPr xmlns="http://schemas.microsoft.com/office/spreadsheetml/2009/9/main" objectType="CheckBox" fmlaLink="$G$11" noThreeD="1"/>
</file>

<file path=xl/ctrlProps/ctrlProp22.xml><?xml version="1.0" encoding="utf-8"?>
<formControlPr xmlns="http://schemas.microsoft.com/office/spreadsheetml/2009/9/main" objectType="CheckBox" fmlaLink="$G$12" noThreeD="1"/>
</file>

<file path=xl/ctrlProps/ctrlProp23.xml><?xml version="1.0" encoding="utf-8"?>
<formControlPr xmlns="http://schemas.microsoft.com/office/spreadsheetml/2009/9/main" objectType="CheckBox" fmlaLink="$G$13" noThreeD="1"/>
</file>

<file path=xl/ctrlProps/ctrlProp24.xml><?xml version="1.0" encoding="utf-8"?>
<formControlPr xmlns="http://schemas.microsoft.com/office/spreadsheetml/2009/9/main" objectType="CheckBox" fmlaLink="$G$14" noThreeD="1"/>
</file>

<file path=xl/ctrlProps/ctrlProp25.xml><?xml version="1.0" encoding="utf-8"?>
<formControlPr xmlns="http://schemas.microsoft.com/office/spreadsheetml/2009/9/main" objectType="CheckBox" fmlaLink="$G$15" noThreeD="1"/>
</file>

<file path=xl/ctrlProps/ctrlProp26.xml><?xml version="1.0" encoding="utf-8"?>
<formControlPr xmlns="http://schemas.microsoft.com/office/spreadsheetml/2009/9/main" objectType="CheckBox" fmlaLink="$G$16" noThreeD="1"/>
</file>

<file path=xl/ctrlProps/ctrlProp27.xml><?xml version="1.0" encoding="utf-8"?>
<formControlPr xmlns="http://schemas.microsoft.com/office/spreadsheetml/2009/9/main" objectType="CheckBox" fmlaLink="$G$17" noThreeD="1"/>
</file>

<file path=xl/ctrlProps/ctrlProp28.xml><?xml version="1.0" encoding="utf-8"?>
<formControlPr xmlns="http://schemas.microsoft.com/office/spreadsheetml/2009/9/main" objectType="CheckBox" fmlaLink="$G$18" noThreeD="1"/>
</file>

<file path=xl/ctrlProps/ctrlProp29.xml><?xml version="1.0" encoding="utf-8"?>
<formControlPr xmlns="http://schemas.microsoft.com/office/spreadsheetml/2009/9/main" objectType="CheckBox" fmlaLink="$G$19" noThreeD="1"/>
</file>

<file path=xl/ctrlProps/ctrlProp30.xml><?xml version="1.0" encoding="utf-8"?>
<formControlPr xmlns="http://schemas.microsoft.com/office/spreadsheetml/2009/9/main" objectType="CheckBox" fmlaLink="$G$21" noThreeD="1"/>
</file>

<file path=xl/ctrlProps/ctrlProp31.xml><?xml version="1.0" encoding="utf-8"?>
<formControlPr xmlns="http://schemas.microsoft.com/office/spreadsheetml/2009/9/main" objectType="CheckBox" fmlaLink="$G$7" noThreeD="1"/>
</file>

<file path=xl/ctrlProps/ctrlProp32.xml><?xml version="1.0" encoding="utf-8"?>
<formControlPr xmlns="http://schemas.microsoft.com/office/spreadsheetml/2009/9/main" objectType="CheckBox" fmlaLink="$G$8" noThreeD="1"/>
</file>

<file path=xl/ctrlProps/ctrlProp33.xml><?xml version="1.0" encoding="utf-8"?>
<formControlPr xmlns="http://schemas.microsoft.com/office/spreadsheetml/2009/9/main" objectType="CheckBox" fmlaLink="$G$9" noThreeD="1"/>
</file>

<file path=xl/ctrlProps/ctrlProp34.xml><?xml version="1.0" encoding="utf-8"?>
<formControlPr xmlns="http://schemas.microsoft.com/office/spreadsheetml/2009/9/main" objectType="CheckBox" fmlaLink="$G$10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9256</xdr:colOff>
      <xdr:row>65</xdr:row>
      <xdr:rowOff>171152</xdr:rowOff>
    </xdr:from>
    <xdr:to>
      <xdr:col>7</xdr:col>
      <xdr:colOff>178444</xdr:colOff>
      <xdr:row>68</xdr:row>
      <xdr:rowOff>52551</xdr:rowOff>
    </xdr:to>
    <xdr:grpSp>
      <xdr:nvGrpSpPr>
        <xdr:cNvPr id="23" name="Group 32"/>
        <xdr:cNvGrpSpPr/>
      </xdr:nvGrpSpPr>
      <xdr:grpSpPr>
        <a:xfrm rot="10800000" flipV="1">
          <a:off x="614374" y="12598476"/>
          <a:ext cx="7106479" cy="452899"/>
          <a:chOff x="1831948" y="1289899"/>
          <a:chExt cx="2356693" cy="111356"/>
        </a:xfrm>
        <a:solidFill>
          <a:srgbClr val="002776"/>
        </a:solidFill>
      </xdr:grpSpPr>
      <xdr:sp macro="" textlink="">
        <xdr:nvSpPr>
          <xdr:cNvPr id="25" name="Freeform 24"/>
          <xdr:cNvSpPr>
            <a:spLocks/>
          </xdr:cNvSpPr>
        </xdr:nvSpPr>
        <xdr:spPr>
          <a:xfrm rot="10800000">
            <a:off x="1831948" y="1289902"/>
            <a:ext cx="243796" cy="111353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26" name="Rectangle 25"/>
          <xdr:cNvSpPr/>
        </xdr:nvSpPr>
        <xdr:spPr>
          <a:xfrm>
            <a:off x="2008022" y="1289899"/>
            <a:ext cx="2180619" cy="111353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Informação</a:t>
            </a:r>
            <a:r>
              <a:rPr lang="pt-BR" sz="1100" b="1" baseline="0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 da Pesquisa</a:t>
            </a:r>
            <a:endParaRPr lang="pt-BR" sz="1100" b="1">
              <a:solidFill>
                <a:schemeClr val="bg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9521</xdr:colOff>
      <xdr:row>0</xdr:row>
      <xdr:rowOff>176832</xdr:rowOff>
    </xdr:from>
    <xdr:to>
      <xdr:col>6</xdr:col>
      <xdr:colOff>152399</xdr:colOff>
      <xdr:row>3</xdr:row>
      <xdr:rowOff>11180</xdr:rowOff>
    </xdr:to>
    <xdr:grpSp>
      <xdr:nvGrpSpPr>
        <xdr:cNvPr id="10" name="Group 32"/>
        <xdr:cNvGrpSpPr/>
      </xdr:nvGrpSpPr>
      <xdr:grpSpPr>
        <a:xfrm rot="10800000" flipV="1">
          <a:off x="614639" y="176832"/>
          <a:ext cx="6911231" cy="495495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11" name="Freeform 10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2" name="Rectangle 11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Proxy Server</a:t>
            </a:r>
          </a:p>
        </xdr:txBody>
      </xdr:sp>
    </xdr:grpSp>
    <xdr:clientData/>
  </xdr:twoCellAnchor>
  <xdr:twoCellAnchor>
    <xdr:from>
      <xdr:col>1</xdr:col>
      <xdr:colOff>3087</xdr:colOff>
      <xdr:row>9</xdr:row>
      <xdr:rowOff>153755</xdr:rowOff>
    </xdr:from>
    <xdr:to>
      <xdr:col>6</xdr:col>
      <xdr:colOff>126916</xdr:colOff>
      <xdr:row>12</xdr:row>
      <xdr:rowOff>101212</xdr:rowOff>
    </xdr:to>
    <xdr:grpSp>
      <xdr:nvGrpSpPr>
        <xdr:cNvPr id="16" name="Group 32"/>
        <xdr:cNvGrpSpPr/>
      </xdr:nvGrpSpPr>
      <xdr:grpSpPr>
        <a:xfrm rot="10800000" flipV="1">
          <a:off x="608205" y="1957902"/>
          <a:ext cx="6892182" cy="485339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17" name="Freeform 16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8" name="Rectangle 17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CA PPM</a:t>
            </a:r>
          </a:p>
        </xdr:txBody>
      </xdr:sp>
    </xdr:grpSp>
    <xdr:clientData/>
  </xdr:twoCellAnchor>
  <xdr:twoCellAnchor>
    <xdr:from>
      <xdr:col>3</xdr:col>
      <xdr:colOff>2933701</xdr:colOff>
      <xdr:row>10</xdr:row>
      <xdr:rowOff>100013</xdr:rowOff>
    </xdr:from>
    <xdr:to>
      <xdr:col>5</xdr:col>
      <xdr:colOff>600075</xdr:colOff>
      <xdr:row>12</xdr:row>
      <xdr:rowOff>25469</xdr:rowOff>
    </xdr:to>
    <xdr:sp macro="[0]!TestConection" textlink="">
      <xdr:nvSpPr>
        <xdr:cNvPr id="19" name="Rounded Rectangle 18"/>
        <xdr:cNvSpPr>
          <a:spLocks noChangeAspect="1"/>
        </xdr:cNvSpPr>
      </xdr:nvSpPr>
      <xdr:spPr>
        <a:xfrm>
          <a:off x="5386389" y="2130029"/>
          <a:ext cx="1732358" cy="30645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1200" b="1">
              <a:solidFill>
                <a:srgbClr val="002776"/>
              </a:solidFill>
              <a:latin typeface="+mn-lt"/>
              <a:ea typeface="+mn-ea"/>
              <a:cs typeface="+mn-cs"/>
            </a:rPr>
            <a:t>Test Connection</a:t>
          </a:r>
        </a:p>
      </xdr:txBody>
    </xdr:sp>
    <xdr:clientData/>
  </xdr:twoCellAnchor>
  <xdr:twoCellAnchor>
    <xdr:from>
      <xdr:col>0</xdr:col>
      <xdr:colOff>609596</xdr:colOff>
      <xdr:row>26</xdr:row>
      <xdr:rowOff>157782</xdr:rowOff>
    </xdr:from>
    <xdr:to>
      <xdr:col>7</xdr:col>
      <xdr:colOff>819150</xdr:colOff>
      <xdr:row>29</xdr:row>
      <xdr:rowOff>87380</xdr:rowOff>
    </xdr:to>
    <xdr:grpSp>
      <xdr:nvGrpSpPr>
        <xdr:cNvPr id="15" name="Group 32"/>
        <xdr:cNvGrpSpPr/>
      </xdr:nvGrpSpPr>
      <xdr:grpSpPr>
        <a:xfrm rot="10800000" flipV="1">
          <a:off x="609596" y="5166811"/>
          <a:ext cx="7111257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20" name="Freeform 19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21" name="Rectangle 20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Configurações de Queries</a:t>
            </a:r>
          </a:p>
        </xdr:txBody>
      </xdr:sp>
    </xdr:grpSp>
    <xdr:clientData/>
  </xdr:twoCellAnchor>
  <xdr:twoCellAnchor>
    <xdr:from>
      <xdr:col>0</xdr:col>
      <xdr:colOff>609595</xdr:colOff>
      <xdr:row>44</xdr:row>
      <xdr:rowOff>0</xdr:rowOff>
    </xdr:from>
    <xdr:to>
      <xdr:col>7</xdr:col>
      <xdr:colOff>123824</xdr:colOff>
      <xdr:row>46</xdr:row>
      <xdr:rowOff>120098</xdr:rowOff>
    </xdr:to>
    <xdr:grpSp>
      <xdr:nvGrpSpPr>
        <xdr:cNvPr id="13" name="Group 32"/>
        <xdr:cNvGrpSpPr/>
      </xdr:nvGrpSpPr>
      <xdr:grpSpPr>
        <a:xfrm rot="10800000" flipV="1">
          <a:off x="609595" y="8438029"/>
          <a:ext cx="7111258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14" name="Freeform 13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22" name="Rectangle 21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Informações dos</a:t>
            </a:r>
            <a:r>
              <a:rPr lang="pt-BR" sz="1100" b="1" baseline="0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 Clientes</a:t>
            </a:r>
            <a:endParaRPr lang="pt-BR" sz="1100" b="1">
              <a:solidFill>
                <a:schemeClr val="bg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114</xdr:row>
      <xdr:rowOff>116205</xdr:rowOff>
    </xdr:from>
    <xdr:to>
      <xdr:col>18</xdr:col>
      <xdr:colOff>0</xdr:colOff>
      <xdr:row>122</xdr:row>
      <xdr:rowOff>36270</xdr:rowOff>
    </xdr:to>
    <xdr:sp macro="" textlink="">
      <xdr:nvSpPr>
        <xdr:cNvPr id="6" name="TextovéPole 5"/>
        <xdr:cNvSpPr txBox="1"/>
      </xdr:nvSpPr>
      <xdr:spPr>
        <a:xfrm>
          <a:off x="12506325" y="3033903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110</xdr:row>
      <xdr:rowOff>40004</xdr:rowOff>
    </xdr:from>
    <xdr:to>
      <xdr:col>18</xdr:col>
      <xdr:colOff>0</xdr:colOff>
      <xdr:row>111</xdr:row>
      <xdr:rowOff>152399</xdr:rowOff>
    </xdr:to>
    <xdr:sp macro="" textlink="">
      <xdr:nvSpPr>
        <xdr:cNvPr id="7" name="TextovéPole 6"/>
        <xdr:cNvSpPr txBox="1"/>
      </xdr:nvSpPr>
      <xdr:spPr>
        <a:xfrm>
          <a:off x="12506325" y="2946272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214</xdr:row>
      <xdr:rowOff>116205</xdr:rowOff>
    </xdr:from>
    <xdr:to>
      <xdr:col>18</xdr:col>
      <xdr:colOff>0</xdr:colOff>
      <xdr:row>222</xdr:row>
      <xdr:rowOff>28575</xdr:rowOff>
    </xdr:to>
    <xdr:sp macro="" textlink="">
      <xdr:nvSpPr>
        <xdr:cNvPr id="8" name="TextovéPole 7"/>
        <xdr:cNvSpPr txBox="1"/>
      </xdr:nvSpPr>
      <xdr:spPr>
        <a:xfrm>
          <a:off x="12506325" y="49922430"/>
          <a:ext cx="0" cy="14935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286</xdr:row>
      <xdr:rowOff>123825</xdr:rowOff>
    </xdr:from>
    <xdr:to>
      <xdr:col>18</xdr:col>
      <xdr:colOff>0</xdr:colOff>
      <xdr:row>294</xdr:row>
      <xdr:rowOff>0</xdr:rowOff>
    </xdr:to>
    <xdr:sp macro="" textlink="">
      <xdr:nvSpPr>
        <xdr:cNvPr id="9" name="TextovéPole 8"/>
        <xdr:cNvSpPr txBox="1"/>
      </xdr:nvSpPr>
      <xdr:spPr>
        <a:xfrm>
          <a:off x="12506325" y="64036575"/>
          <a:ext cx="0" cy="1457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282</xdr:row>
      <xdr:rowOff>40004</xdr:rowOff>
    </xdr:from>
    <xdr:to>
      <xdr:col>18</xdr:col>
      <xdr:colOff>0</xdr:colOff>
      <xdr:row>283</xdr:row>
      <xdr:rowOff>91439</xdr:rowOff>
    </xdr:to>
    <xdr:sp macro="" textlink="">
      <xdr:nvSpPr>
        <xdr:cNvPr id="10" name="TextovéPole 9"/>
        <xdr:cNvSpPr txBox="1"/>
      </xdr:nvSpPr>
      <xdr:spPr>
        <a:xfrm>
          <a:off x="12506325" y="63171704"/>
          <a:ext cx="0" cy="2514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310</xdr:row>
      <xdr:rowOff>116205</xdr:rowOff>
    </xdr:from>
    <xdr:to>
      <xdr:col>18</xdr:col>
      <xdr:colOff>0</xdr:colOff>
      <xdr:row>318</xdr:row>
      <xdr:rowOff>28600</xdr:rowOff>
    </xdr:to>
    <xdr:sp macro="" textlink="">
      <xdr:nvSpPr>
        <xdr:cNvPr id="11" name="TextovéPole 10"/>
        <xdr:cNvSpPr txBox="1"/>
      </xdr:nvSpPr>
      <xdr:spPr>
        <a:xfrm>
          <a:off x="12506325" y="68743830"/>
          <a:ext cx="0" cy="147449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306</xdr:row>
      <xdr:rowOff>40004</xdr:rowOff>
    </xdr:from>
    <xdr:to>
      <xdr:col>18</xdr:col>
      <xdr:colOff>0</xdr:colOff>
      <xdr:row>307</xdr:row>
      <xdr:rowOff>152572</xdr:rowOff>
    </xdr:to>
    <xdr:sp macro="" textlink="">
      <xdr:nvSpPr>
        <xdr:cNvPr id="12" name="TextovéPole 11"/>
        <xdr:cNvSpPr txBox="1"/>
      </xdr:nvSpPr>
      <xdr:spPr>
        <a:xfrm>
          <a:off x="12506325" y="67886579"/>
          <a:ext cx="0" cy="3030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378</xdr:row>
      <xdr:rowOff>40004</xdr:rowOff>
    </xdr:from>
    <xdr:to>
      <xdr:col>18</xdr:col>
      <xdr:colOff>0</xdr:colOff>
      <xdr:row>379</xdr:row>
      <xdr:rowOff>152399</xdr:rowOff>
    </xdr:to>
    <xdr:sp macro="" textlink="">
      <xdr:nvSpPr>
        <xdr:cNvPr id="13" name="TextovéPole 12"/>
        <xdr:cNvSpPr txBox="1"/>
      </xdr:nvSpPr>
      <xdr:spPr>
        <a:xfrm>
          <a:off x="12506325" y="8200262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218</xdr:row>
      <xdr:rowOff>116205</xdr:rowOff>
    </xdr:from>
    <xdr:to>
      <xdr:col>18</xdr:col>
      <xdr:colOff>0</xdr:colOff>
      <xdr:row>226</xdr:row>
      <xdr:rowOff>36270</xdr:rowOff>
    </xdr:to>
    <xdr:sp macro="" textlink="">
      <xdr:nvSpPr>
        <xdr:cNvPr id="20" name="TextovéPole 19"/>
        <xdr:cNvSpPr txBox="1"/>
      </xdr:nvSpPr>
      <xdr:spPr>
        <a:xfrm>
          <a:off x="12506325" y="5072253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214</xdr:row>
      <xdr:rowOff>40004</xdr:rowOff>
    </xdr:from>
    <xdr:to>
      <xdr:col>18</xdr:col>
      <xdr:colOff>0</xdr:colOff>
      <xdr:row>215</xdr:row>
      <xdr:rowOff>152399</xdr:rowOff>
    </xdr:to>
    <xdr:sp macro="" textlink="">
      <xdr:nvSpPr>
        <xdr:cNvPr id="21" name="TextovéPole 20"/>
        <xdr:cNvSpPr txBox="1"/>
      </xdr:nvSpPr>
      <xdr:spPr>
        <a:xfrm>
          <a:off x="12506325" y="4984622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218</xdr:row>
      <xdr:rowOff>116205</xdr:rowOff>
    </xdr:from>
    <xdr:to>
      <xdr:col>18</xdr:col>
      <xdr:colOff>0</xdr:colOff>
      <xdr:row>226</xdr:row>
      <xdr:rowOff>36270</xdr:rowOff>
    </xdr:to>
    <xdr:sp macro="" textlink="">
      <xdr:nvSpPr>
        <xdr:cNvPr id="22" name="TextovéPole 21"/>
        <xdr:cNvSpPr txBox="1"/>
      </xdr:nvSpPr>
      <xdr:spPr>
        <a:xfrm>
          <a:off x="12506325" y="5072253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214</xdr:row>
      <xdr:rowOff>40004</xdr:rowOff>
    </xdr:from>
    <xdr:to>
      <xdr:col>18</xdr:col>
      <xdr:colOff>0</xdr:colOff>
      <xdr:row>215</xdr:row>
      <xdr:rowOff>152399</xdr:rowOff>
    </xdr:to>
    <xdr:sp macro="" textlink="">
      <xdr:nvSpPr>
        <xdr:cNvPr id="23" name="TextovéPole 22"/>
        <xdr:cNvSpPr txBox="1"/>
      </xdr:nvSpPr>
      <xdr:spPr>
        <a:xfrm>
          <a:off x="12506325" y="4984622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322</xdr:row>
      <xdr:rowOff>116205</xdr:rowOff>
    </xdr:from>
    <xdr:to>
      <xdr:col>18</xdr:col>
      <xdr:colOff>0</xdr:colOff>
      <xdr:row>330</xdr:row>
      <xdr:rowOff>36270</xdr:rowOff>
    </xdr:to>
    <xdr:sp macro="" textlink="">
      <xdr:nvSpPr>
        <xdr:cNvPr id="24" name="TextovéPole 23"/>
        <xdr:cNvSpPr txBox="1"/>
      </xdr:nvSpPr>
      <xdr:spPr>
        <a:xfrm>
          <a:off x="12506325" y="7110603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318</xdr:row>
      <xdr:rowOff>40004</xdr:rowOff>
    </xdr:from>
    <xdr:to>
      <xdr:col>18</xdr:col>
      <xdr:colOff>0</xdr:colOff>
      <xdr:row>319</xdr:row>
      <xdr:rowOff>152399</xdr:rowOff>
    </xdr:to>
    <xdr:sp macro="" textlink="">
      <xdr:nvSpPr>
        <xdr:cNvPr id="25" name="TextovéPole 24"/>
        <xdr:cNvSpPr txBox="1"/>
      </xdr:nvSpPr>
      <xdr:spPr>
        <a:xfrm>
          <a:off x="12506325" y="7022972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322</xdr:row>
      <xdr:rowOff>116205</xdr:rowOff>
    </xdr:from>
    <xdr:to>
      <xdr:col>18</xdr:col>
      <xdr:colOff>0</xdr:colOff>
      <xdr:row>330</xdr:row>
      <xdr:rowOff>36270</xdr:rowOff>
    </xdr:to>
    <xdr:sp macro="" textlink="">
      <xdr:nvSpPr>
        <xdr:cNvPr id="26" name="TextovéPole 25"/>
        <xdr:cNvSpPr txBox="1"/>
      </xdr:nvSpPr>
      <xdr:spPr>
        <a:xfrm>
          <a:off x="12506325" y="7110603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318</xdr:row>
      <xdr:rowOff>40004</xdr:rowOff>
    </xdr:from>
    <xdr:to>
      <xdr:col>18</xdr:col>
      <xdr:colOff>0</xdr:colOff>
      <xdr:row>319</xdr:row>
      <xdr:rowOff>152399</xdr:rowOff>
    </xdr:to>
    <xdr:sp macro="" textlink="">
      <xdr:nvSpPr>
        <xdr:cNvPr id="27" name="TextovéPole 26"/>
        <xdr:cNvSpPr txBox="1"/>
      </xdr:nvSpPr>
      <xdr:spPr>
        <a:xfrm>
          <a:off x="12506325" y="7022972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386</xdr:row>
      <xdr:rowOff>116205</xdr:rowOff>
    </xdr:from>
    <xdr:to>
      <xdr:col>18</xdr:col>
      <xdr:colOff>0</xdr:colOff>
      <xdr:row>394</xdr:row>
      <xdr:rowOff>36275</xdr:rowOff>
    </xdr:to>
    <xdr:sp macro="" textlink="">
      <xdr:nvSpPr>
        <xdr:cNvPr id="28" name="TextovéPole 27"/>
        <xdr:cNvSpPr txBox="1"/>
      </xdr:nvSpPr>
      <xdr:spPr>
        <a:xfrm>
          <a:off x="12506325" y="83631405"/>
          <a:ext cx="0" cy="148217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0</xdr:col>
      <xdr:colOff>131445</xdr:colOff>
      <xdr:row>23</xdr:row>
      <xdr:rowOff>47625</xdr:rowOff>
    </xdr:from>
    <xdr:to>
      <xdr:col>2</xdr:col>
      <xdr:colOff>379095</xdr:colOff>
      <xdr:row>24</xdr:row>
      <xdr:rowOff>85725</xdr:rowOff>
    </xdr:to>
    <xdr:sp macro="" textlink="">
      <xdr:nvSpPr>
        <xdr:cNvPr id="29" name="TextovéPole 28"/>
        <xdr:cNvSpPr txBox="1"/>
      </xdr:nvSpPr>
      <xdr:spPr>
        <a:xfrm>
          <a:off x="131445" y="12830175"/>
          <a:ext cx="1714500" cy="2286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n-US" sz="1000" b="1"/>
            <a:t>Package Detail</a:t>
          </a:r>
          <a:endParaRPr lang="cs-CZ" sz="1000" b="1"/>
        </a:p>
      </xdr:txBody>
    </xdr:sp>
    <xdr:clientData/>
  </xdr:twoCellAnchor>
  <xdr:twoCellAnchor>
    <xdr:from>
      <xdr:col>18</xdr:col>
      <xdr:colOff>0</xdr:colOff>
      <xdr:row>140</xdr:row>
      <xdr:rowOff>116205</xdr:rowOff>
    </xdr:from>
    <xdr:to>
      <xdr:col>18</xdr:col>
      <xdr:colOff>0</xdr:colOff>
      <xdr:row>148</xdr:row>
      <xdr:rowOff>36270</xdr:rowOff>
    </xdr:to>
    <xdr:sp macro="" textlink="">
      <xdr:nvSpPr>
        <xdr:cNvPr id="31" name="TextovéPole 30"/>
        <xdr:cNvSpPr txBox="1"/>
      </xdr:nvSpPr>
      <xdr:spPr>
        <a:xfrm>
          <a:off x="12506325" y="3543490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136</xdr:row>
      <xdr:rowOff>40004</xdr:rowOff>
    </xdr:from>
    <xdr:to>
      <xdr:col>18</xdr:col>
      <xdr:colOff>0</xdr:colOff>
      <xdr:row>137</xdr:row>
      <xdr:rowOff>152399</xdr:rowOff>
    </xdr:to>
    <xdr:sp macro="" textlink="">
      <xdr:nvSpPr>
        <xdr:cNvPr id="32" name="TextovéPole 31"/>
        <xdr:cNvSpPr txBox="1"/>
      </xdr:nvSpPr>
      <xdr:spPr>
        <a:xfrm>
          <a:off x="12506325" y="3455860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166</xdr:row>
      <xdr:rowOff>116205</xdr:rowOff>
    </xdr:from>
    <xdr:to>
      <xdr:col>18</xdr:col>
      <xdr:colOff>0</xdr:colOff>
      <xdr:row>174</xdr:row>
      <xdr:rowOff>36270</xdr:rowOff>
    </xdr:to>
    <xdr:sp macro="" textlink="">
      <xdr:nvSpPr>
        <xdr:cNvPr id="33" name="TextovéPole 32"/>
        <xdr:cNvSpPr txBox="1"/>
      </xdr:nvSpPr>
      <xdr:spPr>
        <a:xfrm>
          <a:off x="12506325" y="4053078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162</xdr:row>
      <xdr:rowOff>40004</xdr:rowOff>
    </xdr:from>
    <xdr:to>
      <xdr:col>18</xdr:col>
      <xdr:colOff>0</xdr:colOff>
      <xdr:row>163</xdr:row>
      <xdr:rowOff>152399</xdr:rowOff>
    </xdr:to>
    <xdr:sp macro="" textlink="">
      <xdr:nvSpPr>
        <xdr:cNvPr id="34" name="TextovéPole 33"/>
        <xdr:cNvSpPr txBox="1"/>
      </xdr:nvSpPr>
      <xdr:spPr>
        <a:xfrm>
          <a:off x="12506325" y="3965447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192</xdr:row>
      <xdr:rowOff>116205</xdr:rowOff>
    </xdr:from>
    <xdr:to>
      <xdr:col>18</xdr:col>
      <xdr:colOff>0</xdr:colOff>
      <xdr:row>200</xdr:row>
      <xdr:rowOff>36270</xdr:rowOff>
    </xdr:to>
    <xdr:sp macro="" textlink="">
      <xdr:nvSpPr>
        <xdr:cNvPr id="35" name="TextovéPole 34"/>
        <xdr:cNvSpPr txBox="1"/>
      </xdr:nvSpPr>
      <xdr:spPr>
        <a:xfrm>
          <a:off x="12506325" y="4562665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188</xdr:row>
      <xdr:rowOff>40004</xdr:rowOff>
    </xdr:from>
    <xdr:to>
      <xdr:col>18</xdr:col>
      <xdr:colOff>0</xdr:colOff>
      <xdr:row>189</xdr:row>
      <xdr:rowOff>152399</xdr:rowOff>
    </xdr:to>
    <xdr:sp macro="" textlink="">
      <xdr:nvSpPr>
        <xdr:cNvPr id="36" name="TextovéPole 35"/>
        <xdr:cNvSpPr txBox="1"/>
      </xdr:nvSpPr>
      <xdr:spPr>
        <a:xfrm>
          <a:off x="12506325" y="4475035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218</xdr:row>
      <xdr:rowOff>116205</xdr:rowOff>
    </xdr:from>
    <xdr:to>
      <xdr:col>18</xdr:col>
      <xdr:colOff>0</xdr:colOff>
      <xdr:row>226</xdr:row>
      <xdr:rowOff>36270</xdr:rowOff>
    </xdr:to>
    <xdr:sp macro="" textlink="">
      <xdr:nvSpPr>
        <xdr:cNvPr id="37" name="TextovéPole 36"/>
        <xdr:cNvSpPr txBox="1"/>
      </xdr:nvSpPr>
      <xdr:spPr>
        <a:xfrm>
          <a:off x="12506325" y="5072253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214</xdr:row>
      <xdr:rowOff>40004</xdr:rowOff>
    </xdr:from>
    <xdr:to>
      <xdr:col>18</xdr:col>
      <xdr:colOff>0</xdr:colOff>
      <xdr:row>215</xdr:row>
      <xdr:rowOff>152399</xdr:rowOff>
    </xdr:to>
    <xdr:sp macro="" textlink="">
      <xdr:nvSpPr>
        <xdr:cNvPr id="38" name="TextovéPole 37"/>
        <xdr:cNvSpPr txBox="1"/>
      </xdr:nvSpPr>
      <xdr:spPr>
        <a:xfrm>
          <a:off x="12506325" y="4984622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240</xdr:row>
      <xdr:rowOff>116205</xdr:rowOff>
    </xdr:from>
    <xdr:to>
      <xdr:col>18</xdr:col>
      <xdr:colOff>0</xdr:colOff>
      <xdr:row>248</xdr:row>
      <xdr:rowOff>28575</xdr:rowOff>
    </xdr:to>
    <xdr:sp macro="" textlink="">
      <xdr:nvSpPr>
        <xdr:cNvPr id="39" name="TextovéPole 38"/>
        <xdr:cNvSpPr txBox="1"/>
      </xdr:nvSpPr>
      <xdr:spPr>
        <a:xfrm>
          <a:off x="12506325" y="55018305"/>
          <a:ext cx="0" cy="14935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244</xdr:row>
      <xdr:rowOff>116205</xdr:rowOff>
    </xdr:from>
    <xdr:to>
      <xdr:col>18</xdr:col>
      <xdr:colOff>0</xdr:colOff>
      <xdr:row>252</xdr:row>
      <xdr:rowOff>36270</xdr:rowOff>
    </xdr:to>
    <xdr:sp macro="" textlink="">
      <xdr:nvSpPr>
        <xdr:cNvPr id="40" name="TextovéPole 39"/>
        <xdr:cNvSpPr txBox="1"/>
      </xdr:nvSpPr>
      <xdr:spPr>
        <a:xfrm>
          <a:off x="12506325" y="5581840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240</xdr:row>
      <xdr:rowOff>40004</xdr:rowOff>
    </xdr:from>
    <xdr:to>
      <xdr:col>18</xdr:col>
      <xdr:colOff>0</xdr:colOff>
      <xdr:row>241</xdr:row>
      <xdr:rowOff>152399</xdr:rowOff>
    </xdr:to>
    <xdr:sp macro="" textlink="">
      <xdr:nvSpPr>
        <xdr:cNvPr id="41" name="TextovéPole 40"/>
        <xdr:cNvSpPr txBox="1"/>
      </xdr:nvSpPr>
      <xdr:spPr>
        <a:xfrm>
          <a:off x="12506325" y="5494210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244</xdr:row>
      <xdr:rowOff>116205</xdr:rowOff>
    </xdr:from>
    <xdr:to>
      <xdr:col>18</xdr:col>
      <xdr:colOff>0</xdr:colOff>
      <xdr:row>252</xdr:row>
      <xdr:rowOff>36270</xdr:rowOff>
    </xdr:to>
    <xdr:sp macro="" textlink="">
      <xdr:nvSpPr>
        <xdr:cNvPr id="42" name="TextovéPole 41"/>
        <xdr:cNvSpPr txBox="1"/>
      </xdr:nvSpPr>
      <xdr:spPr>
        <a:xfrm>
          <a:off x="12506325" y="5581840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240</xdr:row>
      <xdr:rowOff>40004</xdr:rowOff>
    </xdr:from>
    <xdr:to>
      <xdr:col>18</xdr:col>
      <xdr:colOff>0</xdr:colOff>
      <xdr:row>241</xdr:row>
      <xdr:rowOff>152399</xdr:rowOff>
    </xdr:to>
    <xdr:sp macro="" textlink="">
      <xdr:nvSpPr>
        <xdr:cNvPr id="43" name="TextovéPole 42"/>
        <xdr:cNvSpPr txBox="1"/>
      </xdr:nvSpPr>
      <xdr:spPr>
        <a:xfrm>
          <a:off x="12506325" y="5494210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244</xdr:row>
      <xdr:rowOff>116205</xdr:rowOff>
    </xdr:from>
    <xdr:to>
      <xdr:col>18</xdr:col>
      <xdr:colOff>0</xdr:colOff>
      <xdr:row>252</xdr:row>
      <xdr:rowOff>36270</xdr:rowOff>
    </xdr:to>
    <xdr:sp macro="" textlink="">
      <xdr:nvSpPr>
        <xdr:cNvPr id="44" name="TextovéPole 43"/>
        <xdr:cNvSpPr txBox="1"/>
      </xdr:nvSpPr>
      <xdr:spPr>
        <a:xfrm>
          <a:off x="12506325" y="5581840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240</xdr:row>
      <xdr:rowOff>40004</xdr:rowOff>
    </xdr:from>
    <xdr:to>
      <xdr:col>18</xdr:col>
      <xdr:colOff>0</xdr:colOff>
      <xdr:row>241</xdr:row>
      <xdr:rowOff>152399</xdr:rowOff>
    </xdr:to>
    <xdr:sp macro="" textlink="">
      <xdr:nvSpPr>
        <xdr:cNvPr id="45" name="TextovéPole 44"/>
        <xdr:cNvSpPr txBox="1"/>
      </xdr:nvSpPr>
      <xdr:spPr>
        <a:xfrm>
          <a:off x="12506325" y="5494210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266</xdr:row>
      <xdr:rowOff>116205</xdr:rowOff>
    </xdr:from>
    <xdr:to>
      <xdr:col>18</xdr:col>
      <xdr:colOff>0</xdr:colOff>
      <xdr:row>274</xdr:row>
      <xdr:rowOff>28575</xdr:rowOff>
    </xdr:to>
    <xdr:sp macro="" textlink="">
      <xdr:nvSpPr>
        <xdr:cNvPr id="46" name="TextovéPole 45"/>
        <xdr:cNvSpPr txBox="1"/>
      </xdr:nvSpPr>
      <xdr:spPr>
        <a:xfrm>
          <a:off x="12506325" y="60114180"/>
          <a:ext cx="0" cy="14935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270</xdr:row>
      <xdr:rowOff>116205</xdr:rowOff>
    </xdr:from>
    <xdr:to>
      <xdr:col>18</xdr:col>
      <xdr:colOff>0</xdr:colOff>
      <xdr:row>278</xdr:row>
      <xdr:rowOff>36270</xdr:rowOff>
    </xdr:to>
    <xdr:sp macro="" textlink="">
      <xdr:nvSpPr>
        <xdr:cNvPr id="47" name="TextovéPole 46"/>
        <xdr:cNvSpPr txBox="1"/>
      </xdr:nvSpPr>
      <xdr:spPr>
        <a:xfrm>
          <a:off x="12506325" y="6091428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266</xdr:row>
      <xdr:rowOff>40004</xdr:rowOff>
    </xdr:from>
    <xdr:to>
      <xdr:col>18</xdr:col>
      <xdr:colOff>0</xdr:colOff>
      <xdr:row>267</xdr:row>
      <xdr:rowOff>152399</xdr:rowOff>
    </xdr:to>
    <xdr:sp macro="" textlink="">
      <xdr:nvSpPr>
        <xdr:cNvPr id="48" name="TextovéPole 47"/>
        <xdr:cNvSpPr txBox="1"/>
      </xdr:nvSpPr>
      <xdr:spPr>
        <a:xfrm>
          <a:off x="12506325" y="6003797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270</xdr:row>
      <xdr:rowOff>116205</xdr:rowOff>
    </xdr:from>
    <xdr:to>
      <xdr:col>18</xdr:col>
      <xdr:colOff>0</xdr:colOff>
      <xdr:row>278</xdr:row>
      <xdr:rowOff>36270</xdr:rowOff>
    </xdr:to>
    <xdr:sp macro="" textlink="">
      <xdr:nvSpPr>
        <xdr:cNvPr id="49" name="TextovéPole 48"/>
        <xdr:cNvSpPr txBox="1"/>
      </xdr:nvSpPr>
      <xdr:spPr>
        <a:xfrm>
          <a:off x="12506325" y="6091428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266</xdr:row>
      <xdr:rowOff>40004</xdr:rowOff>
    </xdr:from>
    <xdr:to>
      <xdr:col>18</xdr:col>
      <xdr:colOff>0</xdr:colOff>
      <xdr:row>267</xdr:row>
      <xdr:rowOff>152399</xdr:rowOff>
    </xdr:to>
    <xdr:sp macro="" textlink="">
      <xdr:nvSpPr>
        <xdr:cNvPr id="50" name="TextovéPole 49"/>
        <xdr:cNvSpPr txBox="1"/>
      </xdr:nvSpPr>
      <xdr:spPr>
        <a:xfrm>
          <a:off x="12506325" y="6003797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270</xdr:row>
      <xdr:rowOff>116205</xdr:rowOff>
    </xdr:from>
    <xdr:to>
      <xdr:col>18</xdr:col>
      <xdr:colOff>0</xdr:colOff>
      <xdr:row>278</xdr:row>
      <xdr:rowOff>36270</xdr:rowOff>
    </xdr:to>
    <xdr:sp macro="" textlink="">
      <xdr:nvSpPr>
        <xdr:cNvPr id="51" name="TextovéPole 50"/>
        <xdr:cNvSpPr txBox="1"/>
      </xdr:nvSpPr>
      <xdr:spPr>
        <a:xfrm>
          <a:off x="12506325" y="6091428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266</xdr:row>
      <xdr:rowOff>40004</xdr:rowOff>
    </xdr:from>
    <xdr:to>
      <xdr:col>18</xdr:col>
      <xdr:colOff>0</xdr:colOff>
      <xdr:row>267</xdr:row>
      <xdr:rowOff>152399</xdr:rowOff>
    </xdr:to>
    <xdr:sp macro="" textlink="">
      <xdr:nvSpPr>
        <xdr:cNvPr id="52" name="TextovéPole 51"/>
        <xdr:cNvSpPr txBox="1"/>
      </xdr:nvSpPr>
      <xdr:spPr>
        <a:xfrm>
          <a:off x="12506325" y="6003797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292</xdr:row>
      <xdr:rowOff>116205</xdr:rowOff>
    </xdr:from>
    <xdr:to>
      <xdr:col>18</xdr:col>
      <xdr:colOff>0</xdr:colOff>
      <xdr:row>300</xdr:row>
      <xdr:rowOff>28575</xdr:rowOff>
    </xdr:to>
    <xdr:sp macro="" textlink="">
      <xdr:nvSpPr>
        <xdr:cNvPr id="53" name="TextovéPole 52"/>
        <xdr:cNvSpPr txBox="1"/>
      </xdr:nvSpPr>
      <xdr:spPr>
        <a:xfrm>
          <a:off x="12506325" y="65210055"/>
          <a:ext cx="0" cy="14935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296</xdr:row>
      <xdr:rowOff>116205</xdr:rowOff>
    </xdr:from>
    <xdr:to>
      <xdr:col>18</xdr:col>
      <xdr:colOff>0</xdr:colOff>
      <xdr:row>304</xdr:row>
      <xdr:rowOff>36270</xdr:rowOff>
    </xdr:to>
    <xdr:sp macro="" textlink="">
      <xdr:nvSpPr>
        <xdr:cNvPr id="54" name="TextovéPole 53"/>
        <xdr:cNvSpPr txBox="1"/>
      </xdr:nvSpPr>
      <xdr:spPr>
        <a:xfrm>
          <a:off x="12506325" y="6601015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292</xdr:row>
      <xdr:rowOff>40004</xdr:rowOff>
    </xdr:from>
    <xdr:to>
      <xdr:col>18</xdr:col>
      <xdr:colOff>0</xdr:colOff>
      <xdr:row>293</xdr:row>
      <xdr:rowOff>152399</xdr:rowOff>
    </xdr:to>
    <xdr:sp macro="" textlink="">
      <xdr:nvSpPr>
        <xdr:cNvPr id="55" name="TextovéPole 54"/>
        <xdr:cNvSpPr txBox="1"/>
      </xdr:nvSpPr>
      <xdr:spPr>
        <a:xfrm>
          <a:off x="12506325" y="6513385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296</xdr:row>
      <xdr:rowOff>116205</xdr:rowOff>
    </xdr:from>
    <xdr:to>
      <xdr:col>18</xdr:col>
      <xdr:colOff>0</xdr:colOff>
      <xdr:row>304</xdr:row>
      <xdr:rowOff>36270</xdr:rowOff>
    </xdr:to>
    <xdr:sp macro="" textlink="">
      <xdr:nvSpPr>
        <xdr:cNvPr id="56" name="TextovéPole 55"/>
        <xdr:cNvSpPr txBox="1"/>
      </xdr:nvSpPr>
      <xdr:spPr>
        <a:xfrm>
          <a:off x="12506325" y="6601015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292</xdr:row>
      <xdr:rowOff>40004</xdr:rowOff>
    </xdr:from>
    <xdr:to>
      <xdr:col>18</xdr:col>
      <xdr:colOff>0</xdr:colOff>
      <xdr:row>293</xdr:row>
      <xdr:rowOff>152399</xdr:rowOff>
    </xdr:to>
    <xdr:sp macro="" textlink="">
      <xdr:nvSpPr>
        <xdr:cNvPr id="57" name="TextovéPole 56"/>
        <xdr:cNvSpPr txBox="1"/>
      </xdr:nvSpPr>
      <xdr:spPr>
        <a:xfrm>
          <a:off x="12506325" y="6513385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296</xdr:row>
      <xdr:rowOff>116205</xdr:rowOff>
    </xdr:from>
    <xdr:to>
      <xdr:col>18</xdr:col>
      <xdr:colOff>0</xdr:colOff>
      <xdr:row>304</xdr:row>
      <xdr:rowOff>36270</xdr:rowOff>
    </xdr:to>
    <xdr:sp macro="" textlink="">
      <xdr:nvSpPr>
        <xdr:cNvPr id="58" name="TextovéPole 57"/>
        <xdr:cNvSpPr txBox="1"/>
      </xdr:nvSpPr>
      <xdr:spPr>
        <a:xfrm>
          <a:off x="12506325" y="6601015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292</xdr:row>
      <xdr:rowOff>40004</xdr:rowOff>
    </xdr:from>
    <xdr:to>
      <xdr:col>18</xdr:col>
      <xdr:colOff>0</xdr:colOff>
      <xdr:row>293</xdr:row>
      <xdr:rowOff>152399</xdr:rowOff>
    </xdr:to>
    <xdr:sp macro="" textlink="">
      <xdr:nvSpPr>
        <xdr:cNvPr id="59" name="TextovéPole 58"/>
        <xdr:cNvSpPr txBox="1"/>
      </xdr:nvSpPr>
      <xdr:spPr>
        <a:xfrm>
          <a:off x="12506325" y="6513385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312</xdr:row>
      <xdr:rowOff>123825</xdr:rowOff>
    </xdr:from>
    <xdr:to>
      <xdr:col>18</xdr:col>
      <xdr:colOff>0</xdr:colOff>
      <xdr:row>320</xdr:row>
      <xdr:rowOff>0</xdr:rowOff>
    </xdr:to>
    <xdr:sp macro="" textlink="">
      <xdr:nvSpPr>
        <xdr:cNvPr id="60" name="TextovéPole 59"/>
        <xdr:cNvSpPr txBox="1"/>
      </xdr:nvSpPr>
      <xdr:spPr>
        <a:xfrm>
          <a:off x="12506325" y="69132450"/>
          <a:ext cx="0" cy="1457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332</xdr:row>
      <xdr:rowOff>40004</xdr:rowOff>
    </xdr:from>
    <xdr:to>
      <xdr:col>18</xdr:col>
      <xdr:colOff>0</xdr:colOff>
      <xdr:row>333</xdr:row>
      <xdr:rowOff>152572</xdr:rowOff>
    </xdr:to>
    <xdr:sp macro="" textlink="">
      <xdr:nvSpPr>
        <xdr:cNvPr id="61" name="TextovéPole 60"/>
        <xdr:cNvSpPr txBox="1"/>
      </xdr:nvSpPr>
      <xdr:spPr>
        <a:xfrm>
          <a:off x="12506325" y="72982454"/>
          <a:ext cx="0" cy="3030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318</xdr:row>
      <xdr:rowOff>116205</xdr:rowOff>
    </xdr:from>
    <xdr:to>
      <xdr:col>18</xdr:col>
      <xdr:colOff>0</xdr:colOff>
      <xdr:row>326</xdr:row>
      <xdr:rowOff>28575</xdr:rowOff>
    </xdr:to>
    <xdr:sp macro="" textlink="">
      <xdr:nvSpPr>
        <xdr:cNvPr id="62" name="TextovéPole 61"/>
        <xdr:cNvSpPr txBox="1"/>
      </xdr:nvSpPr>
      <xdr:spPr>
        <a:xfrm>
          <a:off x="12506325" y="70305930"/>
          <a:ext cx="0" cy="14935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322</xdr:row>
      <xdr:rowOff>116205</xdr:rowOff>
    </xdr:from>
    <xdr:to>
      <xdr:col>18</xdr:col>
      <xdr:colOff>0</xdr:colOff>
      <xdr:row>330</xdr:row>
      <xdr:rowOff>36270</xdr:rowOff>
    </xdr:to>
    <xdr:sp macro="" textlink="">
      <xdr:nvSpPr>
        <xdr:cNvPr id="63" name="TextovéPole 62"/>
        <xdr:cNvSpPr txBox="1"/>
      </xdr:nvSpPr>
      <xdr:spPr>
        <a:xfrm>
          <a:off x="12506325" y="7110603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318</xdr:row>
      <xdr:rowOff>40004</xdr:rowOff>
    </xdr:from>
    <xdr:to>
      <xdr:col>18</xdr:col>
      <xdr:colOff>0</xdr:colOff>
      <xdr:row>319</xdr:row>
      <xdr:rowOff>152399</xdr:rowOff>
    </xdr:to>
    <xdr:sp macro="" textlink="">
      <xdr:nvSpPr>
        <xdr:cNvPr id="64" name="TextovéPole 63"/>
        <xdr:cNvSpPr txBox="1"/>
      </xdr:nvSpPr>
      <xdr:spPr>
        <a:xfrm>
          <a:off x="12506325" y="7022972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322</xdr:row>
      <xdr:rowOff>116205</xdr:rowOff>
    </xdr:from>
    <xdr:to>
      <xdr:col>18</xdr:col>
      <xdr:colOff>0</xdr:colOff>
      <xdr:row>330</xdr:row>
      <xdr:rowOff>36270</xdr:rowOff>
    </xdr:to>
    <xdr:sp macro="" textlink="">
      <xdr:nvSpPr>
        <xdr:cNvPr id="65" name="TextovéPole 64"/>
        <xdr:cNvSpPr txBox="1"/>
      </xdr:nvSpPr>
      <xdr:spPr>
        <a:xfrm>
          <a:off x="12506325" y="7110603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318</xdr:row>
      <xdr:rowOff>40004</xdr:rowOff>
    </xdr:from>
    <xdr:to>
      <xdr:col>18</xdr:col>
      <xdr:colOff>0</xdr:colOff>
      <xdr:row>319</xdr:row>
      <xdr:rowOff>152399</xdr:rowOff>
    </xdr:to>
    <xdr:sp macro="" textlink="">
      <xdr:nvSpPr>
        <xdr:cNvPr id="66" name="TextovéPole 65"/>
        <xdr:cNvSpPr txBox="1"/>
      </xdr:nvSpPr>
      <xdr:spPr>
        <a:xfrm>
          <a:off x="12506325" y="7022972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322</xdr:row>
      <xdr:rowOff>116205</xdr:rowOff>
    </xdr:from>
    <xdr:to>
      <xdr:col>18</xdr:col>
      <xdr:colOff>0</xdr:colOff>
      <xdr:row>330</xdr:row>
      <xdr:rowOff>36270</xdr:rowOff>
    </xdr:to>
    <xdr:sp macro="" textlink="">
      <xdr:nvSpPr>
        <xdr:cNvPr id="67" name="TextovéPole 66"/>
        <xdr:cNvSpPr txBox="1"/>
      </xdr:nvSpPr>
      <xdr:spPr>
        <a:xfrm>
          <a:off x="12506325" y="7110603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318</xdr:row>
      <xdr:rowOff>40004</xdr:rowOff>
    </xdr:from>
    <xdr:to>
      <xdr:col>18</xdr:col>
      <xdr:colOff>0</xdr:colOff>
      <xdr:row>319</xdr:row>
      <xdr:rowOff>152399</xdr:rowOff>
    </xdr:to>
    <xdr:sp macro="" textlink="">
      <xdr:nvSpPr>
        <xdr:cNvPr id="68" name="TextovéPole 67"/>
        <xdr:cNvSpPr txBox="1"/>
      </xdr:nvSpPr>
      <xdr:spPr>
        <a:xfrm>
          <a:off x="12506325" y="7022972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348</xdr:row>
      <xdr:rowOff>116205</xdr:rowOff>
    </xdr:from>
    <xdr:to>
      <xdr:col>18</xdr:col>
      <xdr:colOff>0</xdr:colOff>
      <xdr:row>356</xdr:row>
      <xdr:rowOff>36270</xdr:rowOff>
    </xdr:to>
    <xdr:sp macro="" textlink="">
      <xdr:nvSpPr>
        <xdr:cNvPr id="69" name="TextovéPole 68"/>
        <xdr:cNvSpPr txBox="1"/>
      </xdr:nvSpPr>
      <xdr:spPr>
        <a:xfrm>
          <a:off x="12506325" y="7620190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344</xdr:row>
      <xdr:rowOff>40004</xdr:rowOff>
    </xdr:from>
    <xdr:to>
      <xdr:col>18</xdr:col>
      <xdr:colOff>0</xdr:colOff>
      <xdr:row>345</xdr:row>
      <xdr:rowOff>152399</xdr:rowOff>
    </xdr:to>
    <xdr:sp macro="" textlink="">
      <xdr:nvSpPr>
        <xdr:cNvPr id="70" name="TextovéPole 69"/>
        <xdr:cNvSpPr txBox="1"/>
      </xdr:nvSpPr>
      <xdr:spPr>
        <a:xfrm>
          <a:off x="12506325" y="7532560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348</xdr:row>
      <xdr:rowOff>116205</xdr:rowOff>
    </xdr:from>
    <xdr:to>
      <xdr:col>18</xdr:col>
      <xdr:colOff>0</xdr:colOff>
      <xdr:row>356</xdr:row>
      <xdr:rowOff>36270</xdr:rowOff>
    </xdr:to>
    <xdr:sp macro="" textlink="">
      <xdr:nvSpPr>
        <xdr:cNvPr id="71" name="TextovéPole 70"/>
        <xdr:cNvSpPr txBox="1"/>
      </xdr:nvSpPr>
      <xdr:spPr>
        <a:xfrm>
          <a:off x="12506325" y="7620190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344</xdr:row>
      <xdr:rowOff>40004</xdr:rowOff>
    </xdr:from>
    <xdr:to>
      <xdr:col>18</xdr:col>
      <xdr:colOff>0</xdr:colOff>
      <xdr:row>345</xdr:row>
      <xdr:rowOff>152399</xdr:rowOff>
    </xdr:to>
    <xdr:sp macro="" textlink="">
      <xdr:nvSpPr>
        <xdr:cNvPr id="72" name="TextovéPole 71"/>
        <xdr:cNvSpPr txBox="1"/>
      </xdr:nvSpPr>
      <xdr:spPr>
        <a:xfrm>
          <a:off x="12506325" y="7532560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338</xdr:row>
      <xdr:rowOff>123825</xdr:rowOff>
    </xdr:from>
    <xdr:to>
      <xdr:col>18</xdr:col>
      <xdr:colOff>0</xdr:colOff>
      <xdr:row>346</xdr:row>
      <xdr:rowOff>0</xdr:rowOff>
    </xdr:to>
    <xdr:sp macro="" textlink="">
      <xdr:nvSpPr>
        <xdr:cNvPr id="73" name="TextovéPole 72"/>
        <xdr:cNvSpPr txBox="1"/>
      </xdr:nvSpPr>
      <xdr:spPr>
        <a:xfrm>
          <a:off x="12506325" y="74228325"/>
          <a:ext cx="0" cy="1457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358</xdr:row>
      <xdr:rowOff>40004</xdr:rowOff>
    </xdr:from>
    <xdr:to>
      <xdr:col>18</xdr:col>
      <xdr:colOff>0</xdr:colOff>
      <xdr:row>359</xdr:row>
      <xdr:rowOff>152572</xdr:rowOff>
    </xdr:to>
    <xdr:sp macro="" textlink="">
      <xdr:nvSpPr>
        <xdr:cNvPr id="74" name="TextovéPole 73"/>
        <xdr:cNvSpPr txBox="1"/>
      </xdr:nvSpPr>
      <xdr:spPr>
        <a:xfrm>
          <a:off x="12506325" y="78078329"/>
          <a:ext cx="0" cy="3030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344</xdr:row>
      <xdr:rowOff>116205</xdr:rowOff>
    </xdr:from>
    <xdr:to>
      <xdr:col>18</xdr:col>
      <xdr:colOff>0</xdr:colOff>
      <xdr:row>352</xdr:row>
      <xdr:rowOff>28575</xdr:rowOff>
    </xdr:to>
    <xdr:sp macro="" textlink="">
      <xdr:nvSpPr>
        <xdr:cNvPr id="75" name="TextovéPole 74"/>
        <xdr:cNvSpPr txBox="1"/>
      </xdr:nvSpPr>
      <xdr:spPr>
        <a:xfrm>
          <a:off x="12506325" y="75401805"/>
          <a:ext cx="0" cy="14935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348</xdr:row>
      <xdr:rowOff>116205</xdr:rowOff>
    </xdr:from>
    <xdr:to>
      <xdr:col>18</xdr:col>
      <xdr:colOff>0</xdr:colOff>
      <xdr:row>356</xdr:row>
      <xdr:rowOff>36270</xdr:rowOff>
    </xdr:to>
    <xdr:sp macro="" textlink="">
      <xdr:nvSpPr>
        <xdr:cNvPr id="76" name="TextovéPole 75"/>
        <xdr:cNvSpPr txBox="1"/>
      </xdr:nvSpPr>
      <xdr:spPr>
        <a:xfrm>
          <a:off x="12506325" y="7620190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344</xdr:row>
      <xdr:rowOff>40004</xdr:rowOff>
    </xdr:from>
    <xdr:to>
      <xdr:col>18</xdr:col>
      <xdr:colOff>0</xdr:colOff>
      <xdr:row>345</xdr:row>
      <xdr:rowOff>152399</xdr:rowOff>
    </xdr:to>
    <xdr:sp macro="" textlink="">
      <xdr:nvSpPr>
        <xdr:cNvPr id="77" name="TextovéPole 76"/>
        <xdr:cNvSpPr txBox="1"/>
      </xdr:nvSpPr>
      <xdr:spPr>
        <a:xfrm>
          <a:off x="12506325" y="7532560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348</xdr:row>
      <xdr:rowOff>116205</xdr:rowOff>
    </xdr:from>
    <xdr:to>
      <xdr:col>18</xdr:col>
      <xdr:colOff>0</xdr:colOff>
      <xdr:row>356</xdr:row>
      <xdr:rowOff>36270</xdr:rowOff>
    </xdr:to>
    <xdr:sp macro="" textlink="">
      <xdr:nvSpPr>
        <xdr:cNvPr id="78" name="TextovéPole 77"/>
        <xdr:cNvSpPr txBox="1"/>
      </xdr:nvSpPr>
      <xdr:spPr>
        <a:xfrm>
          <a:off x="12506325" y="7620190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344</xdr:row>
      <xdr:rowOff>40004</xdr:rowOff>
    </xdr:from>
    <xdr:to>
      <xdr:col>18</xdr:col>
      <xdr:colOff>0</xdr:colOff>
      <xdr:row>345</xdr:row>
      <xdr:rowOff>152399</xdr:rowOff>
    </xdr:to>
    <xdr:sp macro="" textlink="">
      <xdr:nvSpPr>
        <xdr:cNvPr id="79" name="TextovéPole 78"/>
        <xdr:cNvSpPr txBox="1"/>
      </xdr:nvSpPr>
      <xdr:spPr>
        <a:xfrm>
          <a:off x="12506325" y="7532560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348</xdr:row>
      <xdr:rowOff>116205</xdr:rowOff>
    </xdr:from>
    <xdr:to>
      <xdr:col>18</xdr:col>
      <xdr:colOff>0</xdr:colOff>
      <xdr:row>356</xdr:row>
      <xdr:rowOff>36270</xdr:rowOff>
    </xdr:to>
    <xdr:sp macro="" textlink="">
      <xdr:nvSpPr>
        <xdr:cNvPr id="80" name="TextovéPole 79"/>
        <xdr:cNvSpPr txBox="1"/>
      </xdr:nvSpPr>
      <xdr:spPr>
        <a:xfrm>
          <a:off x="12506325" y="7620190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344</xdr:row>
      <xdr:rowOff>40004</xdr:rowOff>
    </xdr:from>
    <xdr:to>
      <xdr:col>18</xdr:col>
      <xdr:colOff>0</xdr:colOff>
      <xdr:row>345</xdr:row>
      <xdr:rowOff>152399</xdr:rowOff>
    </xdr:to>
    <xdr:sp macro="" textlink="">
      <xdr:nvSpPr>
        <xdr:cNvPr id="81" name="TextovéPole 80"/>
        <xdr:cNvSpPr txBox="1"/>
      </xdr:nvSpPr>
      <xdr:spPr>
        <a:xfrm>
          <a:off x="12506325" y="7532560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374</xdr:row>
      <xdr:rowOff>116205</xdr:rowOff>
    </xdr:from>
    <xdr:to>
      <xdr:col>18</xdr:col>
      <xdr:colOff>0</xdr:colOff>
      <xdr:row>382</xdr:row>
      <xdr:rowOff>36270</xdr:rowOff>
    </xdr:to>
    <xdr:sp macro="" textlink="">
      <xdr:nvSpPr>
        <xdr:cNvPr id="82" name="TextovéPole 81"/>
        <xdr:cNvSpPr txBox="1"/>
      </xdr:nvSpPr>
      <xdr:spPr>
        <a:xfrm>
          <a:off x="12506325" y="8129778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370</xdr:row>
      <xdr:rowOff>40004</xdr:rowOff>
    </xdr:from>
    <xdr:to>
      <xdr:col>18</xdr:col>
      <xdr:colOff>0</xdr:colOff>
      <xdr:row>371</xdr:row>
      <xdr:rowOff>152399</xdr:rowOff>
    </xdr:to>
    <xdr:sp macro="" textlink="">
      <xdr:nvSpPr>
        <xdr:cNvPr id="83" name="TextovéPole 82"/>
        <xdr:cNvSpPr txBox="1"/>
      </xdr:nvSpPr>
      <xdr:spPr>
        <a:xfrm>
          <a:off x="12506325" y="8042147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374</xdr:row>
      <xdr:rowOff>116205</xdr:rowOff>
    </xdr:from>
    <xdr:to>
      <xdr:col>18</xdr:col>
      <xdr:colOff>0</xdr:colOff>
      <xdr:row>382</xdr:row>
      <xdr:rowOff>36270</xdr:rowOff>
    </xdr:to>
    <xdr:sp macro="" textlink="">
      <xdr:nvSpPr>
        <xdr:cNvPr id="84" name="TextovéPole 83"/>
        <xdr:cNvSpPr txBox="1"/>
      </xdr:nvSpPr>
      <xdr:spPr>
        <a:xfrm>
          <a:off x="12506325" y="8129778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370</xdr:row>
      <xdr:rowOff>40004</xdr:rowOff>
    </xdr:from>
    <xdr:to>
      <xdr:col>18</xdr:col>
      <xdr:colOff>0</xdr:colOff>
      <xdr:row>371</xdr:row>
      <xdr:rowOff>152399</xdr:rowOff>
    </xdr:to>
    <xdr:sp macro="" textlink="">
      <xdr:nvSpPr>
        <xdr:cNvPr id="85" name="TextovéPole 84"/>
        <xdr:cNvSpPr txBox="1"/>
      </xdr:nvSpPr>
      <xdr:spPr>
        <a:xfrm>
          <a:off x="12506325" y="8042147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364</xdr:row>
      <xdr:rowOff>123825</xdr:rowOff>
    </xdr:from>
    <xdr:to>
      <xdr:col>18</xdr:col>
      <xdr:colOff>0</xdr:colOff>
      <xdr:row>372</xdr:row>
      <xdr:rowOff>0</xdr:rowOff>
    </xdr:to>
    <xdr:sp macro="" textlink="">
      <xdr:nvSpPr>
        <xdr:cNvPr id="86" name="TextovéPole 85"/>
        <xdr:cNvSpPr txBox="1"/>
      </xdr:nvSpPr>
      <xdr:spPr>
        <a:xfrm>
          <a:off x="12506325" y="79324200"/>
          <a:ext cx="0" cy="1457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384</xdr:row>
      <xdr:rowOff>40004</xdr:rowOff>
    </xdr:from>
    <xdr:to>
      <xdr:col>18</xdr:col>
      <xdr:colOff>0</xdr:colOff>
      <xdr:row>385</xdr:row>
      <xdr:rowOff>152572</xdr:rowOff>
    </xdr:to>
    <xdr:sp macro="" textlink="">
      <xdr:nvSpPr>
        <xdr:cNvPr id="87" name="TextovéPole 86"/>
        <xdr:cNvSpPr txBox="1"/>
      </xdr:nvSpPr>
      <xdr:spPr>
        <a:xfrm>
          <a:off x="12506325" y="83174204"/>
          <a:ext cx="0" cy="3030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370</xdr:row>
      <xdr:rowOff>116205</xdr:rowOff>
    </xdr:from>
    <xdr:to>
      <xdr:col>18</xdr:col>
      <xdr:colOff>0</xdr:colOff>
      <xdr:row>378</xdr:row>
      <xdr:rowOff>28575</xdr:rowOff>
    </xdr:to>
    <xdr:sp macro="" textlink="">
      <xdr:nvSpPr>
        <xdr:cNvPr id="88" name="TextovéPole 87"/>
        <xdr:cNvSpPr txBox="1"/>
      </xdr:nvSpPr>
      <xdr:spPr>
        <a:xfrm>
          <a:off x="12506325" y="80497680"/>
          <a:ext cx="0" cy="14935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374</xdr:row>
      <xdr:rowOff>116205</xdr:rowOff>
    </xdr:from>
    <xdr:to>
      <xdr:col>18</xdr:col>
      <xdr:colOff>0</xdr:colOff>
      <xdr:row>382</xdr:row>
      <xdr:rowOff>36270</xdr:rowOff>
    </xdr:to>
    <xdr:sp macro="" textlink="">
      <xdr:nvSpPr>
        <xdr:cNvPr id="89" name="TextovéPole 88"/>
        <xdr:cNvSpPr txBox="1"/>
      </xdr:nvSpPr>
      <xdr:spPr>
        <a:xfrm>
          <a:off x="12506325" y="8129778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370</xdr:row>
      <xdr:rowOff>40004</xdr:rowOff>
    </xdr:from>
    <xdr:to>
      <xdr:col>18</xdr:col>
      <xdr:colOff>0</xdr:colOff>
      <xdr:row>371</xdr:row>
      <xdr:rowOff>152399</xdr:rowOff>
    </xdr:to>
    <xdr:sp macro="" textlink="">
      <xdr:nvSpPr>
        <xdr:cNvPr id="90" name="TextovéPole 89"/>
        <xdr:cNvSpPr txBox="1"/>
      </xdr:nvSpPr>
      <xdr:spPr>
        <a:xfrm>
          <a:off x="12506325" y="8042147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374</xdr:row>
      <xdr:rowOff>116205</xdr:rowOff>
    </xdr:from>
    <xdr:to>
      <xdr:col>18</xdr:col>
      <xdr:colOff>0</xdr:colOff>
      <xdr:row>382</xdr:row>
      <xdr:rowOff>36270</xdr:rowOff>
    </xdr:to>
    <xdr:sp macro="" textlink="">
      <xdr:nvSpPr>
        <xdr:cNvPr id="91" name="TextovéPole 90"/>
        <xdr:cNvSpPr txBox="1"/>
      </xdr:nvSpPr>
      <xdr:spPr>
        <a:xfrm>
          <a:off x="12506325" y="8129778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370</xdr:row>
      <xdr:rowOff>40004</xdr:rowOff>
    </xdr:from>
    <xdr:to>
      <xdr:col>18</xdr:col>
      <xdr:colOff>0</xdr:colOff>
      <xdr:row>371</xdr:row>
      <xdr:rowOff>152399</xdr:rowOff>
    </xdr:to>
    <xdr:sp macro="" textlink="">
      <xdr:nvSpPr>
        <xdr:cNvPr id="92" name="TextovéPole 91"/>
        <xdr:cNvSpPr txBox="1"/>
      </xdr:nvSpPr>
      <xdr:spPr>
        <a:xfrm>
          <a:off x="12506325" y="8042147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374</xdr:row>
      <xdr:rowOff>116205</xdr:rowOff>
    </xdr:from>
    <xdr:to>
      <xdr:col>18</xdr:col>
      <xdr:colOff>0</xdr:colOff>
      <xdr:row>382</xdr:row>
      <xdr:rowOff>36270</xdr:rowOff>
    </xdr:to>
    <xdr:sp macro="" textlink="">
      <xdr:nvSpPr>
        <xdr:cNvPr id="93" name="TextovéPole 92"/>
        <xdr:cNvSpPr txBox="1"/>
      </xdr:nvSpPr>
      <xdr:spPr>
        <a:xfrm>
          <a:off x="12506325" y="8129778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370</xdr:row>
      <xdr:rowOff>40004</xdr:rowOff>
    </xdr:from>
    <xdr:to>
      <xdr:col>18</xdr:col>
      <xdr:colOff>0</xdr:colOff>
      <xdr:row>371</xdr:row>
      <xdr:rowOff>152399</xdr:rowOff>
    </xdr:to>
    <xdr:sp macro="" textlink="">
      <xdr:nvSpPr>
        <xdr:cNvPr id="94" name="TextovéPole 93"/>
        <xdr:cNvSpPr txBox="1"/>
      </xdr:nvSpPr>
      <xdr:spPr>
        <a:xfrm>
          <a:off x="12506325" y="8042147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404</xdr:row>
      <xdr:rowOff>40004</xdr:rowOff>
    </xdr:from>
    <xdr:to>
      <xdr:col>18</xdr:col>
      <xdr:colOff>0</xdr:colOff>
      <xdr:row>405</xdr:row>
      <xdr:rowOff>152399</xdr:rowOff>
    </xdr:to>
    <xdr:sp macro="" textlink="">
      <xdr:nvSpPr>
        <xdr:cNvPr id="95" name="TextovéPole 94"/>
        <xdr:cNvSpPr txBox="1"/>
      </xdr:nvSpPr>
      <xdr:spPr>
        <a:xfrm>
          <a:off x="12506325" y="8709850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400</xdr:row>
      <xdr:rowOff>116205</xdr:rowOff>
    </xdr:from>
    <xdr:to>
      <xdr:col>18</xdr:col>
      <xdr:colOff>0</xdr:colOff>
      <xdr:row>408</xdr:row>
      <xdr:rowOff>36270</xdr:rowOff>
    </xdr:to>
    <xdr:sp macro="" textlink="">
      <xdr:nvSpPr>
        <xdr:cNvPr id="96" name="TextovéPole 95"/>
        <xdr:cNvSpPr txBox="1"/>
      </xdr:nvSpPr>
      <xdr:spPr>
        <a:xfrm>
          <a:off x="12506325" y="8639365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396</xdr:row>
      <xdr:rowOff>40004</xdr:rowOff>
    </xdr:from>
    <xdr:to>
      <xdr:col>18</xdr:col>
      <xdr:colOff>0</xdr:colOff>
      <xdr:row>397</xdr:row>
      <xdr:rowOff>152399</xdr:rowOff>
    </xdr:to>
    <xdr:sp macro="" textlink="">
      <xdr:nvSpPr>
        <xdr:cNvPr id="97" name="TextovéPole 96"/>
        <xdr:cNvSpPr txBox="1"/>
      </xdr:nvSpPr>
      <xdr:spPr>
        <a:xfrm>
          <a:off x="12506325" y="8551735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400</xdr:row>
      <xdr:rowOff>116205</xdr:rowOff>
    </xdr:from>
    <xdr:to>
      <xdr:col>18</xdr:col>
      <xdr:colOff>0</xdr:colOff>
      <xdr:row>408</xdr:row>
      <xdr:rowOff>36270</xdr:rowOff>
    </xdr:to>
    <xdr:sp macro="" textlink="">
      <xdr:nvSpPr>
        <xdr:cNvPr id="98" name="TextovéPole 97"/>
        <xdr:cNvSpPr txBox="1"/>
      </xdr:nvSpPr>
      <xdr:spPr>
        <a:xfrm>
          <a:off x="12506325" y="8639365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396</xdr:row>
      <xdr:rowOff>40004</xdr:rowOff>
    </xdr:from>
    <xdr:to>
      <xdr:col>18</xdr:col>
      <xdr:colOff>0</xdr:colOff>
      <xdr:row>397</xdr:row>
      <xdr:rowOff>152399</xdr:rowOff>
    </xdr:to>
    <xdr:sp macro="" textlink="">
      <xdr:nvSpPr>
        <xdr:cNvPr id="99" name="TextovéPole 98"/>
        <xdr:cNvSpPr txBox="1"/>
      </xdr:nvSpPr>
      <xdr:spPr>
        <a:xfrm>
          <a:off x="12506325" y="8551735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390</xdr:row>
      <xdr:rowOff>123825</xdr:rowOff>
    </xdr:from>
    <xdr:to>
      <xdr:col>18</xdr:col>
      <xdr:colOff>0</xdr:colOff>
      <xdr:row>398</xdr:row>
      <xdr:rowOff>0</xdr:rowOff>
    </xdr:to>
    <xdr:sp macro="" textlink="">
      <xdr:nvSpPr>
        <xdr:cNvPr id="100" name="TextovéPole 99"/>
        <xdr:cNvSpPr txBox="1"/>
      </xdr:nvSpPr>
      <xdr:spPr>
        <a:xfrm>
          <a:off x="12506325" y="84420075"/>
          <a:ext cx="0" cy="1457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410</xdr:row>
      <xdr:rowOff>40004</xdr:rowOff>
    </xdr:from>
    <xdr:to>
      <xdr:col>18</xdr:col>
      <xdr:colOff>0</xdr:colOff>
      <xdr:row>411</xdr:row>
      <xdr:rowOff>152572</xdr:rowOff>
    </xdr:to>
    <xdr:sp macro="" textlink="">
      <xdr:nvSpPr>
        <xdr:cNvPr id="101" name="TextovéPole 100"/>
        <xdr:cNvSpPr txBox="1"/>
      </xdr:nvSpPr>
      <xdr:spPr>
        <a:xfrm>
          <a:off x="12506325" y="88270079"/>
          <a:ext cx="0" cy="3030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396</xdr:row>
      <xdr:rowOff>116205</xdr:rowOff>
    </xdr:from>
    <xdr:to>
      <xdr:col>18</xdr:col>
      <xdr:colOff>0</xdr:colOff>
      <xdr:row>404</xdr:row>
      <xdr:rowOff>28575</xdr:rowOff>
    </xdr:to>
    <xdr:sp macro="" textlink="">
      <xdr:nvSpPr>
        <xdr:cNvPr id="102" name="TextovéPole 101"/>
        <xdr:cNvSpPr txBox="1"/>
      </xdr:nvSpPr>
      <xdr:spPr>
        <a:xfrm>
          <a:off x="12506325" y="85593555"/>
          <a:ext cx="0" cy="14935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400</xdr:row>
      <xdr:rowOff>116205</xdr:rowOff>
    </xdr:from>
    <xdr:to>
      <xdr:col>18</xdr:col>
      <xdr:colOff>0</xdr:colOff>
      <xdr:row>408</xdr:row>
      <xdr:rowOff>36270</xdr:rowOff>
    </xdr:to>
    <xdr:sp macro="" textlink="">
      <xdr:nvSpPr>
        <xdr:cNvPr id="103" name="TextovéPole 102"/>
        <xdr:cNvSpPr txBox="1"/>
      </xdr:nvSpPr>
      <xdr:spPr>
        <a:xfrm>
          <a:off x="12506325" y="8639365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396</xdr:row>
      <xdr:rowOff>40004</xdr:rowOff>
    </xdr:from>
    <xdr:to>
      <xdr:col>18</xdr:col>
      <xdr:colOff>0</xdr:colOff>
      <xdr:row>397</xdr:row>
      <xdr:rowOff>152399</xdr:rowOff>
    </xdr:to>
    <xdr:sp macro="" textlink="">
      <xdr:nvSpPr>
        <xdr:cNvPr id="104" name="TextovéPole 103"/>
        <xdr:cNvSpPr txBox="1"/>
      </xdr:nvSpPr>
      <xdr:spPr>
        <a:xfrm>
          <a:off x="12506325" y="8551735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400</xdr:row>
      <xdr:rowOff>116205</xdr:rowOff>
    </xdr:from>
    <xdr:to>
      <xdr:col>18</xdr:col>
      <xdr:colOff>0</xdr:colOff>
      <xdr:row>408</xdr:row>
      <xdr:rowOff>36270</xdr:rowOff>
    </xdr:to>
    <xdr:sp macro="" textlink="">
      <xdr:nvSpPr>
        <xdr:cNvPr id="105" name="TextovéPole 104"/>
        <xdr:cNvSpPr txBox="1"/>
      </xdr:nvSpPr>
      <xdr:spPr>
        <a:xfrm>
          <a:off x="12506325" y="8639365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396</xdr:row>
      <xdr:rowOff>40004</xdr:rowOff>
    </xdr:from>
    <xdr:to>
      <xdr:col>18</xdr:col>
      <xdr:colOff>0</xdr:colOff>
      <xdr:row>397</xdr:row>
      <xdr:rowOff>152399</xdr:rowOff>
    </xdr:to>
    <xdr:sp macro="" textlink="">
      <xdr:nvSpPr>
        <xdr:cNvPr id="106" name="TextovéPole 105"/>
        <xdr:cNvSpPr txBox="1"/>
      </xdr:nvSpPr>
      <xdr:spPr>
        <a:xfrm>
          <a:off x="12506325" y="8551735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400</xdr:row>
      <xdr:rowOff>116205</xdr:rowOff>
    </xdr:from>
    <xdr:to>
      <xdr:col>18</xdr:col>
      <xdr:colOff>0</xdr:colOff>
      <xdr:row>408</xdr:row>
      <xdr:rowOff>36270</xdr:rowOff>
    </xdr:to>
    <xdr:sp macro="" textlink="">
      <xdr:nvSpPr>
        <xdr:cNvPr id="107" name="TextovéPole 106"/>
        <xdr:cNvSpPr txBox="1"/>
      </xdr:nvSpPr>
      <xdr:spPr>
        <a:xfrm>
          <a:off x="12506325" y="8639365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396</xdr:row>
      <xdr:rowOff>40004</xdr:rowOff>
    </xdr:from>
    <xdr:to>
      <xdr:col>18</xdr:col>
      <xdr:colOff>0</xdr:colOff>
      <xdr:row>397</xdr:row>
      <xdr:rowOff>152399</xdr:rowOff>
    </xdr:to>
    <xdr:sp macro="" textlink="">
      <xdr:nvSpPr>
        <xdr:cNvPr id="108" name="TextovéPole 107"/>
        <xdr:cNvSpPr txBox="1"/>
      </xdr:nvSpPr>
      <xdr:spPr>
        <a:xfrm>
          <a:off x="12506325" y="8551735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</xdr:col>
      <xdr:colOff>25401</xdr:colOff>
      <xdr:row>2</xdr:row>
      <xdr:rowOff>21168</xdr:rowOff>
    </xdr:from>
    <xdr:to>
      <xdr:col>17</xdr:col>
      <xdr:colOff>508001</xdr:colOff>
      <xdr:row>22</xdr:row>
      <xdr:rowOff>0</xdr:rowOff>
    </xdr:to>
    <xdr:sp macro="" textlink="">
      <xdr:nvSpPr>
        <xdr:cNvPr id="113" name="Zaoblený obdélník 112"/>
        <xdr:cNvSpPr/>
      </xdr:nvSpPr>
      <xdr:spPr>
        <a:xfrm>
          <a:off x="324758" y="402168"/>
          <a:ext cx="12239172" cy="3788832"/>
        </a:xfrm>
        <a:prstGeom prst="roundRect">
          <a:avLst>
            <a:gd name="adj" fmla="val 8062"/>
          </a:avLst>
        </a:prstGeom>
        <a:noFill/>
        <a:ln>
          <a:solidFill>
            <a:schemeClr val="bg1">
              <a:lumMod val="65000"/>
            </a:schemeClr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1</xdr:col>
      <xdr:colOff>275170</xdr:colOff>
      <xdr:row>0</xdr:row>
      <xdr:rowOff>148166</xdr:rowOff>
    </xdr:from>
    <xdr:to>
      <xdr:col>3</xdr:col>
      <xdr:colOff>179916</xdr:colOff>
      <xdr:row>4</xdr:row>
      <xdr:rowOff>42333</xdr:rowOff>
    </xdr:to>
    <xdr:sp macro="" textlink="">
      <xdr:nvSpPr>
        <xdr:cNvPr id="114" name="Zaoblený obdélník 113"/>
        <xdr:cNvSpPr/>
      </xdr:nvSpPr>
      <xdr:spPr>
        <a:xfrm>
          <a:off x="570445" y="7025216"/>
          <a:ext cx="2114546" cy="656167"/>
        </a:xfrm>
        <a:prstGeom prst="round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0">
              <a:solidFill>
                <a:schemeClr val="tx1">
                  <a:lumMod val="85000"/>
                  <a:lumOff val="15000"/>
                </a:schemeClr>
              </a:solidFill>
            </a:rPr>
            <a:t>Package selection</a:t>
          </a:r>
          <a:r>
            <a:rPr lang="en-US" sz="1100" b="0" baseline="0">
              <a:solidFill>
                <a:schemeClr val="tx1">
                  <a:lumMod val="85000"/>
                  <a:lumOff val="15000"/>
                </a:schemeClr>
              </a:solidFill>
            </a:rPr>
            <a:t> &amp; Comments</a:t>
          </a:r>
          <a:endParaRPr lang="cs-CZ" sz="1100" b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123825</xdr:rowOff>
        </xdr:from>
        <xdr:to>
          <xdr:col>2</xdr:col>
          <xdr:colOff>0</xdr:colOff>
          <xdr:row>7</xdr:row>
          <xdr:rowOff>9525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123825</xdr:rowOff>
        </xdr:from>
        <xdr:to>
          <xdr:col>2</xdr:col>
          <xdr:colOff>0</xdr:colOff>
          <xdr:row>8</xdr:row>
          <xdr:rowOff>76200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133350</xdr:rowOff>
        </xdr:from>
        <xdr:to>
          <xdr:col>2</xdr:col>
          <xdr:colOff>0</xdr:colOff>
          <xdr:row>9</xdr:row>
          <xdr:rowOff>85725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114300</xdr:rowOff>
        </xdr:from>
        <xdr:to>
          <xdr:col>2</xdr:col>
          <xdr:colOff>0</xdr:colOff>
          <xdr:row>10</xdr:row>
          <xdr:rowOff>76200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114300</xdr:rowOff>
        </xdr:from>
        <xdr:to>
          <xdr:col>2</xdr:col>
          <xdr:colOff>0</xdr:colOff>
          <xdr:row>11</xdr:row>
          <xdr:rowOff>76200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123825</xdr:rowOff>
        </xdr:from>
        <xdr:to>
          <xdr:col>2</xdr:col>
          <xdr:colOff>0</xdr:colOff>
          <xdr:row>12</xdr:row>
          <xdr:rowOff>9525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123825</xdr:rowOff>
        </xdr:from>
        <xdr:to>
          <xdr:col>2</xdr:col>
          <xdr:colOff>0</xdr:colOff>
          <xdr:row>13</xdr:row>
          <xdr:rowOff>9525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123825</xdr:rowOff>
        </xdr:from>
        <xdr:to>
          <xdr:col>2</xdr:col>
          <xdr:colOff>0</xdr:colOff>
          <xdr:row>14</xdr:row>
          <xdr:rowOff>9525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123825</xdr:rowOff>
        </xdr:from>
        <xdr:to>
          <xdr:col>2</xdr:col>
          <xdr:colOff>0</xdr:colOff>
          <xdr:row>15</xdr:row>
          <xdr:rowOff>9525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123825</xdr:rowOff>
        </xdr:from>
        <xdr:to>
          <xdr:col>2</xdr:col>
          <xdr:colOff>0</xdr:colOff>
          <xdr:row>16</xdr:row>
          <xdr:rowOff>9525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123825</xdr:rowOff>
        </xdr:from>
        <xdr:to>
          <xdr:col>2</xdr:col>
          <xdr:colOff>0</xdr:colOff>
          <xdr:row>17</xdr:row>
          <xdr:rowOff>9525</xdr:rowOff>
        </xdr:to>
        <xdr:sp macro="" textlink="">
          <xdr:nvSpPr>
            <xdr:cNvPr id="6155" name="Check Box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123825</xdr:rowOff>
        </xdr:from>
        <xdr:to>
          <xdr:col>2</xdr:col>
          <xdr:colOff>0</xdr:colOff>
          <xdr:row>18</xdr:row>
          <xdr:rowOff>9525</xdr:rowOff>
        </xdr:to>
        <xdr:sp macro="" textlink="">
          <xdr:nvSpPr>
            <xdr:cNvPr id="6156" name="Check Box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123825</xdr:rowOff>
        </xdr:from>
        <xdr:to>
          <xdr:col>2</xdr:col>
          <xdr:colOff>0</xdr:colOff>
          <xdr:row>19</xdr:row>
          <xdr:rowOff>9525</xdr:rowOff>
        </xdr:to>
        <xdr:sp macro="" textlink="">
          <xdr:nvSpPr>
            <xdr:cNvPr id="6157" name="Check Box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123825</xdr:rowOff>
        </xdr:from>
        <xdr:to>
          <xdr:col>2</xdr:col>
          <xdr:colOff>0</xdr:colOff>
          <xdr:row>20</xdr:row>
          <xdr:rowOff>9525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133350</xdr:rowOff>
        </xdr:from>
        <xdr:to>
          <xdr:col>2</xdr:col>
          <xdr:colOff>0</xdr:colOff>
          <xdr:row>21</xdr:row>
          <xdr:rowOff>28575</xdr:rowOff>
        </xdr:to>
        <xdr:sp macro="" textlink="">
          <xdr:nvSpPr>
            <xdr:cNvPr id="6159" name="Check Box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18</xdr:col>
      <xdr:colOff>0</xdr:colOff>
      <xdr:row>136</xdr:row>
      <xdr:rowOff>40004</xdr:rowOff>
    </xdr:from>
    <xdr:to>
      <xdr:col>18</xdr:col>
      <xdr:colOff>0</xdr:colOff>
      <xdr:row>137</xdr:row>
      <xdr:rowOff>152399</xdr:rowOff>
    </xdr:to>
    <xdr:sp macro="" textlink="">
      <xdr:nvSpPr>
        <xdr:cNvPr id="131" name="TextovéPole 130"/>
        <xdr:cNvSpPr txBox="1"/>
      </xdr:nvSpPr>
      <xdr:spPr>
        <a:xfrm>
          <a:off x="12506325" y="3455860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162</xdr:row>
      <xdr:rowOff>40004</xdr:rowOff>
    </xdr:from>
    <xdr:to>
      <xdr:col>18</xdr:col>
      <xdr:colOff>0</xdr:colOff>
      <xdr:row>163</xdr:row>
      <xdr:rowOff>152399</xdr:rowOff>
    </xdr:to>
    <xdr:sp macro="" textlink="">
      <xdr:nvSpPr>
        <xdr:cNvPr id="132" name="TextovéPole 131"/>
        <xdr:cNvSpPr txBox="1"/>
      </xdr:nvSpPr>
      <xdr:spPr>
        <a:xfrm>
          <a:off x="12506325" y="3965447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188</xdr:row>
      <xdr:rowOff>40004</xdr:rowOff>
    </xdr:from>
    <xdr:to>
      <xdr:col>18</xdr:col>
      <xdr:colOff>0</xdr:colOff>
      <xdr:row>189</xdr:row>
      <xdr:rowOff>152399</xdr:rowOff>
    </xdr:to>
    <xdr:sp macro="" textlink="">
      <xdr:nvSpPr>
        <xdr:cNvPr id="133" name="TextovéPole 132"/>
        <xdr:cNvSpPr txBox="1"/>
      </xdr:nvSpPr>
      <xdr:spPr>
        <a:xfrm>
          <a:off x="12506325" y="4475035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214</xdr:row>
      <xdr:rowOff>40004</xdr:rowOff>
    </xdr:from>
    <xdr:to>
      <xdr:col>18</xdr:col>
      <xdr:colOff>0</xdr:colOff>
      <xdr:row>215</xdr:row>
      <xdr:rowOff>152399</xdr:rowOff>
    </xdr:to>
    <xdr:sp macro="" textlink="">
      <xdr:nvSpPr>
        <xdr:cNvPr id="134" name="TextovéPole 133"/>
        <xdr:cNvSpPr txBox="1"/>
      </xdr:nvSpPr>
      <xdr:spPr>
        <a:xfrm>
          <a:off x="12506325" y="4984622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240</xdr:row>
      <xdr:rowOff>40004</xdr:rowOff>
    </xdr:from>
    <xdr:to>
      <xdr:col>18</xdr:col>
      <xdr:colOff>0</xdr:colOff>
      <xdr:row>241</xdr:row>
      <xdr:rowOff>152399</xdr:rowOff>
    </xdr:to>
    <xdr:sp macro="" textlink="">
      <xdr:nvSpPr>
        <xdr:cNvPr id="135" name="TextovéPole 134"/>
        <xdr:cNvSpPr txBox="1"/>
      </xdr:nvSpPr>
      <xdr:spPr>
        <a:xfrm>
          <a:off x="12506325" y="5494210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266</xdr:row>
      <xdr:rowOff>40004</xdr:rowOff>
    </xdr:from>
    <xdr:to>
      <xdr:col>18</xdr:col>
      <xdr:colOff>0</xdr:colOff>
      <xdr:row>267</xdr:row>
      <xdr:rowOff>152399</xdr:rowOff>
    </xdr:to>
    <xdr:sp macro="" textlink="">
      <xdr:nvSpPr>
        <xdr:cNvPr id="136" name="TextovéPole 135"/>
        <xdr:cNvSpPr txBox="1"/>
      </xdr:nvSpPr>
      <xdr:spPr>
        <a:xfrm>
          <a:off x="12506325" y="6003797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292</xdr:row>
      <xdr:rowOff>40004</xdr:rowOff>
    </xdr:from>
    <xdr:to>
      <xdr:col>18</xdr:col>
      <xdr:colOff>0</xdr:colOff>
      <xdr:row>293</xdr:row>
      <xdr:rowOff>152399</xdr:rowOff>
    </xdr:to>
    <xdr:sp macro="" textlink="">
      <xdr:nvSpPr>
        <xdr:cNvPr id="137" name="TextovéPole 136"/>
        <xdr:cNvSpPr txBox="1"/>
      </xdr:nvSpPr>
      <xdr:spPr>
        <a:xfrm>
          <a:off x="12506325" y="6513385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318</xdr:row>
      <xdr:rowOff>40004</xdr:rowOff>
    </xdr:from>
    <xdr:to>
      <xdr:col>18</xdr:col>
      <xdr:colOff>0</xdr:colOff>
      <xdr:row>319</xdr:row>
      <xdr:rowOff>152399</xdr:rowOff>
    </xdr:to>
    <xdr:sp macro="" textlink="">
      <xdr:nvSpPr>
        <xdr:cNvPr id="138" name="TextovéPole 137"/>
        <xdr:cNvSpPr txBox="1"/>
      </xdr:nvSpPr>
      <xdr:spPr>
        <a:xfrm>
          <a:off x="12506325" y="7022972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344</xdr:row>
      <xdr:rowOff>40004</xdr:rowOff>
    </xdr:from>
    <xdr:to>
      <xdr:col>18</xdr:col>
      <xdr:colOff>0</xdr:colOff>
      <xdr:row>345</xdr:row>
      <xdr:rowOff>152399</xdr:rowOff>
    </xdr:to>
    <xdr:sp macro="" textlink="">
      <xdr:nvSpPr>
        <xdr:cNvPr id="139" name="TextovéPole 138"/>
        <xdr:cNvSpPr txBox="1"/>
      </xdr:nvSpPr>
      <xdr:spPr>
        <a:xfrm>
          <a:off x="12506325" y="7532560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370</xdr:row>
      <xdr:rowOff>40004</xdr:rowOff>
    </xdr:from>
    <xdr:to>
      <xdr:col>18</xdr:col>
      <xdr:colOff>0</xdr:colOff>
      <xdr:row>371</xdr:row>
      <xdr:rowOff>152399</xdr:rowOff>
    </xdr:to>
    <xdr:sp macro="" textlink="">
      <xdr:nvSpPr>
        <xdr:cNvPr id="140" name="TextovéPole 139"/>
        <xdr:cNvSpPr txBox="1"/>
      </xdr:nvSpPr>
      <xdr:spPr>
        <a:xfrm>
          <a:off x="12506325" y="8042147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396</xdr:row>
      <xdr:rowOff>40004</xdr:rowOff>
    </xdr:from>
    <xdr:to>
      <xdr:col>18</xdr:col>
      <xdr:colOff>0</xdr:colOff>
      <xdr:row>397</xdr:row>
      <xdr:rowOff>152399</xdr:rowOff>
    </xdr:to>
    <xdr:sp macro="" textlink="">
      <xdr:nvSpPr>
        <xdr:cNvPr id="141" name="TextovéPole 140"/>
        <xdr:cNvSpPr txBox="1"/>
      </xdr:nvSpPr>
      <xdr:spPr>
        <a:xfrm>
          <a:off x="12506325" y="8551735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1304925</xdr:colOff>
          <xdr:row>5</xdr:row>
          <xdr:rowOff>161925</xdr:rowOff>
        </xdr:from>
        <xdr:to>
          <xdr:col>2</xdr:col>
          <xdr:colOff>171450</xdr:colOff>
          <xdr:row>7</xdr:row>
          <xdr:rowOff>0</xdr:rowOff>
        </xdr:to>
        <xdr:sp macro="" textlink="">
          <xdr:nvSpPr>
            <xdr:cNvPr id="6160" name="Check Box 16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1304925</xdr:colOff>
          <xdr:row>18</xdr:row>
          <xdr:rowOff>161925</xdr:rowOff>
        </xdr:from>
        <xdr:to>
          <xdr:col>2</xdr:col>
          <xdr:colOff>171450</xdr:colOff>
          <xdr:row>20</xdr:row>
          <xdr:rowOff>0</xdr:rowOff>
        </xdr:to>
        <xdr:sp macro="" textlink="">
          <xdr:nvSpPr>
            <xdr:cNvPr id="6161" name="Check Box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1304925</xdr:colOff>
          <xdr:row>6</xdr:row>
          <xdr:rowOff>171450</xdr:rowOff>
        </xdr:from>
        <xdr:to>
          <xdr:col>2</xdr:col>
          <xdr:colOff>171450</xdr:colOff>
          <xdr:row>8</xdr:row>
          <xdr:rowOff>0</xdr:rowOff>
        </xdr:to>
        <xdr:sp macro="" textlink="">
          <xdr:nvSpPr>
            <xdr:cNvPr id="6162" name="Check Box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1295400</xdr:colOff>
          <xdr:row>7</xdr:row>
          <xdr:rowOff>171450</xdr:rowOff>
        </xdr:from>
        <xdr:to>
          <xdr:col>2</xdr:col>
          <xdr:colOff>171450</xdr:colOff>
          <xdr:row>9</xdr:row>
          <xdr:rowOff>0</xdr:rowOff>
        </xdr:to>
        <xdr:sp macro="" textlink="">
          <xdr:nvSpPr>
            <xdr:cNvPr id="6163" name="Check Box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1295400</xdr:colOff>
          <xdr:row>8</xdr:row>
          <xdr:rowOff>180975</xdr:rowOff>
        </xdr:from>
        <xdr:to>
          <xdr:col>2</xdr:col>
          <xdr:colOff>171450</xdr:colOff>
          <xdr:row>10</xdr:row>
          <xdr:rowOff>9525</xdr:rowOff>
        </xdr:to>
        <xdr:sp macro="" textlink="">
          <xdr:nvSpPr>
            <xdr:cNvPr id="6164" name="Check Box 20" hidden="1">
              <a:extLst>
                <a:ext uri="{63B3BB69-23CF-44E3-9099-C40C66FF867C}">
                  <a14:compatExt spid="_x0000_s6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1295400</xdr:colOff>
          <xdr:row>9</xdr:row>
          <xdr:rowOff>180975</xdr:rowOff>
        </xdr:from>
        <xdr:to>
          <xdr:col>2</xdr:col>
          <xdr:colOff>171450</xdr:colOff>
          <xdr:row>11</xdr:row>
          <xdr:rowOff>9525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1295400</xdr:colOff>
          <xdr:row>10</xdr:row>
          <xdr:rowOff>180975</xdr:rowOff>
        </xdr:from>
        <xdr:to>
          <xdr:col>2</xdr:col>
          <xdr:colOff>180975</xdr:colOff>
          <xdr:row>12</xdr:row>
          <xdr:rowOff>9525</xdr:rowOff>
        </xdr:to>
        <xdr:sp macro="" textlink="">
          <xdr:nvSpPr>
            <xdr:cNvPr id="6166" name="Check Box 22" hidden="1">
              <a:extLst>
                <a:ext uri="{63B3BB69-23CF-44E3-9099-C40C66FF867C}">
                  <a14:compatExt spid="_x0000_s6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1304925</xdr:colOff>
          <xdr:row>11</xdr:row>
          <xdr:rowOff>180975</xdr:rowOff>
        </xdr:from>
        <xdr:to>
          <xdr:col>2</xdr:col>
          <xdr:colOff>171450</xdr:colOff>
          <xdr:row>13</xdr:row>
          <xdr:rowOff>9525</xdr:rowOff>
        </xdr:to>
        <xdr:sp macro="" textlink="">
          <xdr:nvSpPr>
            <xdr:cNvPr id="6167" name="Check Box 23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1304925</xdr:colOff>
          <xdr:row>12</xdr:row>
          <xdr:rowOff>180975</xdr:rowOff>
        </xdr:from>
        <xdr:to>
          <xdr:col>2</xdr:col>
          <xdr:colOff>171450</xdr:colOff>
          <xdr:row>14</xdr:row>
          <xdr:rowOff>9525</xdr:rowOff>
        </xdr:to>
        <xdr:sp macro="" textlink="">
          <xdr:nvSpPr>
            <xdr:cNvPr id="6168" name="Check Box 24" hidden="1">
              <a:extLst>
                <a:ext uri="{63B3BB69-23CF-44E3-9099-C40C66FF867C}">
                  <a14:compatExt spid="_x0000_s6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1304925</xdr:colOff>
          <xdr:row>13</xdr:row>
          <xdr:rowOff>171450</xdr:rowOff>
        </xdr:from>
        <xdr:to>
          <xdr:col>2</xdr:col>
          <xdr:colOff>171450</xdr:colOff>
          <xdr:row>15</xdr:row>
          <xdr:rowOff>0</xdr:rowOff>
        </xdr:to>
        <xdr:sp macro="" textlink="">
          <xdr:nvSpPr>
            <xdr:cNvPr id="6169" name="Check Box 25" hidden="1">
              <a:extLst>
                <a:ext uri="{63B3BB69-23CF-44E3-9099-C40C66FF867C}">
                  <a14:compatExt spid="_x0000_s6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1304925</xdr:colOff>
          <xdr:row>14</xdr:row>
          <xdr:rowOff>171450</xdr:rowOff>
        </xdr:from>
        <xdr:to>
          <xdr:col>2</xdr:col>
          <xdr:colOff>171450</xdr:colOff>
          <xdr:row>16</xdr:row>
          <xdr:rowOff>0</xdr:rowOff>
        </xdr:to>
        <xdr:sp macro="" textlink="">
          <xdr:nvSpPr>
            <xdr:cNvPr id="6170" name="Check Box 26" hidden="1">
              <a:extLst>
                <a:ext uri="{63B3BB69-23CF-44E3-9099-C40C66FF867C}">
                  <a14:compatExt spid="_x0000_s6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1304925</xdr:colOff>
          <xdr:row>15</xdr:row>
          <xdr:rowOff>171450</xdr:rowOff>
        </xdr:from>
        <xdr:to>
          <xdr:col>2</xdr:col>
          <xdr:colOff>171450</xdr:colOff>
          <xdr:row>17</xdr:row>
          <xdr:rowOff>0</xdr:rowOff>
        </xdr:to>
        <xdr:sp macro="" textlink="">
          <xdr:nvSpPr>
            <xdr:cNvPr id="6171" name="Check Box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1304925</xdr:colOff>
          <xdr:row>17</xdr:row>
          <xdr:rowOff>0</xdr:rowOff>
        </xdr:from>
        <xdr:to>
          <xdr:col>2</xdr:col>
          <xdr:colOff>171450</xdr:colOff>
          <xdr:row>18</xdr:row>
          <xdr:rowOff>28575</xdr:rowOff>
        </xdr:to>
        <xdr:sp macro="" textlink="">
          <xdr:nvSpPr>
            <xdr:cNvPr id="6172" name="Check Box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1304925</xdr:colOff>
          <xdr:row>17</xdr:row>
          <xdr:rowOff>180975</xdr:rowOff>
        </xdr:from>
        <xdr:to>
          <xdr:col>2</xdr:col>
          <xdr:colOff>171450</xdr:colOff>
          <xdr:row>19</xdr:row>
          <xdr:rowOff>9525</xdr:rowOff>
        </xdr:to>
        <xdr:sp macro="" textlink="">
          <xdr:nvSpPr>
            <xdr:cNvPr id="6173" name="Check Box 29" hidden="1">
              <a:extLst>
                <a:ext uri="{63B3BB69-23CF-44E3-9099-C40C66FF867C}">
                  <a14:compatExt spid="_x0000_s6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1304925</xdr:colOff>
          <xdr:row>19</xdr:row>
          <xdr:rowOff>142875</xdr:rowOff>
        </xdr:from>
        <xdr:to>
          <xdr:col>2</xdr:col>
          <xdr:colOff>171450</xdr:colOff>
          <xdr:row>20</xdr:row>
          <xdr:rowOff>171450</xdr:rowOff>
        </xdr:to>
        <xdr:sp macro="" textlink="">
          <xdr:nvSpPr>
            <xdr:cNvPr id="6174" name="Check Box 30" hidden="1">
              <a:extLst>
                <a:ext uri="{63B3BB69-23CF-44E3-9099-C40C66FF867C}">
                  <a14:compatExt spid="_x0000_s6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1304925</xdr:colOff>
          <xdr:row>5</xdr:row>
          <xdr:rowOff>161925</xdr:rowOff>
        </xdr:from>
        <xdr:to>
          <xdr:col>2</xdr:col>
          <xdr:colOff>171450</xdr:colOff>
          <xdr:row>7</xdr:row>
          <xdr:rowOff>0</xdr:rowOff>
        </xdr:to>
        <xdr:sp macro="" textlink="">
          <xdr:nvSpPr>
            <xdr:cNvPr id="6176" name="Check Box 32" hidden="1">
              <a:extLst>
                <a:ext uri="{63B3BB69-23CF-44E3-9099-C40C66FF867C}">
                  <a14:compatExt spid="_x0000_s6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1304925</xdr:colOff>
          <xdr:row>6</xdr:row>
          <xdr:rowOff>171450</xdr:rowOff>
        </xdr:from>
        <xdr:to>
          <xdr:col>2</xdr:col>
          <xdr:colOff>161925</xdr:colOff>
          <xdr:row>8</xdr:row>
          <xdr:rowOff>0</xdr:rowOff>
        </xdr:to>
        <xdr:sp macro="" textlink="">
          <xdr:nvSpPr>
            <xdr:cNvPr id="6177" name="Check Box 33" hidden="1">
              <a:extLst>
                <a:ext uri="{63B3BB69-23CF-44E3-9099-C40C66FF867C}">
                  <a14:compatExt spid="_x0000_s6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1295400</xdr:colOff>
          <xdr:row>7</xdr:row>
          <xdr:rowOff>171450</xdr:rowOff>
        </xdr:from>
        <xdr:to>
          <xdr:col>2</xdr:col>
          <xdr:colOff>171450</xdr:colOff>
          <xdr:row>9</xdr:row>
          <xdr:rowOff>0</xdr:rowOff>
        </xdr:to>
        <xdr:sp macro="" textlink="">
          <xdr:nvSpPr>
            <xdr:cNvPr id="6178" name="Check Box 34" hidden="1">
              <a:extLst>
                <a:ext uri="{63B3BB69-23CF-44E3-9099-C40C66FF867C}">
                  <a14:compatExt spid="_x0000_s6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1295400</xdr:colOff>
          <xdr:row>8</xdr:row>
          <xdr:rowOff>180975</xdr:rowOff>
        </xdr:from>
        <xdr:to>
          <xdr:col>2</xdr:col>
          <xdr:colOff>171450</xdr:colOff>
          <xdr:row>10</xdr:row>
          <xdr:rowOff>9525</xdr:rowOff>
        </xdr:to>
        <xdr:sp macro="" textlink="">
          <xdr:nvSpPr>
            <xdr:cNvPr id="6179" name="Check Box 35" hidden="1">
              <a:extLst>
                <a:ext uri="{63B3BB69-23CF-44E3-9099-C40C66FF867C}">
                  <a14:compatExt spid="_x0000_s6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OTCG\DFSO\Controle%20Gestion\Base%20Business\2008\16%20-%20Winthrop\Winthrop\AED\Achats%20de%20dossiers\Compl&#233;ment%20de%20catalogue\1ERE%20VAGUE\Fichiers%20A%20BLAISE\NOMEGESTRO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Prive\Finances\Plan2002%202005\Finance%20PKGE%20LRP-ThY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Priv&#233;\Finance%20et%20Controle%20Europe\Dossier%20permanent%202003\Nouvelle%20Europe\Slov&#233;nie\Package%20T3%20&amp;%20B04\T2%20calculations%20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Documents%20and%20Settings\klemenlo\Local%20Settings\Temp\F.Lotus.Notes.Data\F3%20Tabl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PriveAAMEE\Finances\T2-LRP%202004%202007\Instructions%20Out\T2-LRP%200407%20Packag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rive\Finances\Plan2002%202005\Finance%20PKGE%20LRP-ThY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riv&#233;\Finance%20et%20Controle%20Europe\Dossier%20permanent%202003\Nouvelle%20Europe\Slov&#233;nie\Package%20T3%20&amp;%20B04\T2%20calculations%20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klemenlo\Local%20Settings\Temp\F.Lotus.Notes.Data\F3%20Tabl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riveAAMEE\Finances\T2-LRP%202004%202007\Instructions%20Out\T2-LRP%200407%20Package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FINANCE\Report01\MARCO0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WINDOWS\TEMP\C.Notes.Data\1%20-%20B10%20-%20January%202002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Documents%20and%20Settings\00068231\Local%20Settings\Temporary%20Internet%20Files\Content.Outlook\FQTD7FGU\OFFICIAL%20TEMPLATE\2011\TEMPLATEValuation_v3%20open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BASE-BUSINESS\Partage\In%20Licensing%20&#8211;%20Generic%20sourcing\1.AIF\CANDESARTAN\AIF%20Candesartan%20_Chemo%20_17%20Decembre%202009\AIF%20Candesartan%2017_12_09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BASE-BUSINESS\Forecasts-PCO\Mod&#232;le\Generic%20Model%20V2.5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temp\Simulation%20P&amp;L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iv&#233;\4.%20BEX-BAG\DataMart%20G&#233;n&#233;riques\DATAMART%20MARCHE%20WINTHROP%20(REEL%20vs%20T3)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DELOITTE/Projetos/HONDA/TRACBEL/TRACBEL-Planilha%20de%20Carga%20Riscos%20e%20Issues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BASE-BUSINESS\Partage\LALECHERE-ZUCCO\1.AIF\RALOXIFEN\RALOXIFENE%20%20V2.7%20new%20perimeter%2025112008%20version%20AL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AA%20-%20MES%20DOCUMENTS\WINTHROP\T2\GENERIQUES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AA%20-%20MES%20DOCUMENTS\ANTALGIE\HISTO\HISTO%20SDM%20Total%20MARCHE%20ANTALGIE%20-%20NIV%2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AP"/>
      <sheetName val="5MG"/>
      <sheetName val="histoUN"/>
      <sheetName val="HISTO"/>
    </sheetNames>
    <sheetDataSet>
      <sheetData sheetId="0" refreshError="1"/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lines"/>
      <sheetName val="F1"/>
      <sheetName val="F3-A"/>
      <sheetName val="F3-B"/>
      <sheetName val="F3-C"/>
      <sheetName val="F6-A"/>
      <sheetName val="F6-B"/>
      <sheetName val="F6-C"/>
      <sheetName val="F6-D"/>
      <sheetName val="F6-B (2)"/>
      <sheetName val="F7-C"/>
      <sheetName val="F8-A"/>
      <sheetName val="F8-B"/>
      <sheetName val="F9-A"/>
      <sheetName val="F9-B"/>
      <sheetName val="Comments B-Rev"/>
      <sheetName val="Price-Mal"/>
      <sheetName val="Bud-03 units"/>
      <sheetName val="Bud-03 val"/>
      <sheetName val="Non core pdts"/>
      <sheetName val="Core pdts"/>
      <sheetName val="Workings"/>
      <sheetName val="Sheet2"/>
      <sheetName val="Sheet4"/>
      <sheetName val="F3-B bis"/>
      <sheetName val="Sheet 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/>
      <sheetData sheetId="2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V sales slo 2003"/>
      <sheetName val="JV sales slo 2004"/>
      <sheetName val="JV sales slo 2005"/>
      <sheetName val="JV sales slo 2006"/>
      <sheetName val="JV sales cro 2003"/>
      <sheetName val="JV sales cro 2004"/>
      <sheetName val="JV sales cro 2005"/>
      <sheetName val="JV sales cro 2006"/>
      <sheetName val="C"/>
      <sheetName val="purchas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16">
          <cell r="A16" t="str">
            <v>Aprovel 150mg X 28</v>
          </cell>
          <cell r="B16">
            <v>47326</v>
          </cell>
          <cell r="C16">
            <v>0</v>
          </cell>
          <cell r="D16">
            <v>47326</v>
          </cell>
          <cell r="E16">
            <v>3925.47</v>
          </cell>
          <cell r="F16">
            <v>0</v>
          </cell>
          <cell r="G16">
            <v>3925.47</v>
          </cell>
          <cell r="H16">
            <v>185776793.22</v>
          </cell>
          <cell r="J16">
            <v>820758.11304549896</v>
          </cell>
          <cell r="K16">
            <v>65000</v>
          </cell>
          <cell r="L16">
            <v>0</v>
          </cell>
          <cell r="M16">
            <v>65000</v>
          </cell>
          <cell r="N16">
            <v>3918</v>
          </cell>
          <cell r="O16">
            <v>0</v>
          </cell>
          <cell r="P16">
            <v>3918</v>
          </cell>
          <cell r="Q16">
            <v>254670000</v>
          </cell>
          <cell r="R16">
            <v>-47748.237588120624</v>
          </cell>
          <cell r="S16">
            <v>1079110.1694915255</v>
          </cell>
          <cell r="T16">
            <v>68006</v>
          </cell>
          <cell r="U16">
            <v>0</v>
          </cell>
          <cell r="V16">
            <v>68006</v>
          </cell>
          <cell r="W16">
            <v>4010</v>
          </cell>
          <cell r="X16">
            <v>0</v>
          </cell>
          <cell r="Y16">
            <v>4010</v>
          </cell>
          <cell r="Z16">
            <v>272704060</v>
          </cell>
          <cell r="AA16">
            <v>0</v>
          </cell>
          <cell r="AB16">
            <v>1155525.6779661018</v>
          </cell>
          <cell r="AC16">
            <v>72000</v>
          </cell>
          <cell r="AD16">
            <v>0</v>
          </cell>
          <cell r="AE16">
            <v>72000</v>
          </cell>
          <cell r="AF16">
            <v>4010</v>
          </cell>
          <cell r="AG16">
            <v>0</v>
          </cell>
          <cell r="AH16">
            <v>4010</v>
          </cell>
          <cell r="AI16">
            <v>288720000</v>
          </cell>
          <cell r="AJ16">
            <v>-30331.979268805124</v>
          </cell>
          <cell r="AK16">
            <v>1193057.8512396694</v>
          </cell>
          <cell r="AL16">
            <v>75000</v>
          </cell>
          <cell r="AM16">
            <v>0</v>
          </cell>
          <cell r="AN16">
            <v>75000</v>
          </cell>
          <cell r="AO16">
            <v>4010</v>
          </cell>
          <cell r="AP16">
            <v>0</v>
          </cell>
          <cell r="AQ16">
            <v>4010</v>
          </cell>
          <cell r="AR16">
            <v>300750000</v>
          </cell>
          <cell r="AS16">
            <v>-20207.619431566214</v>
          </cell>
          <cell r="AT16">
            <v>1222560.9756097561</v>
          </cell>
          <cell r="AU16">
            <v>77000</v>
          </cell>
          <cell r="AV16">
            <v>0</v>
          </cell>
          <cell r="AW16">
            <v>77000</v>
          </cell>
          <cell r="AX16">
            <v>4010</v>
          </cell>
          <cell r="AY16">
            <v>0</v>
          </cell>
          <cell r="AZ16">
            <v>4010</v>
          </cell>
          <cell r="BA16">
            <v>308770000</v>
          </cell>
          <cell r="BB16">
            <v>-5081.6299660971854</v>
          </cell>
          <cell r="BC16">
            <v>1250080.971659919</v>
          </cell>
          <cell r="BX16" t="str">
            <v>APROVEL</v>
          </cell>
        </row>
        <row r="17">
          <cell r="A17" t="str">
            <v>Aprovel 300mg X 28</v>
          </cell>
          <cell r="B17">
            <v>21514</v>
          </cell>
          <cell r="C17">
            <v>0</v>
          </cell>
          <cell r="D17">
            <v>21514</v>
          </cell>
          <cell r="E17">
            <v>5309.5749999999998</v>
          </cell>
          <cell r="F17">
            <v>0</v>
          </cell>
          <cell r="G17">
            <v>5309.5749999999998</v>
          </cell>
          <cell r="H17">
            <v>114230196.55</v>
          </cell>
          <cell r="J17">
            <v>504464.77518830728</v>
          </cell>
          <cell r="K17">
            <v>22900</v>
          </cell>
          <cell r="L17">
            <v>0</v>
          </cell>
          <cell r="M17">
            <v>22900</v>
          </cell>
          <cell r="N17">
            <v>5288</v>
          </cell>
          <cell r="O17">
            <v>0</v>
          </cell>
          <cell r="P17">
            <v>5288</v>
          </cell>
          <cell r="Q17">
            <v>121095200</v>
          </cell>
          <cell r="R17">
            <v>-22704.214789260528</v>
          </cell>
          <cell r="S17">
            <v>513115.25423728814</v>
          </cell>
          <cell r="T17">
            <v>25665</v>
          </cell>
          <cell r="U17">
            <v>0</v>
          </cell>
          <cell r="V17">
            <v>25665</v>
          </cell>
          <cell r="W17">
            <v>5437</v>
          </cell>
          <cell r="X17">
            <v>0</v>
          </cell>
          <cell r="Y17">
            <v>5437</v>
          </cell>
          <cell r="Z17">
            <v>139540605</v>
          </cell>
          <cell r="AA17">
            <v>0</v>
          </cell>
          <cell r="AB17">
            <v>591273.75</v>
          </cell>
          <cell r="AC17">
            <v>27000</v>
          </cell>
          <cell r="AD17">
            <v>0</v>
          </cell>
          <cell r="AE17">
            <v>27000</v>
          </cell>
          <cell r="AF17">
            <v>5437</v>
          </cell>
          <cell r="AG17">
            <v>0</v>
          </cell>
          <cell r="AH17">
            <v>5437</v>
          </cell>
          <cell r="AI17">
            <v>146799000</v>
          </cell>
          <cell r="AJ17">
            <v>-15422.223000420141</v>
          </cell>
          <cell r="AK17">
            <v>606607.43801652896</v>
          </cell>
          <cell r="AL17">
            <v>25000</v>
          </cell>
          <cell r="AM17">
            <v>0</v>
          </cell>
          <cell r="AN17">
            <v>25000</v>
          </cell>
          <cell r="AO17">
            <v>5437</v>
          </cell>
          <cell r="AP17">
            <v>0</v>
          </cell>
          <cell r="AQ17">
            <v>5437</v>
          </cell>
          <cell r="AR17">
            <v>135925000</v>
          </cell>
          <cell r="AS17">
            <v>-9132.9033125041751</v>
          </cell>
          <cell r="AT17">
            <v>552540.65040650405</v>
          </cell>
          <cell r="AU17">
            <v>23500</v>
          </cell>
          <cell r="AV17">
            <v>0</v>
          </cell>
          <cell r="AW17">
            <v>23500</v>
          </cell>
          <cell r="AX17">
            <v>5437</v>
          </cell>
          <cell r="AY17">
            <v>0</v>
          </cell>
          <cell r="AZ17">
            <v>5437</v>
          </cell>
          <cell r="BA17">
            <v>127769500</v>
          </cell>
          <cell r="BB17">
            <v>-2102.7862808992504</v>
          </cell>
          <cell r="BC17">
            <v>517285.42510121455</v>
          </cell>
          <cell r="BX17" t="str">
            <v>APROVEL</v>
          </cell>
        </row>
        <row r="18">
          <cell r="A18" t="str">
            <v>Aprovel 75mg X 28</v>
          </cell>
          <cell r="BX18" t="str">
            <v>APROVEL</v>
          </cell>
        </row>
        <row r="19">
          <cell r="A19" t="str">
            <v>Co Aprovel 150mg+12,5mg X 28</v>
          </cell>
          <cell r="B19">
            <v>0</v>
          </cell>
          <cell r="C19">
            <v>0</v>
          </cell>
          <cell r="D19">
            <v>0</v>
          </cell>
          <cell r="F19">
            <v>0</v>
          </cell>
          <cell r="G19">
            <v>0</v>
          </cell>
          <cell r="H19">
            <v>0</v>
          </cell>
          <cell r="J19">
            <v>0</v>
          </cell>
          <cell r="K19">
            <v>6400</v>
          </cell>
          <cell r="L19">
            <v>0</v>
          </cell>
          <cell r="M19">
            <v>6400</v>
          </cell>
          <cell r="N19">
            <v>4006</v>
          </cell>
          <cell r="O19">
            <v>0</v>
          </cell>
          <cell r="P19">
            <v>4006</v>
          </cell>
          <cell r="Q19">
            <v>25638400</v>
          </cell>
          <cell r="R19">
            <v>0</v>
          </cell>
          <cell r="S19">
            <v>108637.28813559322</v>
          </cell>
          <cell r="T19">
            <v>4200</v>
          </cell>
          <cell r="U19">
            <v>0</v>
          </cell>
          <cell r="V19">
            <v>4200</v>
          </cell>
          <cell r="W19">
            <v>4002</v>
          </cell>
          <cell r="X19">
            <v>0</v>
          </cell>
          <cell r="Y19">
            <v>4002</v>
          </cell>
          <cell r="Z19">
            <v>16808400</v>
          </cell>
          <cell r="AA19">
            <v>0</v>
          </cell>
          <cell r="AB19">
            <v>71222.03389830509</v>
          </cell>
          <cell r="AC19">
            <v>10000</v>
          </cell>
          <cell r="AD19">
            <v>0</v>
          </cell>
          <cell r="AE19">
            <v>10000</v>
          </cell>
          <cell r="AF19">
            <v>4002</v>
          </cell>
          <cell r="AG19">
            <v>0</v>
          </cell>
          <cell r="AH19">
            <v>4002</v>
          </cell>
          <cell r="AI19">
            <v>40020000</v>
          </cell>
          <cell r="AJ19">
            <v>-4204.3703599944129</v>
          </cell>
          <cell r="AK19">
            <v>165371.90082644628</v>
          </cell>
          <cell r="AL19">
            <v>15000</v>
          </cell>
          <cell r="AM19">
            <v>0</v>
          </cell>
          <cell r="AN19">
            <v>15000</v>
          </cell>
          <cell r="AO19">
            <v>4002</v>
          </cell>
          <cell r="AP19">
            <v>0</v>
          </cell>
          <cell r="AQ19">
            <v>4002</v>
          </cell>
          <cell r="AR19">
            <v>60030000</v>
          </cell>
          <cell r="AS19">
            <v>-4033.4609957669745</v>
          </cell>
          <cell r="AT19">
            <v>244024.39024390245</v>
          </cell>
          <cell r="AU19">
            <v>20000</v>
          </cell>
          <cell r="AV19">
            <v>0</v>
          </cell>
          <cell r="AW19">
            <v>20000</v>
          </cell>
          <cell r="AX19">
            <v>4002</v>
          </cell>
          <cell r="AY19">
            <v>0</v>
          </cell>
          <cell r="AZ19">
            <v>4002</v>
          </cell>
          <cell r="BA19">
            <v>80040000</v>
          </cell>
          <cell r="BB19">
            <v>-1317.270662585157</v>
          </cell>
          <cell r="BC19">
            <v>324048.58299595141</v>
          </cell>
          <cell r="BX19" t="str">
            <v>APROVEL</v>
          </cell>
        </row>
        <row r="20">
          <cell r="A20" t="str">
            <v>Co Aprovel 300mg+12,5mg X 28</v>
          </cell>
          <cell r="B20">
            <v>0</v>
          </cell>
          <cell r="C20">
            <v>0</v>
          </cell>
          <cell r="D20">
            <v>0</v>
          </cell>
          <cell r="F20">
            <v>0</v>
          </cell>
          <cell r="G20">
            <v>0</v>
          </cell>
          <cell r="H20">
            <v>0</v>
          </cell>
          <cell r="J20">
            <v>0</v>
          </cell>
          <cell r="K20">
            <v>4300</v>
          </cell>
          <cell r="L20">
            <v>0</v>
          </cell>
          <cell r="M20">
            <v>4300</v>
          </cell>
          <cell r="N20">
            <v>5433</v>
          </cell>
          <cell r="O20">
            <v>0</v>
          </cell>
          <cell r="P20">
            <v>5433</v>
          </cell>
          <cell r="Q20">
            <v>23361900</v>
          </cell>
          <cell r="R20">
            <v>0</v>
          </cell>
          <cell r="S20">
            <v>98991.101694915254</v>
          </cell>
          <cell r="T20">
            <v>4200</v>
          </cell>
          <cell r="U20">
            <v>0</v>
          </cell>
          <cell r="V20">
            <v>4200</v>
          </cell>
          <cell r="W20">
            <v>5428</v>
          </cell>
          <cell r="X20">
            <v>0</v>
          </cell>
          <cell r="Y20">
            <v>5428</v>
          </cell>
          <cell r="Z20">
            <v>22797600</v>
          </cell>
          <cell r="AA20">
            <v>0</v>
          </cell>
          <cell r="AB20">
            <v>96600</v>
          </cell>
          <cell r="AC20">
            <v>8000</v>
          </cell>
          <cell r="AD20">
            <v>0</v>
          </cell>
          <cell r="AE20">
            <v>8000</v>
          </cell>
          <cell r="AF20">
            <v>5428</v>
          </cell>
          <cell r="AG20">
            <v>0</v>
          </cell>
          <cell r="AH20">
            <v>5428</v>
          </cell>
          <cell r="AI20">
            <v>43424000</v>
          </cell>
          <cell r="AJ20">
            <v>-4561.9834710743744</v>
          </cell>
          <cell r="AK20">
            <v>179438.01652892563</v>
          </cell>
          <cell r="AL20">
            <v>10000</v>
          </cell>
          <cell r="AM20">
            <v>0</v>
          </cell>
          <cell r="AN20">
            <v>10000</v>
          </cell>
          <cell r="AO20">
            <v>5428</v>
          </cell>
          <cell r="AP20">
            <v>0</v>
          </cell>
          <cell r="AQ20">
            <v>5428</v>
          </cell>
          <cell r="AR20">
            <v>54280000</v>
          </cell>
          <cell r="AS20">
            <v>-3647.1141570920008</v>
          </cell>
          <cell r="AT20">
            <v>220650.40650406503</v>
          </cell>
          <cell r="AU20">
            <v>13000</v>
          </cell>
          <cell r="AV20">
            <v>0</v>
          </cell>
          <cell r="AW20">
            <v>13000</v>
          </cell>
          <cell r="AX20">
            <v>5428</v>
          </cell>
          <cell r="AY20">
            <v>0</v>
          </cell>
          <cell r="AZ20">
            <v>5428</v>
          </cell>
          <cell r="BA20">
            <v>70564000</v>
          </cell>
          <cell r="BB20">
            <v>-1161.3179289687541</v>
          </cell>
          <cell r="BC20">
            <v>285684.21052631579</v>
          </cell>
          <cell r="BX20" t="str">
            <v>APROVEL</v>
          </cell>
        </row>
        <row r="21">
          <cell r="A21" t="str">
            <v>Arixtra 0,25mg X 10</v>
          </cell>
          <cell r="B21">
            <v>0</v>
          </cell>
          <cell r="C21">
            <v>0</v>
          </cell>
          <cell r="D21">
            <v>0</v>
          </cell>
          <cell r="F21">
            <v>0</v>
          </cell>
          <cell r="G21">
            <v>0</v>
          </cell>
          <cell r="H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176</v>
          </cell>
          <cell r="AD21">
            <v>0</v>
          </cell>
          <cell r="AE21">
            <v>176</v>
          </cell>
          <cell r="AF21">
            <v>26050</v>
          </cell>
          <cell r="AG21">
            <v>0</v>
          </cell>
          <cell r="AH21">
            <v>26050</v>
          </cell>
          <cell r="AI21">
            <v>4584800</v>
          </cell>
          <cell r="AJ21">
            <v>0</v>
          </cell>
          <cell r="AK21">
            <v>18945.454545454544</v>
          </cell>
          <cell r="AL21">
            <v>1760</v>
          </cell>
          <cell r="AM21">
            <v>0</v>
          </cell>
          <cell r="AN21">
            <v>1760</v>
          </cell>
          <cell r="AO21">
            <v>26050</v>
          </cell>
          <cell r="AP21">
            <v>0</v>
          </cell>
          <cell r="AQ21">
            <v>26050</v>
          </cell>
          <cell r="AR21">
            <v>45848000</v>
          </cell>
          <cell r="AS21">
            <v>-3080.5617147080484</v>
          </cell>
          <cell r="AT21">
            <v>186373.98373983739</v>
          </cell>
          <cell r="AU21">
            <v>4084</v>
          </cell>
          <cell r="AV21">
            <v>0</v>
          </cell>
          <cell r="AW21">
            <v>4084</v>
          </cell>
          <cell r="AX21">
            <v>26050</v>
          </cell>
          <cell r="AY21">
            <v>0</v>
          </cell>
          <cell r="AZ21">
            <v>26050</v>
          </cell>
          <cell r="BA21">
            <v>106388200</v>
          </cell>
          <cell r="BB21">
            <v>-1750.9002336987178</v>
          </cell>
          <cell r="BC21">
            <v>430721.45748987852</v>
          </cell>
          <cell r="BX21" t="str">
            <v>Arixtra</v>
          </cell>
        </row>
        <row r="22">
          <cell r="A22" t="str">
            <v>Cordarone 200mg X 60</v>
          </cell>
          <cell r="B22">
            <v>26288</v>
          </cell>
          <cell r="C22">
            <v>0</v>
          </cell>
          <cell r="D22">
            <v>26288</v>
          </cell>
          <cell r="E22">
            <v>5452.5258000000003</v>
          </cell>
          <cell r="F22">
            <v>0</v>
          </cell>
          <cell r="G22">
            <v>5452.5257999999994</v>
          </cell>
          <cell r="H22">
            <v>143335998.2304</v>
          </cell>
          <cell r="J22">
            <v>633910.32059226756</v>
          </cell>
          <cell r="K22">
            <v>29600</v>
          </cell>
          <cell r="L22">
            <v>0</v>
          </cell>
          <cell r="M22">
            <v>29600</v>
          </cell>
          <cell r="N22">
            <v>5451</v>
          </cell>
          <cell r="O22">
            <v>0</v>
          </cell>
          <cell r="P22">
            <v>5451</v>
          </cell>
          <cell r="Q22">
            <v>161349600</v>
          </cell>
          <cell r="R22">
            <v>-30251.537423128844</v>
          </cell>
          <cell r="S22">
            <v>683684.74576271186</v>
          </cell>
          <cell r="T22">
            <v>29965</v>
          </cell>
          <cell r="U22">
            <v>0</v>
          </cell>
          <cell r="V22">
            <v>29965</v>
          </cell>
          <cell r="W22">
            <v>5562</v>
          </cell>
          <cell r="X22">
            <v>0</v>
          </cell>
          <cell r="Y22">
            <v>5562</v>
          </cell>
          <cell r="Z22">
            <v>166665330</v>
          </cell>
          <cell r="AA22">
            <v>0</v>
          </cell>
          <cell r="AB22">
            <v>706209.02542372886</v>
          </cell>
          <cell r="AC22">
            <v>7770</v>
          </cell>
          <cell r="AD22">
            <v>0</v>
          </cell>
          <cell r="AE22">
            <v>7770</v>
          </cell>
          <cell r="AF22">
            <v>4561</v>
          </cell>
          <cell r="AG22">
            <v>0</v>
          </cell>
          <cell r="AH22">
            <v>4561</v>
          </cell>
          <cell r="AI22">
            <v>35438970</v>
          </cell>
          <cell r="AJ22">
            <v>-3723.1023252556333</v>
          </cell>
          <cell r="AK22">
            <v>146442.02479338844</v>
          </cell>
          <cell r="AL22">
            <v>32900</v>
          </cell>
          <cell r="AM22">
            <v>0</v>
          </cell>
          <cell r="AN22">
            <v>32900</v>
          </cell>
          <cell r="AO22">
            <v>5562</v>
          </cell>
          <cell r="AP22">
            <v>0</v>
          </cell>
          <cell r="AQ22">
            <v>5562</v>
          </cell>
          <cell r="AR22">
            <v>182989800</v>
          </cell>
          <cell r="AS22">
            <v>-12295.222737351316</v>
          </cell>
          <cell r="AT22">
            <v>743860.97560975607</v>
          </cell>
          <cell r="AU22">
            <v>34545</v>
          </cell>
          <cell r="AV22">
            <v>0</v>
          </cell>
          <cell r="AW22">
            <v>34545</v>
          </cell>
          <cell r="AX22">
            <v>5562</v>
          </cell>
          <cell r="AY22">
            <v>0</v>
          </cell>
          <cell r="AZ22">
            <v>5562</v>
          </cell>
          <cell r="BA22">
            <v>192139290</v>
          </cell>
          <cell r="BB22">
            <v>-3162.1620420657564</v>
          </cell>
          <cell r="BC22">
            <v>777891.86234817817</v>
          </cell>
          <cell r="BX22" t="str">
            <v>CORDARONE</v>
          </cell>
        </row>
        <row r="23">
          <cell r="A23" t="str">
            <v>Cordarone 150mg/3ml X 6 inj.</v>
          </cell>
          <cell r="B23">
            <v>6363</v>
          </cell>
          <cell r="C23">
            <v>0</v>
          </cell>
          <cell r="D23">
            <v>6363</v>
          </cell>
          <cell r="E23">
            <v>4476.0150000000003</v>
          </cell>
          <cell r="F23">
            <v>0</v>
          </cell>
          <cell r="G23">
            <v>4476.0150000000003</v>
          </cell>
          <cell r="H23">
            <v>28480883.445</v>
          </cell>
          <cell r="J23">
            <v>125825.18725193592</v>
          </cell>
          <cell r="K23">
            <v>7950</v>
          </cell>
          <cell r="L23">
            <v>0</v>
          </cell>
          <cell r="M23">
            <v>7950</v>
          </cell>
          <cell r="N23">
            <v>4469</v>
          </cell>
          <cell r="O23">
            <v>0</v>
          </cell>
          <cell r="P23">
            <v>4469</v>
          </cell>
          <cell r="Q23">
            <v>35528550</v>
          </cell>
          <cell r="R23">
            <v>-6661.2700614969363</v>
          </cell>
          <cell r="S23">
            <v>150544.70338983051</v>
          </cell>
          <cell r="T23">
            <v>6940</v>
          </cell>
          <cell r="U23">
            <v>0</v>
          </cell>
          <cell r="V23">
            <v>6940</v>
          </cell>
          <cell r="W23">
            <v>4561</v>
          </cell>
          <cell r="X23">
            <v>0</v>
          </cell>
          <cell r="Y23">
            <v>4561</v>
          </cell>
          <cell r="Z23">
            <v>31653340</v>
          </cell>
          <cell r="AA23">
            <v>0</v>
          </cell>
          <cell r="AB23">
            <v>134124.32203389829</v>
          </cell>
          <cell r="AC23">
            <v>31200</v>
          </cell>
          <cell r="AD23">
            <v>0</v>
          </cell>
          <cell r="AE23">
            <v>31200</v>
          </cell>
          <cell r="AF23">
            <v>5562</v>
          </cell>
          <cell r="AG23">
            <v>0</v>
          </cell>
          <cell r="AH23">
            <v>5562</v>
          </cell>
          <cell r="AI23">
            <v>173534400</v>
          </cell>
          <cell r="AJ23">
            <v>-18230.956716626999</v>
          </cell>
          <cell r="AK23">
            <v>717084.29752066114</v>
          </cell>
          <cell r="AL23">
            <v>7850</v>
          </cell>
          <cell r="AM23">
            <v>0</v>
          </cell>
          <cell r="AN23">
            <v>7850</v>
          </cell>
          <cell r="AO23">
            <v>4561</v>
          </cell>
          <cell r="AP23">
            <v>0</v>
          </cell>
          <cell r="AQ23">
            <v>4561</v>
          </cell>
          <cell r="AR23">
            <v>35803850</v>
          </cell>
          <cell r="AS23">
            <v>-2405.6876973728358</v>
          </cell>
          <cell r="AT23">
            <v>145544.1056910569</v>
          </cell>
          <cell r="AU23">
            <v>8243</v>
          </cell>
          <cell r="AV23">
            <v>0</v>
          </cell>
          <cell r="AW23">
            <v>8243</v>
          </cell>
          <cell r="AX23">
            <v>4561</v>
          </cell>
          <cell r="AY23">
            <v>0</v>
          </cell>
          <cell r="AZ23">
            <v>4561</v>
          </cell>
          <cell r="BA23">
            <v>37596323</v>
          </cell>
          <cell r="BB23">
            <v>-618.74729271585238</v>
          </cell>
          <cell r="BC23">
            <v>152211.83400809715</v>
          </cell>
          <cell r="BX23" t="str">
            <v>CORDARONE</v>
          </cell>
        </row>
        <row r="24">
          <cell r="A24" t="str">
            <v>Depakine chrono 300mg X 100</v>
          </cell>
          <cell r="B24">
            <v>835</v>
          </cell>
          <cell r="C24">
            <v>0</v>
          </cell>
          <cell r="D24">
            <v>835</v>
          </cell>
          <cell r="E24">
            <v>3426.08</v>
          </cell>
          <cell r="F24">
            <v>0</v>
          </cell>
          <cell r="G24">
            <v>3426.08</v>
          </cell>
          <cell r="H24">
            <v>2860776.8</v>
          </cell>
          <cell r="J24">
            <v>12669.426611680341</v>
          </cell>
          <cell r="K24">
            <v>10000</v>
          </cell>
          <cell r="L24">
            <v>0</v>
          </cell>
          <cell r="M24">
            <v>10000</v>
          </cell>
          <cell r="N24">
            <v>3400</v>
          </cell>
          <cell r="O24">
            <v>0</v>
          </cell>
          <cell r="P24">
            <v>3400</v>
          </cell>
          <cell r="Q24">
            <v>34000000</v>
          </cell>
          <cell r="R24">
            <v>-6374.6812659366988</v>
          </cell>
          <cell r="S24">
            <v>144067.79661016949</v>
          </cell>
          <cell r="T24">
            <v>6000</v>
          </cell>
          <cell r="U24">
            <v>0</v>
          </cell>
          <cell r="V24">
            <v>6000</v>
          </cell>
          <cell r="W24">
            <v>3519</v>
          </cell>
          <cell r="X24">
            <v>0</v>
          </cell>
          <cell r="Y24">
            <v>3519</v>
          </cell>
          <cell r="Z24">
            <v>21114000</v>
          </cell>
          <cell r="AA24">
            <v>0</v>
          </cell>
          <cell r="AB24">
            <v>89466.101694915254</v>
          </cell>
          <cell r="AC24">
            <v>8000</v>
          </cell>
          <cell r="AD24">
            <v>0</v>
          </cell>
          <cell r="AE24">
            <v>8000</v>
          </cell>
          <cell r="AF24">
            <v>3519</v>
          </cell>
          <cell r="AG24">
            <v>0</v>
          </cell>
          <cell r="AH24">
            <v>3519</v>
          </cell>
          <cell r="AI24">
            <v>28152000</v>
          </cell>
          <cell r="AJ24">
            <v>-2957.5570808236516</v>
          </cell>
          <cell r="AK24">
            <v>116330.57851239669</v>
          </cell>
          <cell r="AL24">
            <v>9000</v>
          </cell>
          <cell r="AM24">
            <v>0</v>
          </cell>
          <cell r="AN24">
            <v>9000</v>
          </cell>
          <cell r="AO24">
            <v>3519</v>
          </cell>
          <cell r="AP24">
            <v>0</v>
          </cell>
          <cell r="AQ24">
            <v>3519</v>
          </cell>
          <cell r="AR24">
            <v>31671000</v>
          </cell>
          <cell r="AS24">
            <v>-2127.9983874218888</v>
          </cell>
          <cell r="AT24">
            <v>128743.90243902439</v>
          </cell>
          <cell r="AU24">
            <v>9300</v>
          </cell>
          <cell r="AV24">
            <v>0</v>
          </cell>
          <cell r="AW24">
            <v>9300</v>
          </cell>
          <cell r="AX24">
            <v>3519</v>
          </cell>
          <cell r="AY24">
            <v>0</v>
          </cell>
          <cell r="AZ24">
            <v>3519</v>
          </cell>
          <cell r="BA24">
            <v>32726700</v>
          </cell>
          <cell r="BB24">
            <v>-538.60472005530028</v>
          </cell>
          <cell r="BC24">
            <v>132496.76113360323</v>
          </cell>
          <cell r="BX24" t="str">
            <v>DEPAKINE</v>
          </cell>
        </row>
        <row r="25">
          <cell r="A25" t="str">
            <v>Depakine chrono 500mg X 30</v>
          </cell>
          <cell r="B25">
            <v>2095</v>
          </cell>
          <cell r="C25">
            <v>0</v>
          </cell>
          <cell r="D25">
            <v>2095</v>
          </cell>
          <cell r="E25">
            <v>1818.4358</v>
          </cell>
          <cell r="F25">
            <v>0</v>
          </cell>
          <cell r="G25">
            <v>1818.4358</v>
          </cell>
          <cell r="H25">
            <v>3809623.0010000002</v>
          </cell>
          <cell r="J25">
            <v>16720.863430574118</v>
          </cell>
          <cell r="K25">
            <v>13500</v>
          </cell>
          <cell r="L25">
            <v>0</v>
          </cell>
          <cell r="M25">
            <v>13500</v>
          </cell>
          <cell r="N25">
            <v>1753</v>
          </cell>
          <cell r="O25">
            <v>0</v>
          </cell>
          <cell r="P25">
            <v>1753</v>
          </cell>
          <cell r="Q25">
            <v>23665500</v>
          </cell>
          <cell r="R25">
            <v>-4437.0593970301416</v>
          </cell>
          <cell r="S25">
            <v>100277.54237288136</v>
          </cell>
          <cell r="T25">
            <v>16000</v>
          </cell>
          <cell r="U25">
            <v>0</v>
          </cell>
          <cell r="V25">
            <v>16000</v>
          </cell>
          <cell r="W25">
            <v>1879</v>
          </cell>
          <cell r="X25">
            <v>0</v>
          </cell>
          <cell r="Y25">
            <v>1879</v>
          </cell>
          <cell r="Z25">
            <v>30064000</v>
          </cell>
          <cell r="AA25">
            <v>0</v>
          </cell>
          <cell r="AB25">
            <v>127389.83050847458</v>
          </cell>
          <cell r="AC25">
            <v>20000</v>
          </cell>
          <cell r="AD25">
            <v>0</v>
          </cell>
          <cell r="AE25">
            <v>20000</v>
          </cell>
          <cell r="AF25">
            <v>1879</v>
          </cell>
          <cell r="AG25">
            <v>0</v>
          </cell>
          <cell r="AH25">
            <v>1879</v>
          </cell>
          <cell r="AI25">
            <v>37580000</v>
          </cell>
          <cell r="AJ25">
            <v>-3948.0319372461236</v>
          </cell>
          <cell r="AK25">
            <v>155289.25619834711</v>
          </cell>
          <cell r="AL25">
            <v>22000</v>
          </cell>
          <cell r="AM25">
            <v>0</v>
          </cell>
          <cell r="AN25">
            <v>22000</v>
          </cell>
          <cell r="AO25">
            <v>1879</v>
          </cell>
          <cell r="AP25">
            <v>0</v>
          </cell>
          <cell r="AQ25">
            <v>1879</v>
          </cell>
          <cell r="AR25">
            <v>41338000</v>
          </cell>
          <cell r="AS25">
            <v>-2777.5314116777445</v>
          </cell>
          <cell r="AT25">
            <v>168040.65040650408</v>
          </cell>
          <cell r="AU25">
            <v>24000</v>
          </cell>
          <cell r="AV25">
            <v>0</v>
          </cell>
          <cell r="AW25">
            <v>24000</v>
          </cell>
          <cell r="AX25">
            <v>1879</v>
          </cell>
          <cell r="AY25">
            <v>0</v>
          </cell>
          <cell r="AZ25">
            <v>1879</v>
          </cell>
          <cell r="BA25">
            <v>45096000</v>
          </cell>
          <cell r="BB25">
            <v>-742.17438530662912</v>
          </cell>
          <cell r="BC25">
            <v>182574.89878542509</v>
          </cell>
          <cell r="BX25" t="str">
            <v>DEPAKINE</v>
          </cell>
        </row>
        <row r="26">
          <cell r="A26" t="str">
            <v>Eloxatine 100mg / 1</v>
          </cell>
          <cell r="BX26" t="str">
            <v>ELOXATINE</v>
          </cell>
        </row>
        <row r="27">
          <cell r="A27" t="str">
            <v>Eloxatine 50mg / 1</v>
          </cell>
          <cell r="BX27" t="str">
            <v>ELOXATINE</v>
          </cell>
        </row>
        <row r="28">
          <cell r="A28" t="str">
            <v xml:space="preserve">Fraxiparine 0,3ml X 10 </v>
          </cell>
          <cell r="B28">
            <v>28553</v>
          </cell>
          <cell r="D28">
            <v>28553</v>
          </cell>
          <cell r="E28">
            <v>6347.9318000000003</v>
          </cell>
          <cell r="F28">
            <v>0</v>
          </cell>
          <cell r="G28">
            <v>6347.9318000000003</v>
          </cell>
          <cell r="H28">
            <v>181252496.68540001</v>
          </cell>
          <cell r="J28">
            <v>801251.2905401045</v>
          </cell>
          <cell r="K28">
            <v>32000</v>
          </cell>
          <cell r="L28">
            <v>9600</v>
          </cell>
          <cell r="M28">
            <v>41600</v>
          </cell>
          <cell r="N28">
            <v>6342</v>
          </cell>
          <cell r="O28">
            <v>0</v>
          </cell>
          <cell r="P28">
            <v>4878.4615384615381</v>
          </cell>
          <cell r="Q28">
            <v>202944000</v>
          </cell>
          <cell r="R28">
            <v>-38050.097495125257</v>
          </cell>
          <cell r="S28">
            <v>859932.20338983054</v>
          </cell>
          <cell r="T28">
            <v>32000</v>
          </cell>
          <cell r="U28">
            <v>9600</v>
          </cell>
          <cell r="V28">
            <v>41600</v>
          </cell>
          <cell r="W28">
            <v>6472</v>
          </cell>
          <cell r="X28">
            <v>0</v>
          </cell>
          <cell r="Y28">
            <v>4978.4615384615381</v>
          </cell>
          <cell r="Z28">
            <v>207104000</v>
          </cell>
          <cell r="AA28">
            <v>0</v>
          </cell>
          <cell r="AB28">
            <v>877559.32203389832</v>
          </cell>
          <cell r="AC28">
            <v>36000</v>
          </cell>
          <cell r="AD28">
            <v>0</v>
          </cell>
          <cell r="AE28">
            <v>36000</v>
          </cell>
          <cell r="AF28">
            <v>6472</v>
          </cell>
          <cell r="AG28">
            <v>0</v>
          </cell>
          <cell r="AH28">
            <v>6472</v>
          </cell>
          <cell r="AI28">
            <v>232992000</v>
          </cell>
          <cell r="AJ28">
            <v>-24477.377784003387</v>
          </cell>
          <cell r="AK28">
            <v>962776.85950413218</v>
          </cell>
          <cell r="AL28">
            <v>39000</v>
          </cell>
          <cell r="AM28">
            <v>0</v>
          </cell>
          <cell r="AN28">
            <v>39000</v>
          </cell>
          <cell r="AO28">
            <v>6472</v>
          </cell>
          <cell r="AP28">
            <v>0</v>
          </cell>
          <cell r="AQ28">
            <v>6472</v>
          </cell>
          <cell r="AR28">
            <v>252408000</v>
          </cell>
          <cell r="AS28">
            <v>-16959.483975004987</v>
          </cell>
          <cell r="AT28">
            <v>1026048.7804878049</v>
          </cell>
          <cell r="AU28">
            <v>42000</v>
          </cell>
          <cell r="AV28">
            <v>0</v>
          </cell>
          <cell r="AW28">
            <v>42000</v>
          </cell>
          <cell r="AX28">
            <v>6472</v>
          </cell>
          <cell r="AY28">
            <v>0</v>
          </cell>
          <cell r="AZ28">
            <v>6472</v>
          </cell>
          <cell r="BA28">
            <v>271824000</v>
          </cell>
          <cell r="BB28">
            <v>-4473.5854645997752</v>
          </cell>
          <cell r="BC28">
            <v>1100502.0242914979</v>
          </cell>
          <cell r="BX28" t="str">
            <v>FRAXIPARINE</v>
          </cell>
        </row>
        <row r="29">
          <cell r="A29" t="str">
            <v>Fraxiparine 0,4ml X 10</v>
          </cell>
          <cell r="B29">
            <v>5308</v>
          </cell>
          <cell r="D29">
            <v>5308</v>
          </cell>
          <cell r="E29">
            <v>8272.1769999999997</v>
          </cell>
          <cell r="F29">
            <v>0</v>
          </cell>
          <cell r="G29">
            <v>8272.1769999999997</v>
          </cell>
          <cell r="H29">
            <v>43908715.515999995</v>
          </cell>
          <cell r="J29">
            <v>193721.47373808231</v>
          </cell>
          <cell r="K29">
            <v>6200</v>
          </cell>
          <cell r="L29">
            <v>1860</v>
          </cell>
          <cell r="M29">
            <v>8060</v>
          </cell>
          <cell r="N29">
            <v>8280</v>
          </cell>
          <cell r="O29">
            <v>0</v>
          </cell>
          <cell r="P29">
            <v>6369.2307692307695</v>
          </cell>
          <cell r="Q29">
            <v>51336000</v>
          </cell>
          <cell r="R29">
            <v>-9625.018749062554</v>
          </cell>
          <cell r="S29">
            <v>217525.42372881356</v>
          </cell>
          <cell r="T29">
            <v>6200</v>
          </cell>
          <cell r="U29">
            <v>1860</v>
          </cell>
          <cell r="V29">
            <v>8060</v>
          </cell>
          <cell r="W29">
            <v>8317</v>
          </cell>
          <cell r="X29">
            <v>0</v>
          </cell>
          <cell r="Y29">
            <v>6397.6923076923076</v>
          </cell>
          <cell r="Z29">
            <v>51565400</v>
          </cell>
          <cell r="AA29">
            <v>0</v>
          </cell>
          <cell r="AB29">
            <v>218497.45762711865</v>
          </cell>
          <cell r="AC29">
            <v>7000</v>
          </cell>
          <cell r="AD29">
            <v>0</v>
          </cell>
          <cell r="AE29">
            <v>7000</v>
          </cell>
          <cell r="AF29">
            <v>8317</v>
          </cell>
          <cell r="AG29">
            <v>0</v>
          </cell>
          <cell r="AH29">
            <v>8317</v>
          </cell>
          <cell r="AI29">
            <v>58219000</v>
          </cell>
          <cell r="AJ29">
            <v>-6116.2978008124628</v>
          </cell>
          <cell r="AK29">
            <v>240574.38016528924</v>
          </cell>
          <cell r="AL29">
            <v>8200</v>
          </cell>
          <cell r="AM29">
            <v>0</v>
          </cell>
          <cell r="AN29">
            <v>8200</v>
          </cell>
          <cell r="AO29">
            <v>8317</v>
          </cell>
          <cell r="AP29">
            <v>0</v>
          </cell>
          <cell r="AQ29">
            <v>8317</v>
          </cell>
          <cell r="AR29">
            <v>68199400</v>
          </cell>
          <cell r="AS29">
            <v>-4582.3691460055416</v>
          </cell>
          <cell r="AT29">
            <v>277233.33333333331</v>
          </cell>
          <cell r="AU29">
            <v>8500</v>
          </cell>
          <cell r="AV29">
            <v>0</v>
          </cell>
          <cell r="AW29">
            <v>8500</v>
          </cell>
          <cell r="AX29">
            <v>8317</v>
          </cell>
          <cell r="AY29">
            <v>0</v>
          </cell>
          <cell r="AZ29">
            <v>8317</v>
          </cell>
          <cell r="BA29">
            <v>70694500</v>
          </cell>
          <cell r="BB29">
            <v>-1163.4656528751366</v>
          </cell>
          <cell r="BC29">
            <v>286212.55060728744</v>
          </cell>
          <cell r="BX29" t="str">
            <v>FRAXIPARINE</v>
          </cell>
        </row>
        <row r="30">
          <cell r="A30" t="str">
            <v>Fraxiparine 0,6ml X 10</v>
          </cell>
          <cell r="B30">
            <v>11552</v>
          </cell>
          <cell r="D30">
            <v>11552</v>
          </cell>
          <cell r="E30">
            <v>11958.3905</v>
          </cell>
          <cell r="F30">
            <v>0</v>
          </cell>
          <cell r="G30">
            <v>11958.3905</v>
          </cell>
          <cell r="H30">
            <v>138143327.05599999</v>
          </cell>
          <cell r="J30">
            <v>610570.68489760126</v>
          </cell>
          <cell r="K30">
            <v>13500</v>
          </cell>
          <cell r="L30">
            <v>4050</v>
          </cell>
          <cell r="M30">
            <v>17550</v>
          </cell>
          <cell r="N30">
            <v>11943</v>
          </cell>
          <cell r="O30">
            <v>0</v>
          </cell>
          <cell r="P30">
            <v>9186.9230769230762</v>
          </cell>
          <cell r="Q30">
            <v>161230500</v>
          </cell>
          <cell r="R30">
            <v>-30229.207289635437</v>
          </cell>
          <cell r="S30">
            <v>683180.08474576275</v>
          </cell>
          <cell r="T30">
            <v>13500</v>
          </cell>
          <cell r="U30">
            <v>4050</v>
          </cell>
          <cell r="V30">
            <v>17550</v>
          </cell>
          <cell r="W30">
            <v>12187</v>
          </cell>
          <cell r="X30">
            <v>0</v>
          </cell>
          <cell r="Y30">
            <v>9374.6153846153848</v>
          </cell>
          <cell r="Z30">
            <v>164524500</v>
          </cell>
          <cell r="AA30">
            <v>0</v>
          </cell>
          <cell r="AB30">
            <v>697137.71186440683</v>
          </cell>
          <cell r="AC30">
            <v>14700</v>
          </cell>
          <cell r="AD30">
            <v>0</v>
          </cell>
          <cell r="AE30">
            <v>14700</v>
          </cell>
          <cell r="AF30">
            <v>12187</v>
          </cell>
          <cell r="AG30">
            <v>0</v>
          </cell>
          <cell r="AH30">
            <v>12187</v>
          </cell>
          <cell r="AI30">
            <v>179148900</v>
          </cell>
          <cell r="AJ30">
            <v>-18820.797730774619</v>
          </cell>
          <cell r="AK30">
            <v>740284.71074380167</v>
          </cell>
          <cell r="AL30">
            <v>15700</v>
          </cell>
          <cell r="AM30">
            <v>0</v>
          </cell>
          <cell r="AN30">
            <v>15700</v>
          </cell>
          <cell r="AO30">
            <v>12187</v>
          </cell>
          <cell r="AP30">
            <v>0</v>
          </cell>
          <cell r="AQ30">
            <v>12187</v>
          </cell>
          <cell r="AR30">
            <v>191335900</v>
          </cell>
          <cell r="AS30">
            <v>-12856.003493919154</v>
          </cell>
          <cell r="AT30">
            <v>777788.21138211386</v>
          </cell>
          <cell r="AU30">
            <v>16000</v>
          </cell>
          <cell r="AV30">
            <v>0</v>
          </cell>
          <cell r="AW30">
            <v>16000</v>
          </cell>
          <cell r="AX30">
            <v>12187</v>
          </cell>
          <cell r="AY30">
            <v>0</v>
          </cell>
          <cell r="AZ30">
            <v>12187</v>
          </cell>
          <cell r="BA30">
            <v>194992000</v>
          </cell>
          <cell r="BB30">
            <v>-3209.1109575063456</v>
          </cell>
          <cell r="BC30">
            <v>789441.29554655869</v>
          </cell>
          <cell r="BX30" t="str">
            <v>FRAXIPARINE</v>
          </cell>
        </row>
        <row r="31">
          <cell r="A31" t="str">
            <v>Fraxiparine 0,8ml X 10</v>
          </cell>
          <cell r="B31">
            <v>1688</v>
          </cell>
          <cell r="D31">
            <v>1688</v>
          </cell>
          <cell r="E31">
            <v>14788.540300000001</v>
          </cell>
          <cell r="F31">
            <v>0</v>
          </cell>
          <cell r="G31">
            <v>14788.540300000001</v>
          </cell>
          <cell r="H31">
            <v>24963056.0264</v>
          </cell>
          <cell r="J31">
            <v>110201.12344767214</v>
          </cell>
          <cell r="K31">
            <v>1400</v>
          </cell>
          <cell r="L31">
            <v>420</v>
          </cell>
          <cell r="M31">
            <v>1820</v>
          </cell>
          <cell r="N31">
            <v>14743</v>
          </cell>
          <cell r="O31">
            <v>0</v>
          </cell>
          <cell r="P31">
            <v>11340.76923076923</v>
          </cell>
          <cell r="Q31">
            <v>20640200</v>
          </cell>
          <cell r="R31">
            <v>-3869.8440077996202</v>
          </cell>
          <cell r="S31">
            <v>87458.474576271183</v>
          </cell>
          <cell r="T31">
            <v>2000</v>
          </cell>
          <cell r="U31">
            <v>600</v>
          </cell>
          <cell r="V31">
            <v>2600</v>
          </cell>
          <cell r="W31">
            <v>15046</v>
          </cell>
          <cell r="X31">
            <v>0</v>
          </cell>
          <cell r="Y31">
            <v>11573.846153846154</v>
          </cell>
          <cell r="Z31">
            <v>30092000</v>
          </cell>
          <cell r="AA31">
            <v>0</v>
          </cell>
          <cell r="AB31">
            <v>127508.47457627118</v>
          </cell>
          <cell r="AC31">
            <v>2300</v>
          </cell>
          <cell r="AD31">
            <v>0</v>
          </cell>
          <cell r="AE31">
            <v>2300</v>
          </cell>
          <cell r="AF31">
            <v>15046</v>
          </cell>
          <cell r="AG31">
            <v>0</v>
          </cell>
          <cell r="AH31">
            <v>15046</v>
          </cell>
          <cell r="AI31">
            <v>34605800</v>
          </cell>
          <cell r="AJ31">
            <v>-3635.5722089928458</v>
          </cell>
          <cell r="AK31">
            <v>142999.17355371901</v>
          </cell>
          <cell r="AL31">
            <v>2500</v>
          </cell>
          <cell r="AM31">
            <v>0</v>
          </cell>
          <cell r="AN31">
            <v>2500</v>
          </cell>
          <cell r="AO31">
            <v>15046</v>
          </cell>
          <cell r="AP31">
            <v>0</v>
          </cell>
          <cell r="AQ31">
            <v>15046</v>
          </cell>
          <cell r="AR31">
            <v>37615000</v>
          </cell>
          <cell r="AS31">
            <v>-2527.3802324800054</v>
          </cell>
          <cell r="AT31">
            <v>152906.50406504064</v>
          </cell>
          <cell r="AU31">
            <v>2800</v>
          </cell>
          <cell r="AV31">
            <v>0</v>
          </cell>
          <cell r="AW31">
            <v>2800</v>
          </cell>
          <cell r="AX31">
            <v>15046</v>
          </cell>
          <cell r="AY31">
            <v>0</v>
          </cell>
          <cell r="AZ31">
            <v>15046</v>
          </cell>
          <cell r="BA31">
            <v>42128800</v>
          </cell>
          <cell r="BB31">
            <v>-693.34123300746433</v>
          </cell>
          <cell r="BC31">
            <v>170561.94331983806</v>
          </cell>
          <cell r="BX31" t="str">
            <v>FRAXIPARINE</v>
          </cell>
        </row>
        <row r="32">
          <cell r="A32" t="str">
            <v>Fraxiparine 1,0ml X 10</v>
          </cell>
          <cell r="B32">
            <v>100</v>
          </cell>
          <cell r="D32">
            <v>100</v>
          </cell>
          <cell r="E32">
            <v>16471.8</v>
          </cell>
          <cell r="F32">
            <v>0</v>
          </cell>
          <cell r="G32">
            <v>16471.8</v>
          </cell>
          <cell r="H32">
            <v>1647180</v>
          </cell>
          <cell r="J32">
            <v>7272.0802940654485</v>
          </cell>
          <cell r="K32">
            <v>140</v>
          </cell>
          <cell r="L32">
            <v>42</v>
          </cell>
          <cell r="M32">
            <v>182</v>
          </cell>
          <cell r="N32">
            <v>16405</v>
          </cell>
          <cell r="O32">
            <v>0</v>
          </cell>
          <cell r="P32">
            <v>12619.23076923077</v>
          </cell>
          <cell r="Q32">
            <v>2296700</v>
          </cell>
          <cell r="R32">
            <v>-430.6097195140228</v>
          </cell>
          <cell r="S32">
            <v>9731.7796610169498</v>
          </cell>
          <cell r="T32">
            <v>140</v>
          </cell>
          <cell r="U32">
            <v>42</v>
          </cell>
          <cell r="V32">
            <v>182</v>
          </cell>
          <cell r="W32">
            <v>16741</v>
          </cell>
          <cell r="X32">
            <v>0</v>
          </cell>
          <cell r="Y32">
            <v>12877.692307692309</v>
          </cell>
          <cell r="Z32">
            <v>2343740</v>
          </cell>
          <cell r="AA32">
            <v>0</v>
          </cell>
          <cell r="AB32">
            <v>9931.1016949152545</v>
          </cell>
          <cell r="AC32">
            <v>150</v>
          </cell>
          <cell r="AD32">
            <v>0</v>
          </cell>
          <cell r="AE32">
            <v>150</v>
          </cell>
          <cell r="AF32">
            <v>16741</v>
          </cell>
          <cell r="AG32">
            <v>0</v>
          </cell>
          <cell r="AH32">
            <v>16741</v>
          </cell>
          <cell r="AI32">
            <v>2511150</v>
          </cell>
          <cell r="AJ32">
            <v>-263.81320913293166</v>
          </cell>
          <cell r="AK32">
            <v>10376.652892561984</v>
          </cell>
          <cell r="AL32">
            <v>150</v>
          </cell>
          <cell r="AM32">
            <v>0</v>
          </cell>
          <cell r="AN32">
            <v>150</v>
          </cell>
          <cell r="AO32">
            <v>16741</v>
          </cell>
          <cell r="AP32">
            <v>0</v>
          </cell>
          <cell r="AQ32">
            <v>16741</v>
          </cell>
          <cell r="AR32">
            <v>2511150</v>
          </cell>
          <cell r="AS32">
            <v>-168.72606329369228</v>
          </cell>
          <cell r="AT32">
            <v>10207.926829268292</v>
          </cell>
          <cell r="AU32">
            <v>150</v>
          </cell>
          <cell r="AV32">
            <v>0</v>
          </cell>
          <cell r="AW32">
            <v>150</v>
          </cell>
          <cell r="AX32">
            <v>16741</v>
          </cell>
          <cell r="AY32">
            <v>0</v>
          </cell>
          <cell r="AZ32">
            <v>16741</v>
          </cell>
          <cell r="BA32">
            <v>2511150</v>
          </cell>
          <cell r="BB32">
            <v>-41.327638984890655</v>
          </cell>
          <cell r="BC32">
            <v>10166.599190283401</v>
          </cell>
          <cell r="BX32" t="str">
            <v>FRAXIPARINE</v>
          </cell>
        </row>
        <row r="33">
          <cell r="A33" t="str">
            <v>Fraxiparine forte 0,6 ml X 10</v>
          </cell>
          <cell r="B33">
            <v>0</v>
          </cell>
          <cell r="C33">
            <v>0</v>
          </cell>
          <cell r="D33">
            <v>0</v>
          </cell>
          <cell r="F33">
            <v>0</v>
          </cell>
          <cell r="G33">
            <v>0</v>
          </cell>
          <cell r="H33">
            <v>0</v>
          </cell>
          <cell r="J33">
            <v>0</v>
          </cell>
          <cell r="K33">
            <v>200</v>
          </cell>
          <cell r="L33">
            <v>60</v>
          </cell>
          <cell r="M33">
            <v>260</v>
          </cell>
          <cell r="N33">
            <v>26190</v>
          </cell>
          <cell r="O33">
            <v>0</v>
          </cell>
          <cell r="P33">
            <v>20146.153846153848</v>
          </cell>
          <cell r="Q33">
            <v>5238000</v>
          </cell>
          <cell r="R33">
            <v>0</v>
          </cell>
          <cell r="S33">
            <v>22194.915254237287</v>
          </cell>
          <cell r="T33">
            <v>120</v>
          </cell>
          <cell r="U33">
            <v>36</v>
          </cell>
          <cell r="V33">
            <v>156</v>
          </cell>
          <cell r="W33">
            <v>21909</v>
          </cell>
          <cell r="X33">
            <v>0</v>
          </cell>
          <cell r="Y33">
            <v>16853.076923076922</v>
          </cell>
          <cell r="Z33">
            <v>2629080</v>
          </cell>
          <cell r="AA33">
            <v>0</v>
          </cell>
          <cell r="AB33">
            <v>11140.169491525423</v>
          </cell>
          <cell r="AC33">
            <v>300</v>
          </cell>
          <cell r="AD33">
            <v>0</v>
          </cell>
          <cell r="AE33">
            <v>300</v>
          </cell>
          <cell r="AF33">
            <v>21909</v>
          </cell>
          <cell r="AG33">
            <v>0</v>
          </cell>
          <cell r="AH33">
            <v>21909</v>
          </cell>
          <cell r="AI33">
            <v>6572700</v>
          </cell>
          <cell r="AJ33">
            <v>-690.50637344165807</v>
          </cell>
          <cell r="AK33">
            <v>27159.917355371901</v>
          </cell>
          <cell r="AL33">
            <v>400</v>
          </cell>
          <cell r="AM33">
            <v>0</v>
          </cell>
          <cell r="AN33">
            <v>400</v>
          </cell>
          <cell r="AO33">
            <v>21909</v>
          </cell>
          <cell r="AP33">
            <v>0</v>
          </cell>
          <cell r="AQ33">
            <v>21909</v>
          </cell>
          <cell r="AR33">
            <v>8763600</v>
          </cell>
          <cell r="AS33">
            <v>-588.83289659342699</v>
          </cell>
          <cell r="AT33">
            <v>35624.390243902439</v>
          </cell>
          <cell r="AU33">
            <v>450</v>
          </cell>
          <cell r="AV33">
            <v>0</v>
          </cell>
          <cell r="AW33">
            <v>450</v>
          </cell>
          <cell r="AX33">
            <v>21909</v>
          </cell>
          <cell r="AY33">
            <v>0</v>
          </cell>
          <cell r="AZ33">
            <v>21909</v>
          </cell>
          <cell r="BA33">
            <v>9859050</v>
          </cell>
          <cell r="BB33">
            <v>-162.25683815543016</v>
          </cell>
          <cell r="BC33">
            <v>39915.182186234815</v>
          </cell>
          <cell r="BX33" t="str">
            <v>FRAXIPARINE</v>
          </cell>
        </row>
        <row r="34">
          <cell r="A34" t="str">
            <v>Fraxiparine forte 0,8 ml X 10</v>
          </cell>
          <cell r="B34">
            <v>0</v>
          </cell>
          <cell r="C34">
            <v>0</v>
          </cell>
          <cell r="D34">
            <v>0</v>
          </cell>
          <cell r="F34">
            <v>0</v>
          </cell>
          <cell r="G34">
            <v>0</v>
          </cell>
          <cell r="H34">
            <v>0</v>
          </cell>
          <cell r="J34">
            <v>0</v>
          </cell>
          <cell r="K34">
            <v>300</v>
          </cell>
          <cell r="L34">
            <v>90</v>
          </cell>
          <cell r="M34">
            <v>390</v>
          </cell>
          <cell r="N34">
            <v>34053</v>
          </cell>
          <cell r="O34">
            <v>0</v>
          </cell>
          <cell r="P34">
            <v>26194.615384615383</v>
          </cell>
          <cell r="Q34">
            <v>10215900</v>
          </cell>
          <cell r="R34">
            <v>0</v>
          </cell>
          <cell r="S34">
            <v>43287.711864406781</v>
          </cell>
          <cell r="T34">
            <v>160</v>
          </cell>
          <cell r="U34">
            <v>48</v>
          </cell>
          <cell r="V34">
            <v>208</v>
          </cell>
          <cell r="W34">
            <v>28622</v>
          </cell>
          <cell r="X34">
            <v>0</v>
          </cell>
          <cell r="Y34">
            <v>22016.923076923078</v>
          </cell>
          <cell r="Z34">
            <v>4579520</v>
          </cell>
          <cell r="AA34">
            <v>0</v>
          </cell>
          <cell r="AB34">
            <v>19404.745762711864</v>
          </cell>
          <cell r="AC34">
            <v>400</v>
          </cell>
          <cell r="AD34">
            <v>0</v>
          </cell>
          <cell r="AE34">
            <v>400</v>
          </cell>
          <cell r="AF34">
            <v>28622</v>
          </cell>
          <cell r="AG34">
            <v>0</v>
          </cell>
          <cell r="AH34">
            <v>28622</v>
          </cell>
          <cell r="AI34">
            <v>11448800</v>
          </cell>
          <cell r="AJ34">
            <v>-1202.7734976887514</v>
          </cell>
          <cell r="AK34">
            <v>47309.090909090912</v>
          </cell>
          <cell r="AL34">
            <v>500</v>
          </cell>
          <cell r="AM34">
            <v>0</v>
          </cell>
          <cell r="AN34">
            <v>500</v>
          </cell>
          <cell r="AO34">
            <v>28622</v>
          </cell>
          <cell r="AP34">
            <v>0</v>
          </cell>
          <cell r="AQ34">
            <v>28622</v>
          </cell>
          <cell r="AR34">
            <v>14311000</v>
          </cell>
          <cell r="AS34">
            <v>-961.56688839616254</v>
          </cell>
          <cell r="AT34">
            <v>58174.796747967477</v>
          </cell>
          <cell r="AU34">
            <v>550</v>
          </cell>
          <cell r="AV34">
            <v>0</v>
          </cell>
          <cell r="AW34">
            <v>550</v>
          </cell>
          <cell r="AX34">
            <v>28622</v>
          </cell>
          <cell r="AY34">
            <v>0</v>
          </cell>
          <cell r="AZ34">
            <v>28622</v>
          </cell>
          <cell r="BA34">
            <v>15742100</v>
          </cell>
          <cell r="BB34">
            <v>-259.07804219742684</v>
          </cell>
          <cell r="BC34">
            <v>63733.198380566799</v>
          </cell>
          <cell r="BX34" t="str">
            <v>FRAXIPARINE</v>
          </cell>
        </row>
        <row r="35">
          <cell r="A35" t="str">
            <v>Fraxiparine forte 1,0 ml X 10</v>
          </cell>
          <cell r="B35">
            <v>0</v>
          </cell>
          <cell r="C35">
            <v>0</v>
          </cell>
          <cell r="D35">
            <v>0</v>
          </cell>
          <cell r="F35">
            <v>0</v>
          </cell>
          <cell r="G35">
            <v>0</v>
          </cell>
          <cell r="H35">
            <v>0</v>
          </cell>
          <cell r="J35">
            <v>0</v>
          </cell>
          <cell r="K35">
            <v>50</v>
          </cell>
          <cell r="L35">
            <v>15</v>
          </cell>
          <cell r="M35">
            <v>65</v>
          </cell>
          <cell r="N35">
            <v>39046</v>
          </cell>
          <cell r="O35">
            <v>0</v>
          </cell>
          <cell r="P35">
            <v>30035.384615384617</v>
          </cell>
          <cell r="Q35">
            <v>1952300</v>
          </cell>
          <cell r="R35">
            <v>0</v>
          </cell>
          <cell r="S35">
            <v>8272.4576271186434</v>
          </cell>
          <cell r="T35">
            <v>60</v>
          </cell>
          <cell r="U35">
            <v>18</v>
          </cell>
          <cell r="V35">
            <v>78</v>
          </cell>
          <cell r="W35">
            <v>33424</v>
          </cell>
          <cell r="X35">
            <v>0</v>
          </cell>
          <cell r="Y35">
            <v>25710.76923076923</v>
          </cell>
          <cell r="Z35">
            <v>2005440</v>
          </cell>
          <cell r="AA35">
            <v>0</v>
          </cell>
          <cell r="AB35">
            <v>8497.6271186440681</v>
          </cell>
          <cell r="AC35">
            <v>65</v>
          </cell>
          <cell r="AD35">
            <v>0</v>
          </cell>
          <cell r="AE35">
            <v>65</v>
          </cell>
          <cell r="AF35">
            <v>33424</v>
          </cell>
          <cell r="AG35">
            <v>0</v>
          </cell>
          <cell r="AH35">
            <v>33424</v>
          </cell>
          <cell r="AI35">
            <v>2172560</v>
          </cell>
          <cell r="AJ35">
            <v>-228.24205070738208</v>
          </cell>
          <cell r="AK35">
            <v>8977.5206611570247</v>
          </cell>
          <cell r="AL35">
            <v>80</v>
          </cell>
          <cell r="AM35">
            <v>0</v>
          </cell>
          <cell r="AN35">
            <v>80</v>
          </cell>
          <cell r="AO35">
            <v>33424</v>
          </cell>
          <cell r="AP35">
            <v>0</v>
          </cell>
          <cell r="AQ35">
            <v>33424</v>
          </cell>
          <cell r="AR35">
            <v>2673920</v>
          </cell>
          <cell r="AS35">
            <v>-179.66270241214806</v>
          </cell>
          <cell r="AT35">
            <v>10869.59349593496</v>
          </cell>
          <cell r="AU35">
            <v>80</v>
          </cell>
          <cell r="AV35">
            <v>0</v>
          </cell>
          <cell r="AW35">
            <v>80</v>
          </cell>
          <cell r="AX35">
            <v>33424</v>
          </cell>
          <cell r="AY35">
            <v>0</v>
          </cell>
          <cell r="AZ35">
            <v>33424</v>
          </cell>
          <cell r="BA35">
            <v>2673920</v>
          </cell>
          <cell r="BB35">
            <v>-44.006451400546212</v>
          </cell>
          <cell r="BC35">
            <v>10825.587044534414</v>
          </cell>
          <cell r="BX35" t="str">
            <v>FRAXIPARINE</v>
          </cell>
        </row>
        <row r="36">
          <cell r="A36" t="str">
            <v>Jumex 5mg X 50</v>
          </cell>
          <cell r="B36">
            <v>0</v>
          </cell>
          <cell r="C36">
            <v>0</v>
          </cell>
          <cell r="D36">
            <v>0</v>
          </cell>
          <cell r="F36">
            <v>0</v>
          </cell>
          <cell r="G36">
            <v>0</v>
          </cell>
          <cell r="H36">
            <v>0</v>
          </cell>
          <cell r="J36">
            <v>0</v>
          </cell>
          <cell r="K36">
            <v>7500</v>
          </cell>
          <cell r="L36">
            <v>0</v>
          </cell>
          <cell r="M36">
            <v>7500</v>
          </cell>
          <cell r="N36">
            <v>4447</v>
          </cell>
          <cell r="O36">
            <v>0</v>
          </cell>
          <cell r="P36">
            <v>4447</v>
          </cell>
          <cell r="Q36">
            <v>33352500</v>
          </cell>
          <cell r="R36">
            <v>0</v>
          </cell>
          <cell r="S36">
            <v>141324.15254237287</v>
          </cell>
          <cell r="T36">
            <v>5060</v>
          </cell>
          <cell r="U36">
            <v>0</v>
          </cell>
          <cell r="V36">
            <v>5060</v>
          </cell>
          <cell r="W36">
            <v>4512</v>
          </cell>
          <cell r="X36">
            <v>0</v>
          </cell>
          <cell r="Y36">
            <v>4512</v>
          </cell>
          <cell r="Z36">
            <v>22830720</v>
          </cell>
          <cell r="AA36">
            <v>0</v>
          </cell>
          <cell r="AB36">
            <v>96740.338983050853</v>
          </cell>
          <cell r="AC36">
            <v>8500</v>
          </cell>
          <cell r="AD36">
            <v>0</v>
          </cell>
          <cell r="AE36">
            <v>8500</v>
          </cell>
          <cell r="AF36">
            <v>4512</v>
          </cell>
          <cell r="AG36">
            <v>0</v>
          </cell>
          <cell r="AH36">
            <v>4512</v>
          </cell>
          <cell r="AI36">
            <v>38352000</v>
          </cell>
          <cell r="AJ36">
            <v>-4029.1357332959888</v>
          </cell>
          <cell r="AK36">
            <v>158479.33884297521</v>
          </cell>
          <cell r="AL36">
            <v>9400</v>
          </cell>
          <cell r="AM36">
            <v>0</v>
          </cell>
          <cell r="AN36">
            <v>9400</v>
          </cell>
          <cell r="AO36">
            <v>4512</v>
          </cell>
          <cell r="AP36">
            <v>0</v>
          </cell>
          <cell r="AQ36">
            <v>4512</v>
          </cell>
          <cell r="AR36">
            <v>42412800</v>
          </cell>
          <cell r="AS36">
            <v>-2849.7480346704251</v>
          </cell>
          <cell r="AT36">
            <v>172409.75609756098</v>
          </cell>
          <cell r="AU36">
            <v>10000</v>
          </cell>
          <cell r="AV36">
            <v>0</v>
          </cell>
          <cell r="AW36">
            <v>10000</v>
          </cell>
          <cell r="AX36">
            <v>4512</v>
          </cell>
          <cell r="AY36">
            <v>0</v>
          </cell>
          <cell r="AZ36">
            <v>4512</v>
          </cell>
          <cell r="BA36">
            <v>45120000</v>
          </cell>
          <cell r="BB36">
            <v>-742.56936901353765</v>
          </cell>
          <cell r="BC36">
            <v>182672.06477732793</v>
          </cell>
          <cell r="BX36" t="str">
            <v>JUMEX</v>
          </cell>
        </row>
        <row r="37">
          <cell r="A37" t="str">
            <v>Plavix 75mg / 28</v>
          </cell>
          <cell r="B37">
            <v>102978</v>
          </cell>
          <cell r="C37">
            <v>0</v>
          </cell>
          <cell r="D37">
            <v>102978</v>
          </cell>
          <cell r="E37">
            <v>10356.087100000001</v>
          </cell>
          <cell r="F37">
            <v>0</v>
          </cell>
          <cell r="G37">
            <v>10356.087100000001</v>
          </cell>
          <cell r="H37">
            <v>1066449137.3838</v>
          </cell>
          <cell r="J37">
            <v>4711962.8918375103</v>
          </cell>
          <cell r="K37">
            <v>117000</v>
          </cell>
          <cell r="L37">
            <v>0</v>
          </cell>
          <cell r="M37">
            <v>117000</v>
          </cell>
          <cell r="N37">
            <v>10342</v>
          </cell>
          <cell r="O37">
            <v>0</v>
          </cell>
          <cell r="P37">
            <v>10342</v>
          </cell>
          <cell r="Q37">
            <v>1210014000</v>
          </cell>
          <cell r="R37">
            <v>-226866.28168591578</v>
          </cell>
          <cell r="S37">
            <v>5127177.9661016949</v>
          </cell>
          <cell r="T37">
            <v>123000</v>
          </cell>
          <cell r="U37">
            <v>0</v>
          </cell>
          <cell r="V37">
            <v>123000</v>
          </cell>
          <cell r="W37">
            <v>10555</v>
          </cell>
          <cell r="X37">
            <v>0</v>
          </cell>
          <cell r="Y37">
            <v>10555</v>
          </cell>
          <cell r="Z37">
            <v>1298265000</v>
          </cell>
          <cell r="AA37">
            <v>0</v>
          </cell>
          <cell r="AB37">
            <v>5501122.881355932</v>
          </cell>
          <cell r="AC37">
            <v>140000</v>
          </cell>
          <cell r="AD37">
            <v>0</v>
          </cell>
          <cell r="AE37">
            <v>140000</v>
          </cell>
          <cell r="AF37">
            <v>10555</v>
          </cell>
          <cell r="AG37">
            <v>0</v>
          </cell>
          <cell r="AH37">
            <v>10555</v>
          </cell>
          <cell r="AI37">
            <v>1477700000</v>
          </cell>
          <cell r="AJ37">
            <v>-155242.33085866366</v>
          </cell>
          <cell r="AK37">
            <v>6106198.3471074384</v>
          </cell>
          <cell r="AL37">
            <v>155000</v>
          </cell>
          <cell r="AM37">
            <v>0</v>
          </cell>
          <cell r="AN37">
            <v>155000</v>
          </cell>
          <cell r="AO37">
            <v>10555</v>
          </cell>
          <cell r="AP37">
            <v>0</v>
          </cell>
          <cell r="AQ37">
            <v>10555</v>
          </cell>
          <cell r="AR37">
            <v>1636025000</v>
          </cell>
          <cell r="AS37">
            <v>-109925.75421622023</v>
          </cell>
          <cell r="AT37">
            <v>6650508.1300813006</v>
          </cell>
          <cell r="AU37">
            <v>165000</v>
          </cell>
          <cell r="AV37">
            <v>0</v>
          </cell>
          <cell r="AW37">
            <v>165000</v>
          </cell>
          <cell r="AX37">
            <v>10555</v>
          </cell>
          <cell r="AY37">
            <v>0</v>
          </cell>
          <cell r="AZ37">
            <v>10555</v>
          </cell>
          <cell r="BA37">
            <v>1741575000</v>
          </cell>
          <cell r="BB37">
            <v>-28662.239557618275</v>
          </cell>
          <cell r="BC37">
            <v>7050910.9311740892</v>
          </cell>
          <cell r="BX37" t="str">
            <v>PLAVIX</v>
          </cell>
        </row>
        <row r="38">
          <cell r="A38" t="str">
            <v>Solian 100mg X 30 tab</v>
          </cell>
          <cell r="B38">
            <v>0</v>
          </cell>
          <cell r="C38">
            <v>0</v>
          </cell>
          <cell r="D38">
            <v>0</v>
          </cell>
          <cell r="F38">
            <v>0</v>
          </cell>
          <cell r="G38">
            <v>0</v>
          </cell>
          <cell r="H38">
            <v>0</v>
          </cell>
          <cell r="J38">
            <v>0</v>
          </cell>
          <cell r="K38">
            <v>1800</v>
          </cell>
          <cell r="L38">
            <v>0</v>
          </cell>
          <cell r="M38">
            <v>1800</v>
          </cell>
          <cell r="N38">
            <v>7179</v>
          </cell>
          <cell r="O38">
            <v>0</v>
          </cell>
          <cell r="P38">
            <v>7179</v>
          </cell>
          <cell r="Q38">
            <v>12922200</v>
          </cell>
          <cell r="R38">
            <v>0</v>
          </cell>
          <cell r="S38">
            <v>54755.08474576271</v>
          </cell>
          <cell r="T38">
            <v>570</v>
          </cell>
          <cell r="U38">
            <v>0</v>
          </cell>
          <cell r="V38">
            <v>570</v>
          </cell>
          <cell r="W38">
            <v>7179</v>
          </cell>
          <cell r="X38">
            <v>0</v>
          </cell>
          <cell r="Y38">
            <v>7179</v>
          </cell>
          <cell r="Z38">
            <v>4092030</v>
          </cell>
          <cell r="AA38">
            <v>0</v>
          </cell>
          <cell r="AB38">
            <v>17339.110169491527</v>
          </cell>
          <cell r="AC38">
            <v>1800</v>
          </cell>
          <cell r="AD38">
            <v>0</v>
          </cell>
          <cell r="AE38">
            <v>1800</v>
          </cell>
          <cell r="AF38">
            <v>7179</v>
          </cell>
          <cell r="AG38">
            <v>0</v>
          </cell>
          <cell r="AH38">
            <v>7179</v>
          </cell>
          <cell r="AI38">
            <v>12922200</v>
          </cell>
          <cell r="AJ38">
            <v>-1357.5640846056849</v>
          </cell>
          <cell r="AK38">
            <v>53397.520661157025</v>
          </cell>
          <cell r="AL38">
            <v>4500</v>
          </cell>
          <cell r="AM38">
            <v>0</v>
          </cell>
          <cell r="AN38">
            <v>4500</v>
          </cell>
          <cell r="AO38">
            <v>7179</v>
          </cell>
          <cell r="AP38">
            <v>0</v>
          </cell>
          <cell r="AQ38">
            <v>7179</v>
          </cell>
          <cell r="AR38">
            <v>32305500</v>
          </cell>
          <cell r="AS38">
            <v>-2170.6309211852204</v>
          </cell>
          <cell r="AT38">
            <v>131323.17073170733</v>
          </cell>
          <cell r="AU38">
            <v>6000</v>
          </cell>
          <cell r="AV38">
            <v>0</v>
          </cell>
          <cell r="AW38">
            <v>6000</v>
          </cell>
          <cell r="AX38">
            <v>7179</v>
          </cell>
          <cell r="AY38">
            <v>0</v>
          </cell>
          <cell r="AZ38">
            <v>7179</v>
          </cell>
          <cell r="BA38">
            <v>43074000</v>
          </cell>
          <cell r="BB38">
            <v>-708.89700799842831</v>
          </cell>
          <cell r="BC38">
            <v>174388.66396761133</v>
          </cell>
          <cell r="BX38" t="str">
            <v>SOLIAN</v>
          </cell>
        </row>
        <row r="39">
          <cell r="A39" t="str">
            <v>Solian 200 mg X 30 tab</v>
          </cell>
          <cell r="B39">
            <v>0</v>
          </cell>
          <cell r="C39">
            <v>0</v>
          </cell>
          <cell r="D39">
            <v>0</v>
          </cell>
          <cell r="F39">
            <v>0</v>
          </cell>
          <cell r="G39">
            <v>0</v>
          </cell>
          <cell r="H39">
            <v>0</v>
          </cell>
          <cell r="J39">
            <v>0</v>
          </cell>
          <cell r="K39">
            <v>4000</v>
          </cell>
          <cell r="L39">
            <v>0</v>
          </cell>
          <cell r="M39">
            <v>4000</v>
          </cell>
          <cell r="N39">
            <v>11595</v>
          </cell>
          <cell r="O39">
            <v>0</v>
          </cell>
          <cell r="P39">
            <v>11595</v>
          </cell>
          <cell r="Q39">
            <v>46380000</v>
          </cell>
          <cell r="R39">
            <v>0</v>
          </cell>
          <cell r="S39">
            <v>196525.42372881356</v>
          </cell>
          <cell r="T39">
            <v>1100</v>
          </cell>
          <cell r="U39">
            <v>0</v>
          </cell>
          <cell r="V39">
            <v>1100</v>
          </cell>
          <cell r="W39">
            <v>11595</v>
          </cell>
          <cell r="X39">
            <v>0</v>
          </cell>
          <cell r="Y39">
            <v>11595</v>
          </cell>
          <cell r="Z39">
            <v>12754500</v>
          </cell>
          <cell r="AA39">
            <v>0</v>
          </cell>
          <cell r="AB39">
            <v>54044.491525423728</v>
          </cell>
          <cell r="AC39">
            <v>4000</v>
          </cell>
          <cell r="AD39">
            <v>0</v>
          </cell>
          <cell r="AE39">
            <v>4000</v>
          </cell>
          <cell r="AF39">
            <v>11595</v>
          </cell>
          <cell r="AG39">
            <v>0</v>
          </cell>
          <cell r="AH39">
            <v>11595</v>
          </cell>
          <cell r="AI39">
            <v>46380000</v>
          </cell>
          <cell r="AJ39">
            <v>-4872.5311668301001</v>
          </cell>
          <cell r="AK39">
            <v>191652.89256198346</v>
          </cell>
          <cell r="AL39">
            <v>7500</v>
          </cell>
          <cell r="AM39">
            <v>0</v>
          </cell>
          <cell r="AN39">
            <v>7500</v>
          </cell>
          <cell r="AO39">
            <v>11595</v>
          </cell>
          <cell r="AP39">
            <v>0</v>
          </cell>
          <cell r="AQ39">
            <v>11595</v>
          </cell>
          <cell r="AR39">
            <v>86962500</v>
          </cell>
          <cell r="AS39">
            <v>-5843.0759927434265</v>
          </cell>
          <cell r="AT39">
            <v>353506.09756097558</v>
          </cell>
          <cell r="AU39">
            <v>10000</v>
          </cell>
          <cell r="AV39">
            <v>0</v>
          </cell>
          <cell r="AW39">
            <v>10000</v>
          </cell>
          <cell r="AX39">
            <v>11595</v>
          </cell>
          <cell r="AY39">
            <v>0</v>
          </cell>
          <cell r="AZ39">
            <v>11595</v>
          </cell>
          <cell r="BA39">
            <v>115950000</v>
          </cell>
          <cell r="BB39">
            <v>-1908.2650340673863</v>
          </cell>
          <cell r="BC39">
            <v>469433.19838056678</v>
          </cell>
          <cell r="BX39" t="str">
            <v>SOLIAN</v>
          </cell>
        </row>
        <row r="40">
          <cell r="A40" t="str">
            <v>Solian 400mg X 30 tab</v>
          </cell>
          <cell r="B40">
            <v>0</v>
          </cell>
          <cell r="C40">
            <v>0</v>
          </cell>
          <cell r="D40">
            <v>0</v>
          </cell>
          <cell r="F40">
            <v>0</v>
          </cell>
          <cell r="G40">
            <v>0</v>
          </cell>
          <cell r="H40">
            <v>0</v>
          </cell>
          <cell r="J40">
            <v>0</v>
          </cell>
          <cell r="K40">
            <v>2800</v>
          </cell>
          <cell r="L40">
            <v>0</v>
          </cell>
          <cell r="M40">
            <v>2800</v>
          </cell>
          <cell r="N40">
            <v>23381</v>
          </cell>
          <cell r="O40">
            <v>0</v>
          </cell>
          <cell r="P40">
            <v>23381</v>
          </cell>
          <cell r="Q40">
            <v>65466800</v>
          </cell>
          <cell r="R40">
            <v>0</v>
          </cell>
          <cell r="S40">
            <v>277401.69491525425</v>
          </cell>
          <cell r="T40">
            <v>730</v>
          </cell>
          <cell r="U40">
            <v>0</v>
          </cell>
          <cell r="V40">
            <v>730</v>
          </cell>
          <cell r="W40">
            <v>23381</v>
          </cell>
          <cell r="X40">
            <v>0</v>
          </cell>
          <cell r="Y40">
            <v>23381</v>
          </cell>
          <cell r="Z40">
            <v>17068130</v>
          </cell>
          <cell r="AA40">
            <v>0</v>
          </cell>
          <cell r="AB40">
            <v>72322.58474576271</v>
          </cell>
          <cell r="AC40">
            <v>2800</v>
          </cell>
          <cell r="AD40">
            <v>0</v>
          </cell>
          <cell r="AE40">
            <v>2800</v>
          </cell>
          <cell r="AF40">
            <v>23381</v>
          </cell>
          <cell r="AG40">
            <v>0</v>
          </cell>
          <cell r="AH40">
            <v>23381</v>
          </cell>
          <cell r="AI40">
            <v>65466800</v>
          </cell>
          <cell r="AJ40">
            <v>-6877.7279731055023</v>
          </cell>
          <cell r="AK40">
            <v>270523.96694214875</v>
          </cell>
          <cell r="AL40">
            <v>4500</v>
          </cell>
          <cell r="AM40">
            <v>0</v>
          </cell>
          <cell r="AN40">
            <v>4500</v>
          </cell>
          <cell r="AO40">
            <v>23381</v>
          </cell>
          <cell r="AP40">
            <v>0</v>
          </cell>
          <cell r="AQ40">
            <v>23381</v>
          </cell>
          <cell r="AR40">
            <v>105214500</v>
          </cell>
          <cell r="AS40">
            <v>-7069.4416448296979</v>
          </cell>
          <cell r="AT40">
            <v>427701.21951219509</v>
          </cell>
          <cell r="AU40">
            <v>7000</v>
          </cell>
          <cell r="AV40">
            <v>0</v>
          </cell>
          <cell r="AW40">
            <v>7000</v>
          </cell>
          <cell r="AX40">
            <v>23381</v>
          </cell>
          <cell r="AY40">
            <v>0</v>
          </cell>
          <cell r="AZ40">
            <v>23381</v>
          </cell>
          <cell r="BA40">
            <v>163667000</v>
          </cell>
          <cell r="BB40">
            <v>-2693.5749317008303</v>
          </cell>
          <cell r="BC40">
            <v>662619.43319838052</v>
          </cell>
          <cell r="BX40" t="str">
            <v>SOLIAN</v>
          </cell>
        </row>
        <row r="44">
          <cell r="J44">
            <v>1025889.342152306</v>
          </cell>
          <cell r="S44">
            <v>1012202.6666666666</v>
          </cell>
          <cell r="AB44">
            <v>1012202.6666666666</v>
          </cell>
          <cell r="AK44">
            <v>1041973.3333333334</v>
          </cell>
          <cell r="BX44" t="str">
            <v>CORDARONE</v>
          </cell>
        </row>
        <row r="45">
          <cell r="J45">
            <v>70182.436115383578</v>
          </cell>
          <cell r="S45">
            <v>85476</v>
          </cell>
          <cell r="AB45">
            <v>85476</v>
          </cell>
          <cell r="AK45">
            <v>100560</v>
          </cell>
          <cell r="BX45" t="str">
            <v>CORDARONE</v>
          </cell>
        </row>
        <row r="46">
          <cell r="J46">
            <v>26603.816814469392</v>
          </cell>
          <cell r="S46">
            <v>122383.73333333334</v>
          </cell>
          <cell r="AB46">
            <v>106730</v>
          </cell>
          <cell r="AK46">
            <v>142306.66666666666</v>
          </cell>
          <cell r="BX46" t="str">
            <v>DEPAKINE</v>
          </cell>
        </row>
        <row r="47">
          <cell r="J47">
            <v>49821.039507702255</v>
          </cell>
          <cell r="S47">
            <v>125337.33333333333</v>
          </cell>
          <cell r="AB47">
            <v>144620</v>
          </cell>
          <cell r="AK47">
            <v>229463.73333333334</v>
          </cell>
          <cell r="BX47" t="str">
            <v>DEPAKINE</v>
          </cell>
        </row>
        <row r="48">
          <cell r="BX48" t="str">
            <v>DEPAKINE</v>
          </cell>
        </row>
        <row r="49">
          <cell r="J49">
            <v>216178.2755214939</v>
          </cell>
          <cell r="S49">
            <v>415744</v>
          </cell>
          <cell r="AB49">
            <v>415744</v>
          </cell>
          <cell r="AK49">
            <v>467712</v>
          </cell>
          <cell r="BX49" t="str">
            <v>FRAXIPARINE</v>
          </cell>
        </row>
        <row r="50">
          <cell r="J50">
            <v>0</v>
          </cell>
          <cell r="S50">
            <v>113120</v>
          </cell>
          <cell r="AB50">
            <v>103935.99999999999</v>
          </cell>
          <cell r="AK50">
            <v>207871.99999999997</v>
          </cell>
          <cell r="BX50" t="str">
            <v>FRAXIPARINE</v>
          </cell>
        </row>
        <row r="51">
          <cell r="J51">
            <v>96565.104366375948</v>
          </cell>
          <cell r="S51">
            <v>123689.59999999999</v>
          </cell>
          <cell r="AB51">
            <v>123689.59999999999</v>
          </cell>
          <cell r="AK51">
            <v>154612</v>
          </cell>
          <cell r="BX51" t="str">
            <v>FRAXIPARINE</v>
          </cell>
        </row>
        <row r="52">
          <cell r="J52">
            <v>62890.028326319196</v>
          </cell>
          <cell r="S52">
            <v>72954.933333333334</v>
          </cell>
          <cell r="AB52">
            <v>72954.933333333334</v>
          </cell>
          <cell r="AK52">
            <v>92851.733333333337</v>
          </cell>
          <cell r="BX52" t="str">
            <v>FRAXIPARINE</v>
          </cell>
        </row>
        <row r="53">
          <cell r="J53">
            <v>0</v>
          </cell>
          <cell r="S53">
            <v>0</v>
          </cell>
          <cell r="AB53">
            <v>7817.3333333333321</v>
          </cell>
          <cell r="AK53">
            <v>15634.666666666664</v>
          </cell>
          <cell r="BX53" t="str">
            <v>FRAXIPARINE</v>
          </cell>
        </row>
        <row r="54">
          <cell r="J54">
            <v>0</v>
          </cell>
          <cell r="S54">
            <v>59708.000000000007</v>
          </cell>
          <cell r="AB54">
            <v>0</v>
          </cell>
          <cell r="AK54">
            <v>59708.000000000007</v>
          </cell>
          <cell r="BX54" t="str">
            <v>JUMEX</v>
          </cell>
        </row>
        <row r="55">
          <cell r="BX55" t="str">
            <v>Plavix</v>
          </cell>
        </row>
        <row r="56">
          <cell r="BX56" t="str">
            <v>SOLIAN</v>
          </cell>
        </row>
        <row r="57">
          <cell r="J57">
            <v>0</v>
          </cell>
          <cell r="S57">
            <v>0</v>
          </cell>
          <cell r="AB57">
            <v>0</v>
          </cell>
          <cell r="AK57">
            <v>0</v>
          </cell>
          <cell r="BX57" t="str">
            <v>SOLIAN</v>
          </cell>
        </row>
        <row r="58">
          <cell r="J58">
            <v>0</v>
          </cell>
          <cell r="S58">
            <v>0</v>
          </cell>
          <cell r="AB58">
            <v>0</v>
          </cell>
          <cell r="AK58">
            <v>0</v>
          </cell>
          <cell r="BX58" t="str">
            <v>SOLIAN</v>
          </cell>
        </row>
        <row r="59">
          <cell r="J59">
            <v>0</v>
          </cell>
          <cell r="S59">
            <v>0</v>
          </cell>
          <cell r="AB59">
            <v>0</v>
          </cell>
          <cell r="AK59">
            <v>0</v>
          </cell>
          <cell r="BX59" t="str">
            <v>SOLIAN</v>
          </cell>
        </row>
      </sheetData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3-A"/>
      <sheetName val="F3-B"/>
      <sheetName val="F3-C"/>
    </sheetNames>
    <sheetDataSet>
      <sheetData sheetId="0" refreshError="1"/>
      <sheetData sheetId="1" refreshError="1"/>
      <sheetData sheetId="2" refreshError="1">
        <row r="16">
          <cell r="J16" t="e">
            <v>#DIV/0!</v>
          </cell>
          <cell r="S16" t="e">
            <v>#DIV/0!</v>
          </cell>
          <cell r="AT16" t="e">
            <v>#DIV/0!</v>
          </cell>
          <cell r="BC16" t="e">
            <v>#DIV/0!</v>
          </cell>
          <cell r="BX16" t="str">
            <v>APROVEL</v>
          </cell>
        </row>
        <row r="17">
          <cell r="J17" t="e">
            <v>#DIV/0!</v>
          </cell>
          <cell r="S17" t="e">
            <v>#DIV/0!</v>
          </cell>
          <cell r="AT17" t="e">
            <v>#DIV/0!</v>
          </cell>
          <cell r="BC17" t="e">
            <v>#DIV/0!</v>
          </cell>
          <cell r="BX17" t="str">
            <v>APROVEL</v>
          </cell>
        </row>
        <row r="18">
          <cell r="BX18" t="str">
            <v>APROVEL</v>
          </cell>
        </row>
        <row r="19">
          <cell r="J19" t="e">
            <v>#DIV/0!</v>
          </cell>
          <cell r="S19" t="e">
            <v>#DIV/0!</v>
          </cell>
          <cell r="AT19" t="e">
            <v>#DIV/0!</v>
          </cell>
          <cell r="BC19" t="e">
            <v>#DIV/0!</v>
          </cell>
          <cell r="BX19" t="str">
            <v>APROVEL</v>
          </cell>
        </row>
        <row r="20">
          <cell r="J20" t="e">
            <v>#DIV/0!</v>
          </cell>
          <cell r="S20" t="e">
            <v>#DIV/0!</v>
          </cell>
          <cell r="AT20" t="e">
            <v>#DIV/0!</v>
          </cell>
          <cell r="BC20" t="e">
            <v>#DIV/0!</v>
          </cell>
          <cell r="BX20" t="str">
            <v>APROVEL</v>
          </cell>
        </row>
        <row r="21">
          <cell r="J21" t="e">
            <v>#DIV/0!</v>
          </cell>
          <cell r="S21" t="e">
            <v>#DIV/0!</v>
          </cell>
          <cell r="AT21" t="e">
            <v>#DIV/0!</v>
          </cell>
          <cell r="BC21" t="e">
            <v>#DIV/0!</v>
          </cell>
          <cell r="BX21" t="str">
            <v>Arixtra</v>
          </cell>
        </row>
        <row r="22">
          <cell r="J22" t="e">
            <v>#DIV/0!</v>
          </cell>
          <cell r="S22" t="e">
            <v>#DIV/0!</v>
          </cell>
          <cell r="AT22" t="e">
            <v>#DIV/0!</v>
          </cell>
          <cell r="BC22" t="e">
            <v>#DIV/0!</v>
          </cell>
          <cell r="BX22" t="str">
            <v>CORDARONE</v>
          </cell>
        </row>
        <row r="23">
          <cell r="J23" t="e">
            <v>#DIV/0!</v>
          </cell>
          <cell r="S23" t="e">
            <v>#DIV/0!</v>
          </cell>
          <cell r="AT23" t="e">
            <v>#DIV/0!</v>
          </cell>
          <cell r="BC23" t="e">
            <v>#DIV/0!</v>
          </cell>
          <cell r="BX23" t="str">
            <v>CORDARONE</v>
          </cell>
        </row>
        <row r="24">
          <cell r="J24" t="e">
            <v>#DIV/0!</v>
          </cell>
          <cell r="S24" t="e">
            <v>#DIV/0!</v>
          </cell>
          <cell r="AT24" t="e">
            <v>#DIV/0!</v>
          </cell>
          <cell r="BC24" t="e">
            <v>#DIV/0!</v>
          </cell>
          <cell r="BX24" t="str">
            <v>DEPAKINE</v>
          </cell>
        </row>
        <row r="25">
          <cell r="J25" t="e">
            <v>#DIV/0!</v>
          </cell>
          <cell r="S25" t="e">
            <v>#DIV/0!</v>
          </cell>
          <cell r="AT25" t="e">
            <v>#DIV/0!</v>
          </cell>
          <cell r="BC25" t="e">
            <v>#DIV/0!</v>
          </cell>
          <cell r="BX25" t="str">
            <v>DEPAKINE</v>
          </cell>
        </row>
        <row r="26">
          <cell r="BX26" t="str">
            <v>ELOXATINE</v>
          </cell>
        </row>
        <row r="27">
          <cell r="BX27" t="str">
            <v>ELOXATINE</v>
          </cell>
        </row>
        <row r="28">
          <cell r="J28" t="e">
            <v>#DIV/0!</v>
          </cell>
          <cell r="S28" t="e">
            <v>#DIV/0!</v>
          </cell>
          <cell r="AT28" t="e">
            <v>#DIV/0!</v>
          </cell>
          <cell r="BC28" t="e">
            <v>#DIV/0!</v>
          </cell>
          <cell r="BX28" t="str">
            <v>FRAXIPARINE</v>
          </cell>
        </row>
        <row r="29">
          <cell r="J29" t="e">
            <v>#DIV/0!</v>
          </cell>
          <cell r="S29" t="e">
            <v>#DIV/0!</v>
          </cell>
          <cell r="AT29" t="e">
            <v>#DIV/0!</v>
          </cell>
          <cell r="BC29" t="e">
            <v>#DIV/0!</v>
          </cell>
          <cell r="BX29" t="str">
            <v>FRAXIPARINE</v>
          </cell>
        </row>
        <row r="30">
          <cell r="J30" t="e">
            <v>#DIV/0!</v>
          </cell>
          <cell r="S30" t="e">
            <v>#DIV/0!</v>
          </cell>
          <cell r="AT30" t="e">
            <v>#DIV/0!</v>
          </cell>
          <cell r="BC30" t="e">
            <v>#DIV/0!</v>
          </cell>
          <cell r="BX30" t="str">
            <v>FRAXIPARINE</v>
          </cell>
        </row>
        <row r="31">
          <cell r="J31" t="e">
            <v>#DIV/0!</v>
          </cell>
          <cell r="S31" t="e">
            <v>#DIV/0!</v>
          </cell>
          <cell r="AT31" t="e">
            <v>#DIV/0!</v>
          </cell>
          <cell r="BC31" t="e">
            <v>#DIV/0!</v>
          </cell>
          <cell r="BX31" t="str">
            <v>FRAXIPARINE</v>
          </cell>
        </row>
        <row r="32">
          <cell r="J32" t="e">
            <v>#DIV/0!</v>
          </cell>
          <cell r="S32" t="e">
            <v>#DIV/0!</v>
          </cell>
          <cell r="AT32" t="e">
            <v>#DIV/0!</v>
          </cell>
          <cell r="BC32" t="e">
            <v>#DIV/0!</v>
          </cell>
          <cell r="BX32" t="str">
            <v>FRAXIPARINE</v>
          </cell>
        </row>
        <row r="33">
          <cell r="J33" t="e">
            <v>#DIV/0!</v>
          </cell>
          <cell r="S33" t="e">
            <v>#DIV/0!</v>
          </cell>
          <cell r="AT33" t="e">
            <v>#DIV/0!</v>
          </cell>
          <cell r="BC33" t="e">
            <v>#DIV/0!</v>
          </cell>
          <cell r="BX33" t="str">
            <v>FRAXIPARINE</v>
          </cell>
        </row>
        <row r="34">
          <cell r="J34" t="e">
            <v>#DIV/0!</v>
          </cell>
          <cell r="S34" t="e">
            <v>#DIV/0!</v>
          </cell>
          <cell r="AT34" t="e">
            <v>#DIV/0!</v>
          </cell>
          <cell r="BC34" t="e">
            <v>#DIV/0!</v>
          </cell>
          <cell r="BX34" t="str">
            <v>FRAXIPARINE</v>
          </cell>
        </row>
        <row r="35">
          <cell r="J35" t="e">
            <v>#DIV/0!</v>
          </cell>
          <cell r="S35" t="e">
            <v>#DIV/0!</v>
          </cell>
          <cell r="AT35" t="e">
            <v>#DIV/0!</v>
          </cell>
          <cell r="BC35" t="e">
            <v>#DIV/0!</v>
          </cell>
          <cell r="BX35" t="str">
            <v>FRAXIPARINE</v>
          </cell>
        </row>
        <row r="36">
          <cell r="J36" t="e">
            <v>#DIV/0!</v>
          </cell>
          <cell r="S36" t="e">
            <v>#DIV/0!</v>
          </cell>
          <cell r="AT36" t="e">
            <v>#DIV/0!</v>
          </cell>
          <cell r="BC36" t="e">
            <v>#DIV/0!</v>
          </cell>
          <cell r="BX36" t="str">
            <v>JUMEX</v>
          </cell>
        </row>
        <row r="37">
          <cell r="J37" t="e">
            <v>#DIV/0!</v>
          </cell>
          <cell r="S37" t="e">
            <v>#DIV/0!</v>
          </cell>
          <cell r="AT37" t="e">
            <v>#DIV/0!</v>
          </cell>
          <cell r="BC37" t="e">
            <v>#DIV/0!</v>
          </cell>
          <cell r="BX37" t="str">
            <v>PLAVIX</v>
          </cell>
        </row>
        <row r="38">
          <cell r="J38" t="e">
            <v>#DIV/0!</v>
          </cell>
          <cell r="S38" t="e">
            <v>#DIV/0!</v>
          </cell>
          <cell r="AT38" t="e">
            <v>#DIV/0!</v>
          </cell>
          <cell r="BC38" t="e">
            <v>#DIV/0!</v>
          </cell>
          <cell r="BX38" t="str">
            <v>SOLIAN</v>
          </cell>
        </row>
        <row r="39">
          <cell r="J39" t="e">
            <v>#DIV/0!</v>
          </cell>
          <cell r="S39" t="e">
            <v>#DIV/0!</v>
          </cell>
          <cell r="AT39" t="e">
            <v>#DIV/0!</v>
          </cell>
          <cell r="BC39" t="e">
            <v>#DIV/0!</v>
          </cell>
          <cell r="BX39" t="str">
            <v>SOLIAN</v>
          </cell>
        </row>
        <row r="40">
          <cell r="J40" t="e">
            <v>#DIV/0!</v>
          </cell>
          <cell r="S40" t="e">
            <v>#DIV/0!</v>
          </cell>
          <cell r="AT40" t="e">
            <v>#DIV/0!</v>
          </cell>
          <cell r="BC40" t="e">
            <v>#DIV/0!</v>
          </cell>
          <cell r="BX40" t="str">
            <v>SOLIAN</v>
          </cell>
        </row>
        <row r="44">
          <cell r="AT44" t="e">
            <v>#DIV/0!</v>
          </cell>
          <cell r="BC44" t="e">
            <v>#DIV/0!</v>
          </cell>
          <cell r="BX44" t="str">
            <v>CORDARONE</v>
          </cell>
        </row>
        <row r="45">
          <cell r="AT45" t="e">
            <v>#DIV/0!</v>
          </cell>
          <cell r="BC45" t="e">
            <v>#DIV/0!</v>
          </cell>
          <cell r="BX45" t="str">
            <v>CORDARONE</v>
          </cell>
        </row>
        <row r="46">
          <cell r="AT46" t="e">
            <v>#DIV/0!</v>
          </cell>
          <cell r="BC46" t="e">
            <v>#DIV/0!</v>
          </cell>
          <cell r="BX46" t="str">
            <v>DEPAKINE</v>
          </cell>
        </row>
        <row r="47">
          <cell r="AT47" t="e">
            <v>#DIV/0!</v>
          </cell>
          <cell r="BC47" t="e">
            <v>#DIV/0!</v>
          </cell>
          <cell r="BX47" t="str">
            <v>DEPAKINE</v>
          </cell>
        </row>
        <row r="48">
          <cell r="AT48" t="e">
            <v>#DIV/0!</v>
          </cell>
          <cell r="BC48" t="e">
            <v>#DIV/0!</v>
          </cell>
          <cell r="BX48" t="str">
            <v>DEPAKINE</v>
          </cell>
        </row>
        <row r="49">
          <cell r="AT49" t="e">
            <v>#DIV/0!</v>
          </cell>
          <cell r="BC49" t="e">
            <v>#DIV/0!</v>
          </cell>
          <cell r="BX49" t="str">
            <v>FRAXIPARINE</v>
          </cell>
        </row>
        <row r="50">
          <cell r="AT50" t="e">
            <v>#DIV/0!</v>
          </cell>
          <cell r="BC50" t="e">
            <v>#DIV/0!</v>
          </cell>
          <cell r="BX50" t="str">
            <v>FRAXIPARINE</v>
          </cell>
        </row>
        <row r="51">
          <cell r="AT51" t="e">
            <v>#DIV/0!</v>
          </cell>
          <cell r="BC51" t="e">
            <v>#DIV/0!</v>
          </cell>
          <cell r="BX51" t="str">
            <v>FRAXIPARINE</v>
          </cell>
        </row>
        <row r="52">
          <cell r="AT52" t="e">
            <v>#DIV/0!</v>
          </cell>
          <cell r="BC52" t="e">
            <v>#DIV/0!</v>
          </cell>
          <cell r="BX52" t="str">
            <v>FRAXIPARINE</v>
          </cell>
        </row>
        <row r="53">
          <cell r="AT53" t="e">
            <v>#DIV/0!</v>
          </cell>
          <cell r="BC53" t="e">
            <v>#DIV/0!</v>
          </cell>
          <cell r="BX53" t="str">
            <v>FRAXIPARINE</v>
          </cell>
        </row>
        <row r="54">
          <cell r="AT54" t="e">
            <v>#DIV/0!</v>
          </cell>
          <cell r="BC54" t="e">
            <v>#DIV/0!</v>
          </cell>
          <cell r="BX54" t="str">
            <v>JUMEX</v>
          </cell>
        </row>
        <row r="55">
          <cell r="BX55" t="str">
            <v>Plavix</v>
          </cell>
        </row>
        <row r="56">
          <cell r="AT56" t="e">
            <v>#DIV/0!</v>
          </cell>
          <cell r="BC56" t="e">
            <v>#DIV/0!</v>
          </cell>
          <cell r="BX56" t="str">
            <v>SOLIAN</v>
          </cell>
        </row>
        <row r="57">
          <cell r="AT57" t="e">
            <v>#DIV/0!</v>
          </cell>
          <cell r="BC57" t="e">
            <v>#DIV/0!</v>
          </cell>
          <cell r="BX57" t="str">
            <v>SOLIAN</v>
          </cell>
        </row>
        <row r="58">
          <cell r="AT58" t="e">
            <v>#DIV/0!</v>
          </cell>
          <cell r="BC58" t="e">
            <v>#DIV/0!</v>
          </cell>
          <cell r="BX58" t="str">
            <v>SOLIAN</v>
          </cell>
        </row>
        <row r="59">
          <cell r="AT59" t="e">
            <v>#DIV/0!</v>
          </cell>
          <cell r="BC59" t="e">
            <v>#DIV/0!</v>
          </cell>
          <cell r="BX59" t="str">
            <v>SOLIAN</v>
          </cell>
        </row>
        <row r="63">
          <cell r="AT63">
            <v>0</v>
          </cell>
          <cell r="BC63">
            <v>0</v>
          </cell>
          <cell r="BX63" t="str">
            <v>CORDARONE</v>
          </cell>
        </row>
        <row r="64">
          <cell r="AT64">
            <v>0</v>
          </cell>
          <cell r="BC64">
            <v>0</v>
          </cell>
          <cell r="BX64" t="str">
            <v>CORDARONE</v>
          </cell>
        </row>
        <row r="65">
          <cell r="AT65">
            <v>0</v>
          </cell>
          <cell r="BC65">
            <v>0</v>
          </cell>
          <cell r="BX65" t="str">
            <v>DEPAKINE</v>
          </cell>
        </row>
        <row r="66">
          <cell r="AT66">
            <v>0</v>
          </cell>
          <cell r="BC66">
            <v>0</v>
          </cell>
          <cell r="BX66" t="str">
            <v>DEPAKINE</v>
          </cell>
        </row>
        <row r="67">
          <cell r="AT67">
            <v>0</v>
          </cell>
          <cell r="BC67">
            <v>0</v>
          </cell>
          <cell r="BX67" t="str">
            <v>FRAXIPARINE</v>
          </cell>
        </row>
        <row r="68">
          <cell r="AT68">
            <v>0</v>
          </cell>
          <cell r="BC68">
            <v>0</v>
          </cell>
          <cell r="BX68" t="str">
            <v>FRAXIPARINE</v>
          </cell>
        </row>
        <row r="69">
          <cell r="AT69">
            <v>0</v>
          </cell>
          <cell r="BC69">
            <v>0</v>
          </cell>
          <cell r="BX69" t="str">
            <v>FRAXIPARINE</v>
          </cell>
        </row>
        <row r="70">
          <cell r="AT70">
            <v>0</v>
          </cell>
          <cell r="BC70">
            <v>0</v>
          </cell>
          <cell r="BX70" t="str">
            <v>FRAXIPARINE</v>
          </cell>
        </row>
        <row r="71">
          <cell r="AT71">
            <v>0</v>
          </cell>
          <cell r="BC71">
            <v>0</v>
          </cell>
          <cell r="BX71" t="str">
            <v>FRAXIPARINE</v>
          </cell>
        </row>
        <row r="72">
          <cell r="BX72" t="str">
            <v>PLAVIX</v>
          </cell>
        </row>
        <row r="76">
          <cell r="AT76">
            <v>0</v>
          </cell>
          <cell r="BC76">
            <v>0</v>
          </cell>
          <cell r="BX76" t="str">
            <v>CORDARONE</v>
          </cell>
        </row>
        <row r="77">
          <cell r="AT77">
            <v>0</v>
          </cell>
          <cell r="BC77">
            <v>0</v>
          </cell>
          <cell r="BX77" t="str">
            <v>CORDARONE</v>
          </cell>
        </row>
        <row r="78">
          <cell r="AT78">
            <v>0</v>
          </cell>
          <cell r="BC78">
            <v>0</v>
          </cell>
          <cell r="BX78" t="str">
            <v>CORDARONE</v>
          </cell>
        </row>
        <row r="79">
          <cell r="AT79">
            <v>0</v>
          </cell>
          <cell r="BC79">
            <v>0</v>
          </cell>
          <cell r="BX79" t="str">
            <v>DEPAKINE</v>
          </cell>
        </row>
        <row r="80">
          <cell r="AT80">
            <v>0</v>
          </cell>
          <cell r="BC80">
            <v>0</v>
          </cell>
          <cell r="BX80" t="str">
            <v>DEPAKINE</v>
          </cell>
        </row>
        <row r="81">
          <cell r="AT81">
            <v>0</v>
          </cell>
          <cell r="BC81">
            <v>0</v>
          </cell>
          <cell r="BX81" t="str">
            <v>FRAXIPARINE</v>
          </cell>
        </row>
        <row r="82">
          <cell r="AT82">
            <v>0</v>
          </cell>
          <cell r="BC82">
            <v>0</v>
          </cell>
          <cell r="BX82" t="str">
            <v>FRAXIPARINE</v>
          </cell>
        </row>
        <row r="83">
          <cell r="AT83">
            <v>0</v>
          </cell>
          <cell r="BC83">
            <v>0</v>
          </cell>
          <cell r="BX83" t="str">
            <v>FRAXIPARINE</v>
          </cell>
        </row>
        <row r="84">
          <cell r="AT84">
            <v>0</v>
          </cell>
          <cell r="BC84">
            <v>0</v>
          </cell>
          <cell r="BX84" t="str">
            <v>FRAXIPARINE</v>
          </cell>
        </row>
        <row r="85">
          <cell r="AT85">
            <v>0</v>
          </cell>
          <cell r="BC85">
            <v>0</v>
          </cell>
          <cell r="BX85" t="str">
            <v>FRAXIPARINE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F0"/>
      <sheetName val="F0 BIS"/>
      <sheetName val="F1"/>
      <sheetName val="M0"/>
      <sheetName val="M 1 A"/>
      <sheetName val="M 1 B"/>
      <sheetName val="M 1 B bis"/>
      <sheetName val="M 1 C"/>
      <sheetName val="M2 Grid"/>
      <sheetName val="M2 Standard"/>
      <sheetName val="M3"/>
      <sheetName val="M3 bis"/>
      <sheetName val="PP6"/>
      <sheetName val="F7-A"/>
      <sheetName val="F7-B"/>
      <sheetName val="F7-C"/>
      <sheetName val="F7-F"/>
      <sheetName val="F7 G"/>
      <sheetName val="F3-A"/>
      <sheetName val="F3-B"/>
      <sheetName val="F3-B bis"/>
      <sheetName val="F3-C"/>
      <sheetName val="F3-D"/>
      <sheetName val="F5-A "/>
      <sheetName val="F5-B"/>
      <sheetName val="F5-B1"/>
      <sheetName val="F5-C"/>
      <sheetName val="F5-D"/>
      <sheetName val="F5-D1"/>
      <sheetName val="F5-D2"/>
      <sheetName val="F5-D3"/>
      <sheetName val="F5-D4"/>
      <sheetName val="F5-D5"/>
      <sheetName val="F6-A"/>
      <sheetName val="F6-B"/>
      <sheetName val="F6-C"/>
      <sheetName val="F6-D"/>
      <sheetName val="M5"/>
      <sheetName val="M6"/>
      <sheetName val="M6 bis"/>
      <sheetName val="M7"/>
      <sheetName val="F8-C"/>
      <sheetName val="F9A"/>
      <sheetName val="M3a"/>
      <sheetName val="M6 A 2"/>
      <sheetName val="Competitors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lines"/>
      <sheetName val="F1"/>
      <sheetName val="F3-A"/>
      <sheetName val="F3-B"/>
      <sheetName val="F3-C"/>
      <sheetName val="F6-A"/>
      <sheetName val="F6-B"/>
      <sheetName val="F6-C"/>
      <sheetName val="F6-D"/>
      <sheetName val="F6-B (2)"/>
      <sheetName val="F7-C"/>
      <sheetName val="F8-A"/>
      <sheetName val="F8-B"/>
      <sheetName val="F9-A"/>
      <sheetName val="F9-B"/>
      <sheetName val="Comments B-Rev"/>
      <sheetName val="Price-Mal"/>
      <sheetName val="Bud-03 units"/>
      <sheetName val="Bud-03 val"/>
      <sheetName val="Non core pdts"/>
      <sheetName val="Core pdts"/>
      <sheetName val="Workings"/>
      <sheetName val="Sheet2"/>
      <sheetName val="Sheet4"/>
      <sheetName val="F3-B b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V sales slo 2003"/>
      <sheetName val="JV sales slo 2004"/>
      <sheetName val="JV sales slo 2005"/>
      <sheetName val="JV sales slo 2006"/>
      <sheetName val="JV sales cro 2003"/>
      <sheetName val="JV sales cro 2004"/>
      <sheetName val="JV sales cro 2005"/>
      <sheetName val="JV sales cro 2006"/>
      <sheetName val="C"/>
      <sheetName val="purchas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16">
          <cell r="A16" t="str">
            <v>Aprovel 150mg X 28</v>
          </cell>
          <cell r="J16">
            <v>820758.11304549896</v>
          </cell>
          <cell r="S16">
            <v>1079110.1694915255</v>
          </cell>
          <cell r="V16">
            <v>68006</v>
          </cell>
          <cell r="AT16">
            <v>1222560.9756097561</v>
          </cell>
        </row>
        <row r="17">
          <cell r="J17">
            <v>504464.77518830728</v>
          </cell>
          <cell r="S17">
            <v>513115.25423728814</v>
          </cell>
          <cell r="V17">
            <v>25665</v>
          </cell>
          <cell r="AT17">
            <v>552540.65040650405</v>
          </cell>
        </row>
        <row r="19">
          <cell r="J19">
            <v>0</v>
          </cell>
          <cell r="S19">
            <v>108637.28813559322</v>
          </cell>
          <cell r="V19">
            <v>4200</v>
          </cell>
          <cell r="AT19">
            <v>244024.39024390245</v>
          </cell>
        </row>
        <row r="20">
          <cell r="J20">
            <v>0</v>
          </cell>
          <cell r="S20">
            <v>98991.101694915254</v>
          </cell>
          <cell r="V20">
            <v>4200</v>
          </cell>
          <cell r="AT20">
            <v>220650.40650406503</v>
          </cell>
        </row>
        <row r="21">
          <cell r="J21">
            <v>0</v>
          </cell>
          <cell r="S21">
            <v>0</v>
          </cell>
          <cell r="V21">
            <v>0</v>
          </cell>
          <cell r="AT21">
            <v>186373.98373983739</v>
          </cell>
        </row>
        <row r="22">
          <cell r="J22">
            <v>633910.32059226756</v>
          </cell>
          <cell r="S22">
            <v>683684.74576271186</v>
          </cell>
          <cell r="V22">
            <v>29965</v>
          </cell>
          <cell r="AT22">
            <v>743860.97560975607</v>
          </cell>
        </row>
        <row r="23">
          <cell r="J23">
            <v>125825.18725193592</v>
          </cell>
          <cell r="S23">
            <v>150544.70338983051</v>
          </cell>
          <cell r="V23">
            <v>6940</v>
          </cell>
          <cell r="AT23">
            <v>145544.1056910569</v>
          </cell>
        </row>
        <row r="24">
          <cell r="J24">
            <v>12669.426611680341</v>
          </cell>
          <cell r="S24">
            <v>144067.79661016949</v>
          </cell>
          <cell r="V24">
            <v>6000</v>
          </cell>
          <cell r="AT24">
            <v>128743.90243902439</v>
          </cell>
        </row>
        <row r="25">
          <cell r="J25">
            <v>16720.863430574118</v>
          </cell>
          <cell r="S25">
            <v>100277.54237288136</v>
          </cell>
          <cell r="V25">
            <v>16000</v>
          </cell>
          <cell r="AT25">
            <v>168040.65040650408</v>
          </cell>
        </row>
        <row r="28">
          <cell r="J28">
            <v>801251.2905401045</v>
          </cell>
          <cell r="S28">
            <v>859932.20338983054</v>
          </cell>
          <cell r="V28">
            <v>41600</v>
          </cell>
          <cell r="AT28">
            <v>1026048.7804878049</v>
          </cell>
        </row>
        <row r="29">
          <cell r="J29">
            <v>193721.47373808231</v>
          </cell>
          <cell r="S29">
            <v>217525.42372881356</v>
          </cell>
          <cell r="V29">
            <v>8060</v>
          </cell>
          <cell r="AT29">
            <v>277233.33333333331</v>
          </cell>
        </row>
        <row r="30">
          <cell r="J30">
            <v>610570.68489760126</v>
          </cell>
          <cell r="S30">
            <v>683180.08474576275</v>
          </cell>
          <cell r="V30">
            <v>17550</v>
          </cell>
          <cell r="AT30">
            <v>777788.21138211386</v>
          </cell>
        </row>
        <row r="31">
          <cell r="J31">
            <v>110201.12344767214</v>
          </cell>
          <cell r="S31">
            <v>87458.474576271183</v>
          </cell>
          <cell r="V31">
            <v>2600</v>
          </cell>
          <cell r="AT31">
            <v>152906.50406504064</v>
          </cell>
        </row>
        <row r="32">
          <cell r="J32">
            <v>7272.0802940654485</v>
          </cell>
          <cell r="S32">
            <v>9731.7796610169498</v>
          </cell>
          <cell r="V32">
            <v>182</v>
          </cell>
          <cell r="AT32">
            <v>10207.926829268292</v>
          </cell>
        </row>
        <row r="33">
          <cell r="J33">
            <v>0</v>
          </cell>
          <cell r="S33">
            <v>22194.915254237287</v>
          </cell>
          <cell r="V33">
            <v>156</v>
          </cell>
          <cell r="AT33">
            <v>35624.390243902439</v>
          </cell>
        </row>
        <row r="34">
          <cell r="J34">
            <v>0</v>
          </cell>
          <cell r="S34">
            <v>43287.711864406781</v>
          </cell>
          <cell r="V34">
            <v>208</v>
          </cell>
          <cell r="AT34">
            <v>58174.796747967477</v>
          </cell>
        </row>
        <row r="35">
          <cell r="J35">
            <v>0</v>
          </cell>
          <cell r="S35">
            <v>8272.4576271186434</v>
          </cell>
          <cell r="V35">
            <v>78</v>
          </cell>
          <cell r="AT35">
            <v>10869.59349593496</v>
          </cell>
        </row>
        <row r="36">
          <cell r="J36">
            <v>0</v>
          </cell>
          <cell r="S36">
            <v>141324.15254237287</v>
          </cell>
          <cell r="V36">
            <v>5060</v>
          </cell>
          <cell r="AT36">
            <v>172409.75609756098</v>
          </cell>
        </row>
        <row r="37">
          <cell r="J37">
            <v>4711962.8918375103</v>
          </cell>
          <cell r="S37">
            <v>5127177.9661016949</v>
          </cell>
          <cell r="V37">
            <v>123000</v>
          </cell>
          <cell r="AT37">
            <v>6650508.1300813006</v>
          </cell>
        </row>
        <row r="38">
          <cell r="J38">
            <v>0</v>
          </cell>
          <cell r="S38">
            <v>54755.08474576271</v>
          </cell>
          <cell r="V38">
            <v>570</v>
          </cell>
          <cell r="AT38">
            <v>131323.17073170733</v>
          </cell>
        </row>
        <row r="39">
          <cell r="J39">
            <v>0</v>
          </cell>
          <cell r="S39">
            <v>196525.42372881356</v>
          </cell>
          <cell r="V39">
            <v>1100</v>
          </cell>
          <cell r="AT39">
            <v>353506.09756097558</v>
          </cell>
        </row>
        <row r="40">
          <cell r="J40">
            <v>0</v>
          </cell>
          <cell r="S40">
            <v>277401.69491525425</v>
          </cell>
          <cell r="V40">
            <v>730</v>
          </cell>
          <cell r="AT40">
            <v>427701.21951219509</v>
          </cell>
        </row>
      </sheetData>
      <sheetData sheetId="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3-A"/>
      <sheetName val="F3-B"/>
      <sheetName val="F3-C"/>
    </sheetNames>
    <sheetDataSet>
      <sheetData sheetId="0" refreshError="1"/>
      <sheetData sheetId="1" refreshError="1"/>
      <sheetData sheetId="2" refreshError="1">
        <row r="16">
          <cell r="J16" t="e">
            <v>#DIV/0!</v>
          </cell>
          <cell r="AT16" t="e">
            <v>#DIV/0!</v>
          </cell>
        </row>
        <row r="17">
          <cell r="AT17" t="e">
            <v>#DIV/0!</v>
          </cell>
        </row>
        <row r="19">
          <cell r="AT19" t="e">
            <v>#DIV/0!</v>
          </cell>
        </row>
        <row r="20">
          <cell r="AT20" t="e">
            <v>#DIV/0!</v>
          </cell>
        </row>
        <row r="21">
          <cell r="AT21" t="e">
            <v>#DIV/0!</v>
          </cell>
        </row>
        <row r="22">
          <cell r="AT22" t="e">
            <v>#DIV/0!</v>
          </cell>
        </row>
        <row r="23">
          <cell r="AT23" t="e">
            <v>#DIV/0!</v>
          </cell>
        </row>
        <row r="24">
          <cell r="AT24" t="e">
            <v>#DIV/0!</v>
          </cell>
        </row>
        <row r="25">
          <cell r="AT25" t="e">
            <v>#DIV/0!</v>
          </cell>
        </row>
        <row r="28">
          <cell r="AT28" t="e">
            <v>#DIV/0!</v>
          </cell>
        </row>
        <row r="29">
          <cell r="AT29" t="e">
            <v>#DIV/0!</v>
          </cell>
        </row>
        <row r="30">
          <cell r="AT30" t="e">
            <v>#DIV/0!</v>
          </cell>
        </row>
        <row r="31">
          <cell r="AT31" t="e">
            <v>#DIV/0!</v>
          </cell>
        </row>
        <row r="32">
          <cell r="AT32" t="e">
            <v>#DIV/0!</v>
          </cell>
        </row>
        <row r="33">
          <cell r="AT33" t="e">
            <v>#DIV/0!</v>
          </cell>
        </row>
        <row r="34">
          <cell r="AT34" t="e">
            <v>#DIV/0!</v>
          </cell>
        </row>
        <row r="35">
          <cell r="AT35" t="e">
            <v>#DIV/0!</v>
          </cell>
        </row>
        <row r="36">
          <cell r="AT36" t="e">
            <v>#DIV/0!</v>
          </cell>
        </row>
        <row r="37">
          <cell r="AT37" t="e">
            <v>#DIV/0!</v>
          </cell>
        </row>
        <row r="38">
          <cell r="AT38" t="e">
            <v>#DIV/0!</v>
          </cell>
        </row>
        <row r="39">
          <cell r="AT39" t="e">
            <v>#DIV/0!</v>
          </cell>
        </row>
        <row r="40">
          <cell r="AT40" t="e">
            <v>#DIV/0!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F0"/>
      <sheetName val="F0 BIS"/>
      <sheetName val="F1"/>
      <sheetName val="M0"/>
      <sheetName val="M 1 A"/>
      <sheetName val="M 1 B"/>
      <sheetName val="M 1 B bis"/>
      <sheetName val="M 1 C"/>
      <sheetName val="M2 Grid"/>
      <sheetName val="M2 Standard"/>
      <sheetName val="M3"/>
      <sheetName val="M3 bis"/>
      <sheetName val="PP6"/>
      <sheetName val="F7-A"/>
      <sheetName val="F7-B"/>
      <sheetName val="F7-C"/>
      <sheetName val="F7-F"/>
      <sheetName val="F7 G"/>
      <sheetName val="F3-A"/>
      <sheetName val="F3-B"/>
      <sheetName val="F3-B bis"/>
      <sheetName val="F3-C"/>
      <sheetName val="F3-D"/>
      <sheetName val="F5-A "/>
      <sheetName val="F5-B"/>
      <sheetName val="F5-B1"/>
      <sheetName val="F5-C"/>
      <sheetName val="F5-D"/>
      <sheetName val="F5-D1"/>
      <sheetName val="F5-D2"/>
      <sheetName val="F5-D3"/>
      <sheetName val="F5-D4"/>
      <sheetName val="F5-D5"/>
      <sheetName val="F6-A"/>
      <sheetName val="F6-B"/>
      <sheetName val="F6-C"/>
      <sheetName val="F6-D"/>
      <sheetName val="M5"/>
      <sheetName val="M6"/>
      <sheetName val="M6 bis"/>
      <sheetName val="M7"/>
      <sheetName val="F8-C"/>
      <sheetName val="F9A"/>
      <sheetName val="M3a"/>
      <sheetName val="M6 A 2"/>
      <sheetName val="Competitors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1D"/>
      <sheetName val="ETHIC"/>
      <sheetName val="Cum00"/>
      <sheetName val="Month00"/>
      <sheetName val="BCum01"/>
      <sheetName val="BMonth01"/>
      <sheetName val="ActCum01"/>
      <sheetName val="ActMonth01"/>
      <sheetName val="Lis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ProduktRadek</v>
          </cell>
        </row>
      </sheetData>
      <sheetData sheetId="7" refreshError="1"/>
      <sheetData sheetId="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"/>
      <sheetName val="A01"/>
      <sheetName val="B02"/>
      <sheetName val="A02"/>
      <sheetName val="B10"/>
      <sheetName val="Stcogs"/>
      <sheetName val="Analysis"/>
      <sheetName val="Analysis-Pie"/>
    </sheetNames>
    <sheetDataSet>
      <sheetData sheetId="0" refreshError="1"/>
      <sheetData sheetId="1" refreshError="1"/>
      <sheetData sheetId="2" refreshError="1"/>
      <sheetData sheetId="3" refreshError="1">
        <row r="3">
          <cell r="A3" t="str">
            <v>ADEN2ml6</v>
          </cell>
          <cell r="B3">
            <v>531.33299999999997</v>
          </cell>
          <cell r="N3">
            <v>531.33299999999997</v>
          </cell>
          <cell r="O3">
            <v>531.33299999999997</v>
          </cell>
          <cell r="P3">
            <v>531.33299999999997</v>
          </cell>
          <cell r="Q3">
            <v>531.33299999999997</v>
          </cell>
          <cell r="R3">
            <v>531.33299999999997</v>
          </cell>
          <cell r="S3">
            <v>531.33299999999997</v>
          </cell>
          <cell r="T3">
            <v>531.33299999999997</v>
          </cell>
          <cell r="U3">
            <v>531.33299999999997</v>
          </cell>
          <cell r="V3">
            <v>531.33299999999997</v>
          </cell>
          <cell r="W3">
            <v>531.33299999999997</v>
          </cell>
          <cell r="X3">
            <v>531.33299999999997</v>
          </cell>
          <cell r="Y3">
            <v>531.33299999999997</v>
          </cell>
          <cell r="Z3">
            <v>813.25599999999997</v>
          </cell>
          <cell r="AL3">
            <v>813.25599999999997</v>
          </cell>
          <cell r="AM3">
            <v>813.25599999999997</v>
          </cell>
          <cell r="AN3">
            <v>813.25599999999997</v>
          </cell>
          <cell r="AO3">
            <v>813.25599999999997</v>
          </cell>
          <cell r="AP3">
            <v>813.25599999999997</v>
          </cell>
          <cell r="AQ3">
            <v>813.25599999999997</v>
          </cell>
          <cell r="AR3">
            <v>813.25599999999997</v>
          </cell>
          <cell r="AS3">
            <v>813.25599999999997</v>
          </cell>
          <cell r="AT3">
            <v>813.25599999999997</v>
          </cell>
          <cell r="AU3">
            <v>813.25599999999997</v>
          </cell>
          <cell r="AV3">
            <v>813.25599999999997</v>
          </cell>
          <cell r="AW3">
            <v>813.25599999999997</v>
          </cell>
        </row>
        <row r="4">
          <cell r="A4" t="str">
            <v>ARAL200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</row>
        <row r="5">
          <cell r="A5" t="str">
            <v>CALI10a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</row>
        <row r="6">
          <cell r="A6" t="str">
            <v>CORD30</v>
          </cell>
          <cell r="B6">
            <v>14974.467000000001</v>
          </cell>
          <cell r="N6">
            <v>14974.467000000001</v>
          </cell>
          <cell r="O6">
            <v>14974.467000000001</v>
          </cell>
          <cell r="P6">
            <v>14974.467000000001</v>
          </cell>
          <cell r="Q6">
            <v>14974.467000000001</v>
          </cell>
          <cell r="R6">
            <v>14974.467000000001</v>
          </cell>
          <cell r="S6">
            <v>14974.467000000001</v>
          </cell>
          <cell r="T6">
            <v>14974.467000000001</v>
          </cell>
          <cell r="U6">
            <v>14974.467000000001</v>
          </cell>
          <cell r="V6">
            <v>14974.467000000001</v>
          </cell>
          <cell r="W6">
            <v>14974.467000000001</v>
          </cell>
          <cell r="X6">
            <v>14974.467000000001</v>
          </cell>
          <cell r="Y6">
            <v>14974.467000000001</v>
          </cell>
          <cell r="Z6">
            <v>5656.5690000000004</v>
          </cell>
          <cell r="AL6">
            <v>5656.5690000000004</v>
          </cell>
          <cell r="AM6">
            <v>5656.5690000000004</v>
          </cell>
          <cell r="AN6">
            <v>5656.5690000000004</v>
          </cell>
          <cell r="AO6">
            <v>5656.5690000000004</v>
          </cell>
          <cell r="AP6">
            <v>5656.5690000000004</v>
          </cell>
          <cell r="AQ6">
            <v>5656.5690000000004</v>
          </cell>
          <cell r="AR6">
            <v>5656.5690000000004</v>
          </cell>
          <cell r="AS6">
            <v>5656.5690000000004</v>
          </cell>
          <cell r="AT6">
            <v>5656.5690000000004</v>
          </cell>
          <cell r="AU6">
            <v>5656.5690000000004</v>
          </cell>
          <cell r="AV6">
            <v>5656.5690000000004</v>
          </cell>
          <cell r="AW6">
            <v>5656.5690000000004</v>
          </cell>
        </row>
        <row r="7">
          <cell r="A7" t="str">
            <v>CORD6a</v>
          </cell>
          <cell r="B7">
            <v>2854.1669999999999</v>
          </cell>
          <cell r="N7">
            <v>2854.1669999999999</v>
          </cell>
          <cell r="O7">
            <v>2854.1669999999999</v>
          </cell>
          <cell r="P7">
            <v>2854.1669999999999</v>
          </cell>
          <cell r="Q7">
            <v>2854.1669999999999</v>
          </cell>
          <cell r="R7">
            <v>2854.1669999999999</v>
          </cell>
          <cell r="S7">
            <v>2854.1669999999999</v>
          </cell>
          <cell r="T7">
            <v>2854.1669999999999</v>
          </cell>
          <cell r="U7">
            <v>2854.1669999999999</v>
          </cell>
          <cell r="V7">
            <v>2854.1669999999999</v>
          </cell>
          <cell r="W7">
            <v>2854.1669999999999</v>
          </cell>
          <cell r="X7">
            <v>2854.1669999999999</v>
          </cell>
          <cell r="Y7">
            <v>2854.1669999999999</v>
          </cell>
          <cell r="Z7">
            <v>1407.172</v>
          </cell>
          <cell r="AL7">
            <v>1407.172</v>
          </cell>
          <cell r="AM7">
            <v>1407.172</v>
          </cell>
          <cell r="AN7">
            <v>1407.172</v>
          </cell>
          <cell r="AO7">
            <v>1407.172</v>
          </cell>
          <cell r="AP7">
            <v>1407.172</v>
          </cell>
          <cell r="AQ7">
            <v>1407.172</v>
          </cell>
          <cell r="AR7">
            <v>1407.172</v>
          </cell>
          <cell r="AS7">
            <v>1407.172</v>
          </cell>
          <cell r="AT7">
            <v>1407.172</v>
          </cell>
          <cell r="AU7">
            <v>1407.172</v>
          </cell>
          <cell r="AV7">
            <v>1407.172</v>
          </cell>
          <cell r="AW7">
            <v>1407.172</v>
          </cell>
        </row>
        <row r="8">
          <cell r="A8" t="str">
            <v>CORO10ML10</v>
          </cell>
          <cell r="B8">
            <v>124</v>
          </cell>
          <cell r="N8">
            <v>124</v>
          </cell>
          <cell r="O8">
            <v>124</v>
          </cell>
          <cell r="P8">
            <v>124</v>
          </cell>
          <cell r="Q8">
            <v>124</v>
          </cell>
          <cell r="R8">
            <v>124</v>
          </cell>
          <cell r="S8">
            <v>124</v>
          </cell>
          <cell r="T8">
            <v>124</v>
          </cell>
          <cell r="U8">
            <v>124</v>
          </cell>
          <cell r="V8">
            <v>124</v>
          </cell>
          <cell r="W8">
            <v>124</v>
          </cell>
          <cell r="X8">
            <v>124</v>
          </cell>
          <cell r="Y8">
            <v>124</v>
          </cell>
          <cell r="Z8">
            <v>527.16899999999998</v>
          </cell>
          <cell r="AL8">
            <v>527.16899999999998</v>
          </cell>
          <cell r="AM8">
            <v>527.16899999999998</v>
          </cell>
          <cell r="AN8">
            <v>527.16899999999998</v>
          </cell>
          <cell r="AO8">
            <v>527.16899999999998</v>
          </cell>
          <cell r="AP8">
            <v>527.16899999999998</v>
          </cell>
          <cell r="AQ8">
            <v>527.16899999999998</v>
          </cell>
          <cell r="AR8">
            <v>527.16899999999998</v>
          </cell>
          <cell r="AS8">
            <v>527.16899999999998</v>
          </cell>
          <cell r="AT8">
            <v>527.16899999999998</v>
          </cell>
          <cell r="AU8">
            <v>527.16899999999998</v>
          </cell>
          <cell r="AV8">
            <v>527.16899999999998</v>
          </cell>
          <cell r="AW8">
            <v>527.16899999999998</v>
          </cell>
        </row>
        <row r="9">
          <cell r="A9" t="str">
            <v>DANA200mg100</v>
          </cell>
          <cell r="B9">
            <v>919</v>
          </cell>
          <cell r="N9">
            <v>919</v>
          </cell>
          <cell r="O9">
            <v>919</v>
          </cell>
          <cell r="P9">
            <v>919</v>
          </cell>
          <cell r="Q9">
            <v>919</v>
          </cell>
          <cell r="R9">
            <v>919</v>
          </cell>
          <cell r="S9">
            <v>919</v>
          </cell>
          <cell r="T9">
            <v>919</v>
          </cell>
          <cell r="U9">
            <v>919</v>
          </cell>
          <cell r="V9">
            <v>919</v>
          </cell>
          <cell r="W9">
            <v>919</v>
          </cell>
          <cell r="X9">
            <v>919</v>
          </cell>
          <cell r="Y9">
            <v>919</v>
          </cell>
          <cell r="Z9">
            <v>2688.3739999999998</v>
          </cell>
          <cell r="AL9">
            <v>2688.3739999999998</v>
          </cell>
          <cell r="AM9">
            <v>2688.3739999999998</v>
          </cell>
          <cell r="AN9">
            <v>2688.3739999999998</v>
          </cell>
          <cell r="AO9">
            <v>2688.3739999999998</v>
          </cell>
          <cell r="AP9">
            <v>2688.3739999999998</v>
          </cell>
          <cell r="AQ9">
            <v>2688.3739999999998</v>
          </cell>
          <cell r="AR9">
            <v>2688.3739999999998</v>
          </cell>
          <cell r="AS9">
            <v>2688.3739999999998</v>
          </cell>
          <cell r="AT9">
            <v>2688.3739999999998</v>
          </cell>
          <cell r="AU9">
            <v>2688.3739999999998</v>
          </cell>
          <cell r="AV9">
            <v>2688.3739999999998</v>
          </cell>
          <cell r="AW9">
            <v>2688.3739999999998</v>
          </cell>
        </row>
        <row r="10">
          <cell r="A10" t="str">
            <v>DEPK200mg40</v>
          </cell>
          <cell r="B10">
            <v>22717</v>
          </cell>
          <cell r="N10">
            <v>22717</v>
          </cell>
          <cell r="O10">
            <v>22717</v>
          </cell>
          <cell r="P10">
            <v>22717</v>
          </cell>
          <cell r="Q10">
            <v>22717</v>
          </cell>
          <cell r="R10">
            <v>22717</v>
          </cell>
          <cell r="S10">
            <v>22717</v>
          </cell>
          <cell r="T10">
            <v>22717</v>
          </cell>
          <cell r="U10">
            <v>22717</v>
          </cell>
          <cell r="V10">
            <v>22717</v>
          </cell>
          <cell r="W10">
            <v>22717</v>
          </cell>
          <cell r="X10">
            <v>22717</v>
          </cell>
          <cell r="Y10">
            <v>22717</v>
          </cell>
          <cell r="Z10">
            <v>5230.5879999999997</v>
          </cell>
          <cell r="AL10">
            <v>5230.5879999999997</v>
          </cell>
          <cell r="AM10">
            <v>5230.5879999999997</v>
          </cell>
          <cell r="AN10">
            <v>5230.5879999999997</v>
          </cell>
          <cell r="AO10">
            <v>5230.5879999999997</v>
          </cell>
          <cell r="AP10">
            <v>5230.5879999999997</v>
          </cell>
          <cell r="AQ10">
            <v>5230.5879999999997</v>
          </cell>
          <cell r="AR10">
            <v>5230.5879999999997</v>
          </cell>
          <cell r="AS10">
            <v>5230.5879999999997</v>
          </cell>
          <cell r="AT10">
            <v>5230.5879999999997</v>
          </cell>
          <cell r="AU10">
            <v>5230.5879999999997</v>
          </cell>
          <cell r="AV10">
            <v>5230.5879999999997</v>
          </cell>
          <cell r="AW10">
            <v>5230.5879999999997</v>
          </cell>
        </row>
        <row r="11">
          <cell r="A11" t="str">
            <v>DEPK40ml</v>
          </cell>
          <cell r="B11">
            <v>7812</v>
          </cell>
          <cell r="N11">
            <v>7812</v>
          </cell>
          <cell r="O11">
            <v>7812</v>
          </cell>
          <cell r="P11">
            <v>7812</v>
          </cell>
          <cell r="Q11">
            <v>7812</v>
          </cell>
          <cell r="R11">
            <v>7812</v>
          </cell>
          <cell r="S11">
            <v>7812</v>
          </cell>
          <cell r="T11">
            <v>7812</v>
          </cell>
          <cell r="U11">
            <v>7812</v>
          </cell>
          <cell r="V11">
            <v>7812</v>
          </cell>
          <cell r="W11">
            <v>7812</v>
          </cell>
          <cell r="X11">
            <v>7812</v>
          </cell>
          <cell r="Y11">
            <v>7812</v>
          </cell>
          <cell r="Z11">
            <v>2707.1170000000002</v>
          </cell>
          <cell r="AL11">
            <v>2707.1170000000002</v>
          </cell>
          <cell r="AM11">
            <v>2707.1170000000002</v>
          </cell>
          <cell r="AN11">
            <v>2707.1170000000002</v>
          </cell>
          <cell r="AO11">
            <v>2707.1170000000002</v>
          </cell>
          <cell r="AP11">
            <v>2707.1170000000002</v>
          </cell>
          <cell r="AQ11">
            <v>2707.1170000000002</v>
          </cell>
          <cell r="AR11">
            <v>2707.1170000000002</v>
          </cell>
          <cell r="AS11">
            <v>2707.1170000000002</v>
          </cell>
          <cell r="AT11">
            <v>2707.1170000000002</v>
          </cell>
          <cell r="AU11">
            <v>2707.1170000000002</v>
          </cell>
          <cell r="AV11">
            <v>2707.1170000000002</v>
          </cell>
          <cell r="AW11">
            <v>2707.1170000000002</v>
          </cell>
        </row>
        <row r="12">
          <cell r="A12" t="str">
            <v>DEPKch500mg30</v>
          </cell>
          <cell r="B12">
            <v>24239</v>
          </cell>
          <cell r="N12">
            <v>24239</v>
          </cell>
          <cell r="O12">
            <v>24239</v>
          </cell>
          <cell r="P12">
            <v>24239</v>
          </cell>
          <cell r="Q12">
            <v>24239</v>
          </cell>
          <cell r="R12">
            <v>24239</v>
          </cell>
          <cell r="S12">
            <v>24239</v>
          </cell>
          <cell r="T12">
            <v>24239</v>
          </cell>
          <cell r="U12">
            <v>24239</v>
          </cell>
          <cell r="V12">
            <v>24239</v>
          </cell>
          <cell r="W12">
            <v>24239</v>
          </cell>
          <cell r="X12">
            <v>24239</v>
          </cell>
          <cell r="Y12">
            <v>24239</v>
          </cell>
          <cell r="Z12">
            <v>13203.790999999999</v>
          </cell>
          <cell r="AL12">
            <v>13203.790999999999</v>
          </cell>
          <cell r="AM12">
            <v>13203.790999999999</v>
          </cell>
          <cell r="AN12">
            <v>13203.790999999999</v>
          </cell>
          <cell r="AO12">
            <v>13203.790999999999</v>
          </cell>
          <cell r="AP12">
            <v>13203.790999999999</v>
          </cell>
          <cell r="AQ12">
            <v>13203.790999999999</v>
          </cell>
          <cell r="AR12">
            <v>13203.790999999999</v>
          </cell>
          <cell r="AS12">
            <v>13203.790999999999</v>
          </cell>
          <cell r="AT12">
            <v>13203.790999999999</v>
          </cell>
          <cell r="AU12">
            <v>13203.790999999999</v>
          </cell>
          <cell r="AV12">
            <v>13203.790999999999</v>
          </cell>
          <cell r="AW12">
            <v>13203.790999999999</v>
          </cell>
        </row>
        <row r="13">
          <cell r="A13" t="str">
            <v>DEPKIV</v>
          </cell>
          <cell r="B13">
            <v>379</v>
          </cell>
          <cell r="N13">
            <v>379</v>
          </cell>
          <cell r="O13">
            <v>379</v>
          </cell>
          <cell r="P13">
            <v>379</v>
          </cell>
          <cell r="Q13">
            <v>379</v>
          </cell>
          <cell r="R13">
            <v>379</v>
          </cell>
          <cell r="S13">
            <v>379</v>
          </cell>
          <cell r="T13">
            <v>379</v>
          </cell>
          <cell r="U13">
            <v>379</v>
          </cell>
          <cell r="V13">
            <v>379</v>
          </cell>
          <cell r="W13">
            <v>379</v>
          </cell>
          <cell r="X13">
            <v>379</v>
          </cell>
          <cell r="Y13">
            <v>379</v>
          </cell>
          <cell r="Z13">
            <v>475.59100000000001</v>
          </cell>
          <cell r="AL13">
            <v>475.59100000000001</v>
          </cell>
          <cell r="AM13">
            <v>475.59100000000001</v>
          </cell>
          <cell r="AN13">
            <v>475.59100000000001</v>
          </cell>
          <cell r="AO13">
            <v>475.59100000000001</v>
          </cell>
          <cell r="AP13">
            <v>475.59100000000001</v>
          </cell>
          <cell r="AQ13">
            <v>475.59100000000001</v>
          </cell>
          <cell r="AR13">
            <v>475.59100000000001</v>
          </cell>
          <cell r="AS13">
            <v>475.59100000000001</v>
          </cell>
          <cell r="AT13">
            <v>475.59100000000001</v>
          </cell>
          <cell r="AU13">
            <v>475.59100000000001</v>
          </cell>
          <cell r="AV13">
            <v>475.59100000000001</v>
          </cell>
          <cell r="AW13">
            <v>475.59100000000001</v>
          </cell>
        </row>
        <row r="14">
          <cell r="A14" t="str">
            <v>DEPM300mg30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</row>
        <row r="15">
          <cell r="A15" t="str">
            <v>DIBUNATE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</row>
        <row r="16">
          <cell r="A16" t="str">
            <v>DIVERSTAIW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</row>
        <row r="17">
          <cell r="A17" t="str">
            <v>ERAD2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</row>
        <row r="18">
          <cell r="A18" t="str">
            <v>FRAX03ml10</v>
          </cell>
          <cell r="B18">
            <v>89</v>
          </cell>
          <cell r="N18">
            <v>89</v>
          </cell>
          <cell r="O18">
            <v>89</v>
          </cell>
          <cell r="P18">
            <v>89</v>
          </cell>
          <cell r="Q18">
            <v>89</v>
          </cell>
          <cell r="R18">
            <v>89</v>
          </cell>
          <cell r="S18">
            <v>89</v>
          </cell>
          <cell r="T18">
            <v>89</v>
          </cell>
          <cell r="U18">
            <v>89</v>
          </cell>
          <cell r="V18">
            <v>89</v>
          </cell>
          <cell r="W18">
            <v>89</v>
          </cell>
          <cell r="X18">
            <v>89</v>
          </cell>
          <cell r="Y18">
            <v>89</v>
          </cell>
          <cell r="Z18">
            <v>149.267</v>
          </cell>
          <cell r="AL18">
            <v>149.267</v>
          </cell>
          <cell r="AM18">
            <v>149.267</v>
          </cell>
          <cell r="AN18">
            <v>149.267</v>
          </cell>
          <cell r="AO18">
            <v>149.267</v>
          </cell>
          <cell r="AP18">
            <v>149.267</v>
          </cell>
          <cell r="AQ18">
            <v>149.267</v>
          </cell>
          <cell r="AR18">
            <v>149.267</v>
          </cell>
          <cell r="AS18">
            <v>149.267</v>
          </cell>
          <cell r="AT18">
            <v>149.267</v>
          </cell>
          <cell r="AU18">
            <v>149.267</v>
          </cell>
          <cell r="AV18">
            <v>149.267</v>
          </cell>
          <cell r="AW18">
            <v>149.267</v>
          </cell>
        </row>
        <row r="19">
          <cell r="A19" t="str">
            <v>FRAX04ml10</v>
          </cell>
          <cell r="B19">
            <v>1023</v>
          </cell>
          <cell r="N19">
            <v>1023</v>
          </cell>
          <cell r="O19">
            <v>1023</v>
          </cell>
          <cell r="P19">
            <v>1023</v>
          </cell>
          <cell r="Q19">
            <v>1023</v>
          </cell>
          <cell r="R19">
            <v>1023</v>
          </cell>
          <cell r="S19">
            <v>1023</v>
          </cell>
          <cell r="T19">
            <v>1023</v>
          </cell>
          <cell r="U19">
            <v>1023</v>
          </cell>
          <cell r="V19">
            <v>1023</v>
          </cell>
          <cell r="W19">
            <v>1023</v>
          </cell>
          <cell r="X19">
            <v>1023</v>
          </cell>
          <cell r="Y19">
            <v>1023</v>
          </cell>
          <cell r="Z19">
            <v>1220.569</v>
          </cell>
          <cell r="AL19">
            <v>1220.569</v>
          </cell>
          <cell r="AM19">
            <v>1220.569</v>
          </cell>
          <cell r="AN19">
            <v>1220.569</v>
          </cell>
          <cell r="AO19">
            <v>1220.569</v>
          </cell>
          <cell r="AP19">
            <v>1220.569</v>
          </cell>
          <cell r="AQ19">
            <v>1220.569</v>
          </cell>
          <cell r="AR19">
            <v>1220.569</v>
          </cell>
          <cell r="AS19">
            <v>1220.569</v>
          </cell>
          <cell r="AT19">
            <v>1220.569</v>
          </cell>
          <cell r="AU19">
            <v>1220.569</v>
          </cell>
          <cell r="AV19">
            <v>1220.569</v>
          </cell>
          <cell r="AW19">
            <v>1220.569</v>
          </cell>
        </row>
        <row r="20">
          <cell r="A20" t="str">
            <v>FRAX06ml10</v>
          </cell>
          <cell r="B20">
            <v>264</v>
          </cell>
          <cell r="N20">
            <v>264</v>
          </cell>
          <cell r="O20">
            <v>264</v>
          </cell>
          <cell r="P20">
            <v>264</v>
          </cell>
          <cell r="Q20">
            <v>264</v>
          </cell>
          <cell r="R20">
            <v>264</v>
          </cell>
          <cell r="S20">
            <v>264</v>
          </cell>
          <cell r="T20">
            <v>264</v>
          </cell>
          <cell r="U20">
            <v>264</v>
          </cell>
          <cell r="V20">
            <v>264</v>
          </cell>
          <cell r="W20">
            <v>264</v>
          </cell>
          <cell r="X20">
            <v>264</v>
          </cell>
          <cell r="Y20">
            <v>264</v>
          </cell>
          <cell r="Z20">
            <v>538.60599999999999</v>
          </cell>
          <cell r="AL20">
            <v>538.60599999999999</v>
          </cell>
          <cell r="AM20">
            <v>538.60599999999999</v>
          </cell>
          <cell r="AN20">
            <v>538.60599999999999</v>
          </cell>
          <cell r="AO20">
            <v>538.60599999999999</v>
          </cell>
          <cell r="AP20">
            <v>538.60599999999999</v>
          </cell>
          <cell r="AQ20">
            <v>538.60599999999999</v>
          </cell>
          <cell r="AR20">
            <v>538.60599999999999</v>
          </cell>
          <cell r="AS20">
            <v>538.60599999999999</v>
          </cell>
          <cell r="AT20">
            <v>538.60599999999999</v>
          </cell>
          <cell r="AU20">
            <v>538.60599999999999</v>
          </cell>
          <cell r="AV20">
            <v>538.60599999999999</v>
          </cell>
          <cell r="AW20">
            <v>538.60599999999999</v>
          </cell>
        </row>
        <row r="21">
          <cell r="A21" t="str">
            <v>HYPA50p50ml1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</row>
        <row r="22">
          <cell r="A22" t="str">
            <v>HYPA60p50ml1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</row>
        <row r="23">
          <cell r="A23" t="str">
            <v>HYPA60p100ml1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</row>
        <row r="24">
          <cell r="A24" t="str">
            <v>HYPA76P100ML1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</row>
        <row r="25">
          <cell r="A25" t="str">
            <v>HYPA76p200ml1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</row>
        <row r="26">
          <cell r="A26" t="str">
            <v>HYPA76p50ml1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</row>
        <row r="27">
          <cell r="A27" t="str">
            <v>KAYE1lb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</row>
        <row r="28">
          <cell r="A28" t="str">
            <v>LACT10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</row>
        <row r="29">
          <cell r="A29" t="str">
            <v>LACTF.H.</v>
          </cell>
          <cell r="B29">
            <v>210</v>
          </cell>
          <cell r="N29">
            <v>210</v>
          </cell>
          <cell r="O29">
            <v>210</v>
          </cell>
          <cell r="P29">
            <v>210</v>
          </cell>
          <cell r="Q29">
            <v>210</v>
          </cell>
          <cell r="R29">
            <v>210</v>
          </cell>
          <cell r="S29">
            <v>210</v>
          </cell>
          <cell r="T29">
            <v>210</v>
          </cell>
          <cell r="U29">
            <v>210</v>
          </cell>
          <cell r="V29">
            <v>210</v>
          </cell>
          <cell r="W29">
            <v>210</v>
          </cell>
          <cell r="X29">
            <v>210</v>
          </cell>
          <cell r="Y29">
            <v>210</v>
          </cell>
          <cell r="Z29">
            <v>7.6689999999999996</v>
          </cell>
          <cell r="AL29">
            <v>7.6689999999999996</v>
          </cell>
          <cell r="AM29">
            <v>7.6689999999999996</v>
          </cell>
          <cell r="AN29">
            <v>7.6689999999999996</v>
          </cell>
          <cell r="AO29">
            <v>7.6689999999999996</v>
          </cell>
          <cell r="AP29">
            <v>7.6689999999999996</v>
          </cell>
          <cell r="AQ29">
            <v>7.6689999999999996</v>
          </cell>
          <cell r="AR29">
            <v>7.6689999999999996</v>
          </cell>
          <cell r="AS29">
            <v>7.6689999999999996</v>
          </cell>
          <cell r="AT29">
            <v>7.6689999999999996</v>
          </cell>
          <cell r="AU29">
            <v>7.6689999999999996</v>
          </cell>
          <cell r="AV29">
            <v>7.6689999999999996</v>
          </cell>
          <cell r="AW29">
            <v>7.6689999999999996</v>
          </cell>
        </row>
        <row r="30">
          <cell r="A30" t="str">
            <v>LACT250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</row>
        <row r="31">
          <cell r="A31" t="str">
            <v>LEVP4ml1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</row>
        <row r="32">
          <cell r="A32" t="str">
            <v>NEGR56</v>
          </cell>
          <cell r="B32">
            <v>1416</v>
          </cell>
          <cell r="N32">
            <v>1416</v>
          </cell>
          <cell r="O32">
            <v>1416</v>
          </cell>
          <cell r="P32">
            <v>1416</v>
          </cell>
          <cell r="Q32">
            <v>1416</v>
          </cell>
          <cell r="R32">
            <v>1416</v>
          </cell>
          <cell r="S32">
            <v>1416</v>
          </cell>
          <cell r="T32">
            <v>1416</v>
          </cell>
          <cell r="U32">
            <v>1416</v>
          </cell>
          <cell r="V32">
            <v>1416</v>
          </cell>
          <cell r="W32">
            <v>1416</v>
          </cell>
          <cell r="X32">
            <v>1416</v>
          </cell>
          <cell r="Y32">
            <v>1416</v>
          </cell>
          <cell r="Z32">
            <v>366.29399999999998</v>
          </cell>
          <cell r="AL32">
            <v>366.29399999999998</v>
          </cell>
          <cell r="AM32">
            <v>366.29399999999998</v>
          </cell>
          <cell r="AN32">
            <v>366.29399999999998</v>
          </cell>
          <cell r="AO32">
            <v>366.29399999999998</v>
          </cell>
          <cell r="AP32">
            <v>366.29399999999998</v>
          </cell>
          <cell r="AQ32">
            <v>366.29399999999998</v>
          </cell>
          <cell r="AR32">
            <v>366.29399999999998</v>
          </cell>
          <cell r="AS32">
            <v>366.29399999999998</v>
          </cell>
          <cell r="AT32">
            <v>366.29399999999998</v>
          </cell>
          <cell r="AU32">
            <v>366.29399999999998</v>
          </cell>
          <cell r="AV32">
            <v>366.29399999999998</v>
          </cell>
          <cell r="AW32">
            <v>366.29399999999998</v>
          </cell>
        </row>
        <row r="33">
          <cell r="A33" t="str">
            <v>NEGR100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</row>
        <row r="34">
          <cell r="A34" t="str">
            <v>NEGR1000</v>
          </cell>
          <cell r="B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1</v>
          </cell>
          <cell r="S34">
            <v>1</v>
          </cell>
          <cell r="T34">
            <v>1</v>
          </cell>
          <cell r="U34">
            <v>1</v>
          </cell>
          <cell r="V34">
            <v>1</v>
          </cell>
          <cell r="W34">
            <v>1</v>
          </cell>
          <cell r="X34">
            <v>1</v>
          </cell>
          <cell r="Y34">
            <v>1</v>
          </cell>
          <cell r="Z34">
            <v>-3.2389999999999999</v>
          </cell>
          <cell r="AL34">
            <v>-3.2389999999999999</v>
          </cell>
          <cell r="AM34">
            <v>-3.2389999999999999</v>
          </cell>
          <cell r="AN34">
            <v>-3.2389999999999999</v>
          </cell>
          <cell r="AO34">
            <v>-3.2389999999999999</v>
          </cell>
          <cell r="AP34">
            <v>-3.2389999999999999</v>
          </cell>
          <cell r="AQ34">
            <v>-3.2389999999999999</v>
          </cell>
          <cell r="AR34">
            <v>-3.2389999999999999</v>
          </cell>
          <cell r="AS34">
            <v>-3.2389999999999999</v>
          </cell>
          <cell r="AT34">
            <v>-3.2389999999999999</v>
          </cell>
          <cell r="AU34">
            <v>-3.2389999999999999</v>
          </cell>
          <cell r="AV34">
            <v>-3.2389999999999999</v>
          </cell>
          <cell r="AW34">
            <v>-3.2389999999999999</v>
          </cell>
        </row>
        <row r="35">
          <cell r="A35" t="str">
            <v>NEGRA100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</row>
        <row r="36">
          <cell r="A36" t="str">
            <v>PLAQ60</v>
          </cell>
          <cell r="B36">
            <v>17990</v>
          </cell>
          <cell r="N36">
            <v>17990</v>
          </cell>
          <cell r="O36">
            <v>17990</v>
          </cell>
          <cell r="P36">
            <v>17990</v>
          </cell>
          <cell r="Q36">
            <v>17990</v>
          </cell>
          <cell r="R36">
            <v>17990</v>
          </cell>
          <cell r="S36">
            <v>17990</v>
          </cell>
          <cell r="T36">
            <v>17990</v>
          </cell>
          <cell r="U36">
            <v>17990</v>
          </cell>
          <cell r="V36">
            <v>17990</v>
          </cell>
          <cell r="W36">
            <v>17990</v>
          </cell>
          <cell r="X36">
            <v>17990</v>
          </cell>
          <cell r="Y36">
            <v>17990</v>
          </cell>
          <cell r="Z36">
            <v>10305.601000000001</v>
          </cell>
          <cell r="AL36">
            <v>10305.601000000001</v>
          </cell>
          <cell r="AM36">
            <v>10305.601000000001</v>
          </cell>
          <cell r="AN36">
            <v>10305.601000000001</v>
          </cell>
          <cell r="AO36">
            <v>10305.601000000001</v>
          </cell>
          <cell r="AP36">
            <v>10305.601000000001</v>
          </cell>
          <cell r="AQ36">
            <v>10305.601000000001</v>
          </cell>
          <cell r="AR36">
            <v>10305.601000000001</v>
          </cell>
          <cell r="AS36">
            <v>10305.601000000001</v>
          </cell>
          <cell r="AT36">
            <v>10305.601000000001</v>
          </cell>
          <cell r="AU36">
            <v>10305.601000000001</v>
          </cell>
          <cell r="AV36">
            <v>10305.601000000001</v>
          </cell>
          <cell r="AW36">
            <v>10305.601000000001</v>
          </cell>
        </row>
        <row r="37">
          <cell r="A37" t="str">
            <v>PLAQ100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</row>
        <row r="38">
          <cell r="A38" t="str">
            <v>QUIN2ML50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</row>
        <row r="39">
          <cell r="A39" t="str">
            <v>SEGL30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</row>
        <row r="40">
          <cell r="A40" t="str">
            <v>SELE5MG100</v>
          </cell>
          <cell r="B40">
            <v>1042</v>
          </cell>
          <cell r="N40">
            <v>1042</v>
          </cell>
          <cell r="O40">
            <v>1042</v>
          </cell>
          <cell r="P40">
            <v>1042</v>
          </cell>
          <cell r="Q40">
            <v>1042</v>
          </cell>
          <cell r="R40">
            <v>1042</v>
          </cell>
          <cell r="S40">
            <v>1042</v>
          </cell>
          <cell r="T40">
            <v>1042</v>
          </cell>
          <cell r="U40">
            <v>1042</v>
          </cell>
          <cell r="V40">
            <v>1042</v>
          </cell>
          <cell r="W40">
            <v>1042</v>
          </cell>
          <cell r="X40">
            <v>1042</v>
          </cell>
          <cell r="Y40">
            <v>1042</v>
          </cell>
          <cell r="Z40">
            <v>2151.069</v>
          </cell>
          <cell r="AL40">
            <v>2151.069</v>
          </cell>
          <cell r="AM40">
            <v>2151.069</v>
          </cell>
          <cell r="AN40">
            <v>2151.069</v>
          </cell>
          <cell r="AO40">
            <v>2151.069</v>
          </cell>
          <cell r="AP40">
            <v>2151.069</v>
          </cell>
          <cell r="AQ40">
            <v>2151.069</v>
          </cell>
          <cell r="AR40">
            <v>2151.069</v>
          </cell>
          <cell r="AS40">
            <v>2151.069</v>
          </cell>
          <cell r="AT40">
            <v>2151.069</v>
          </cell>
          <cell r="AU40">
            <v>2151.069</v>
          </cell>
          <cell r="AV40">
            <v>2151.069</v>
          </cell>
          <cell r="AW40">
            <v>2151.069</v>
          </cell>
        </row>
        <row r="41">
          <cell r="A41" t="str">
            <v>THIO1a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</row>
        <row r="42">
          <cell r="A42" t="str">
            <v>TICL20</v>
          </cell>
          <cell r="B42">
            <v>13840</v>
          </cell>
          <cell r="N42">
            <v>13840</v>
          </cell>
          <cell r="O42">
            <v>13840</v>
          </cell>
          <cell r="P42">
            <v>13840</v>
          </cell>
          <cell r="Q42">
            <v>13840</v>
          </cell>
          <cell r="R42">
            <v>13840</v>
          </cell>
          <cell r="S42">
            <v>13840</v>
          </cell>
          <cell r="T42">
            <v>13840</v>
          </cell>
          <cell r="U42">
            <v>13840</v>
          </cell>
          <cell r="V42">
            <v>13840</v>
          </cell>
          <cell r="W42">
            <v>13840</v>
          </cell>
          <cell r="X42">
            <v>13840</v>
          </cell>
          <cell r="Y42">
            <v>13840</v>
          </cell>
          <cell r="Z42">
            <v>4643.2150000000001</v>
          </cell>
          <cell r="AL42">
            <v>4643.2150000000001</v>
          </cell>
          <cell r="AM42">
            <v>4643.2150000000001</v>
          </cell>
          <cell r="AN42">
            <v>4643.2150000000001</v>
          </cell>
          <cell r="AO42">
            <v>4643.2150000000001</v>
          </cell>
          <cell r="AP42">
            <v>4643.2150000000001</v>
          </cell>
          <cell r="AQ42">
            <v>4643.2150000000001</v>
          </cell>
          <cell r="AR42">
            <v>4643.2150000000001</v>
          </cell>
          <cell r="AS42">
            <v>4643.2150000000001</v>
          </cell>
          <cell r="AT42">
            <v>4643.2150000000001</v>
          </cell>
          <cell r="AU42">
            <v>4643.2150000000001</v>
          </cell>
          <cell r="AV42">
            <v>4643.2150000000001</v>
          </cell>
          <cell r="AW42">
            <v>4643.2150000000001</v>
          </cell>
        </row>
        <row r="43">
          <cell r="A43" t="str">
            <v>TRANCOPAL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</row>
        <row r="44">
          <cell r="A44" t="str">
            <v>TRNX10mg1000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</row>
        <row r="45">
          <cell r="A45" t="str">
            <v>TRNX5mg1000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</row>
        <row r="46">
          <cell r="A46" t="str">
            <v>ELOX50MG1</v>
          </cell>
          <cell r="B46">
            <v>1406</v>
          </cell>
          <cell r="N46">
            <v>1406</v>
          </cell>
          <cell r="O46">
            <v>1406</v>
          </cell>
          <cell r="P46">
            <v>1406</v>
          </cell>
          <cell r="Q46">
            <v>1406</v>
          </cell>
          <cell r="R46">
            <v>1406</v>
          </cell>
          <cell r="S46">
            <v>1406</v>
          </cell>
          <cell r="T46">
            <v>1406</v>
          </cell>
          <cell r="U46">
            <v>1406</v>
          </cell>
          <cell r="V46">
            <v>1406</v>
          </cell>
          <cell r="W46">
            <v>1406</v>
          </cell>
          <cell r="X46">
            <v>1406</v>
          </cell>
          <cell r="Y46">
            <v>1406</v>
          </cell>
          <cell r="Z46">
            <v>10343.339</v>
          </cell>
          <cell r="AL46">
            <v>10343.339</v>
          </cell>
          <cell r="AM46">
            <v>10343.339</v>
          </cell>
          <cell r="AN46">
            <v>10343.339</v>
          </cell>
          <cell r="AO46">
            <v>10343.339</v>
          </cell>
          <cell r="AP46">
            <v>10343.339</v>
          </cell>
          <cell r="AQ46">
            <v>10343.339</v>
          </cell>
          <cell r="AR46">
            <v>10343.339</v>
          </cell>
          <cell r="AS46">
            <v>10343.339</v>
          </cell>
          <cell r="AT46">
            <v>10343.339</v>
          </cell>
          <cell r="AU46">
            <v>10343.339</v>
          </cell>
          <cell r="AV46">
            <v>10343.339</v>
          </cell>
          <cell r="AW46">
            <v>10343.339</v>
          </cell>
        </row>
        <row r="47">
          <cell r="A47" t="str">
            <v>PRIQ26MG100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</row>
        <row r="48">
          <cell r="A48" t="str">
            <v>CLOP75MG14</v>
          </cell>
          <cell r="B48">
            <v>15927</v>
          </cell>
          <cell r="N48">
            <v>15927</v>
          </cell>
          <cell r="O48">
            <v>15927</v>
          </cell>
          <cell r="P48">
            <v>15927</v>
          </cell>
          <cell r="Q48">
            <v>15927</v>
          </cell>
          <cell r="R48">
            <v>15927</v>
          </cell>
          <cell r="S48">
            <v>15927</v>
          </cell>
          <cell r="T48">
            <v>15927</v>
          </cell>
          <cell r="U48">
            <v>15927</v>
          </cell>
          <cell r="V48">
            <v>15927</v>
          </cell>
          <cell r="W48">
            <v>15927</v>
          </cell>
          <cell r="X48">
            <v>15927</v>
          </cell>
          <cell r="Y48">
            <v>15927</v>
          </cell>
          <cell r="Z48">
            <v>10899.099</v>
          </cell>
          <cell r="AL48">
            <v>10899.099</v>
          </cell>
          <cell r="AM48">
            <v>10899.099</v>
          </cell>
          <cell r="AN48">
            <v>10899.099</v>
          </cell>
          <cell r="AO48">
            <v>10899.099</v>
          </cell>
          <cell r="AP48">
            <v>10899.099</v>
          </cell>
          <cell r="AQ48">
            <v>10899.099</v>
          </cell>
          <cell r="AR48">
            <v>10899.099</v>
          </cell>
          <cell r="AS48">
            <v>10899.099</v>
          </cell>
          <cell r="AT48">
            <v>10899.099</v>
          </cell>
          <cell r="AU48">
            <v>10899.099</v>
          </cell>
          <cell r="AV48">
            <v>10899.099</v>
          </cell>
          <cell r="AW48">
            <v>10899.099</v>
          </cell>
        </row>
        <row r="49">
          <cell r="A49" t="str">
            <v>IRBE150MG28</v>
          </cell>
          <cell r="B49">
            <v>26831</v>
          </cell>
          <cell r="N49">
            <v>26831</v>
          </cell>
          <cell r="O49">
            <v>26831</v>
          </cell>
          <cell r="P49">
            <v>26831</v>
          </cell>
          <cell r="Q49">
            <v>26831</v>
          </cell>
          <cell r="R49">
            <v>26831</v>
          </cell>
          <cell r="S49">
            <v>26831</v>
          </cell>
          <cell r="T49">
            <v>26831</v>
          </cell>
          <cell r="U49">
            <v>26831</v>
          </cell>
          <cell r="V49">
            <v>26831</v>
          </cell>
          <cell r="W49">
            <v>26831</v>
          </cell>
          <cell r="X49">
            <v>26831</v>
          </cell>
          <cell r="Y49">
            <v>26831</v>
          </cell>
          <cell r="Z49">
            <v>16733.062999999998</v>
          </cell>
          <cell r="AL49">
            <v>16733.062999999998</v>
          </cell>
          <cell r="AM49">
            <v>16733.062999999998</v>
          </cell>
          <cell r="AN49">
            <v>16733.062999999998</v>
          </cell>
          <cell r="AO49">
            <v>16733.062999999998</v>
          </cell>
          <cell r="AP49">
            <v>16733.062999999998</v>
          </cell>
          <cell r="AQ49">
            <v>16733.062999999998</v>
          </cell>
          <cell r="AR49">
            <v>16733.062999999998</v>
          </cell>
          <cell r="AS49">
            <v>16733.062999999998</v>
          </cell>
          <cell r="AT49">
            <v>16733.062999999998</v>
          </cell>
          <cell r="AU49">
            <v>16733.062999999998</v>
          </cell>
          <cell r="AV49">
            <v>16733.062999999998</v>
          </cell>
          <cell r="AW49">
            <v>16733.062999999998</v>
          </cell>
        </row>
        <row r="50">
          <cell r="A50" t="str">
            <v>IRBE300MG28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</row>
        <row r="51">
          <cell r="A51" t="str">
            <v>Co-APROVEL 300mg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</row>
        <row r="52">
          <cell r="A52" t="str">
            <v>RESON454</v>
          </cell>
          <cell r="B52">
            <v>1596</v>
          </cell>
          <cell r="N52">
            <v>1596</v>
          </cell>
          <cell r="O52">
            <v>1596</v>
          </cell>
          <cell r="P52">
            <v>1596</v>
          </cell>
          <cell r="Q52">
            <v>1596</v>
          </cell>
          <cell r="R52">
            <v>1596</v>
          </cell>
          <cell r="S52">
            <v>1596</v>
          </cell>
          <cell r="T52">
            <v>1596</v>
          </cell>
          <cell r="U52">
            <v>1596</v>
          </cell>
          <cell r="V52">
            <v>1596</v>
          </cell>
          <cell r="W52">
            <v>1596</v>
          </cell>
          <cell r="X52">
            <v>1596</v>
          </cell>
          <cell r="Y52">
            <v>1596</v>
          </cell>
          <cell r="Z52">
            <v>1752.01</v>
          </cell>
          <cell r="AL52">
            <v>1752.01</v>
          </cell>
          <cell r="AM52">
            <v>1752.01</v>
          </cell>
          <cell r="AN52">
            <v>1752.01</v>
          </cell>
          <cell r="AO52">
            <v>1752.01</v>
          </cell>
          <cell r="AP52">
            <v>1752.01</v>
          </cell>
          <cell r="AQ52">
            <v>1752.01</v>
          </cell>
          <cell r="AR52">
            <v>1752.01</v>
          </cell>
          <cell r="AS52">
            <v>1752.01</v>
          </cell>
          <cell r="AT52">
            <v>1752.01</v>
          </cell>
          <cell r="AU52">
            <v>1752.01</v>
          </cell>
          <cell r="AV52">
            <v>1752.01</v>
          </cell>
          <cell r="AW52">
            <v>1752.01</v>
          </cell>
        </row>
        <row r="53">
          <cell r="A53" t="str">
            <v>TOTAL COMPANY</v>
          </cell>
          <cell r="B53">
            <v>156184.967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156184.967</v>
          </cell>
          <cell r="O53">
            <v>156184.967</v>
          </cell>
          <cell r="P53">
            <v>156184.967</v>
          </cell>
          <cell r="Q53">
            <v>156184.967</v>
          </cell>
          <cell r="R53">
            <v>156184.967</v>
          </cell>
          <cell r="S53">
            <v>156184.967</v>
          </cell>
          <cell r="T53">
            <v>156184.967</v>
          </cell>
          <cell r="U53">
            <v>156184.967</v>
          </cell>
          <cell r="V53">
            <v>156184.967</v>
          </cell>
          <cell r="W53">
            <v>156184.967</v>
          </cell>
          <cell r="X53">
            <v>156184.967</v>
          </cell>
          <cell r="Y53">
            <v>156184.967</v>
          </cell>
          <cell r="Z53">
            <v>91816.188999999998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91816.188999999998</v>
          </cell>
          <cell r="AM53">
            <v>91816.188999999998</v>
          </cell>
          <cell r="AN53">
            <v>91816.188999999998</v>
          </cell>
          <cell r="AO53">
            <v>91816.188999999998</v>
          </cell>
          <cell r="AP53">
            <v>91816.188999999998</v>
          </cell>
          <cell r="AQ53">
            <v>91816.188999999998</v>
          </cell>
          <cell r="AR53">
            <v>91816.188999999998</v>
          </cell>
          <cell r="AS53">
            <v>91816.188999999998</v>
          </cell>
          <cell r="AT53">
            <v>91816.188999999998</v>
          </cell>
          <cell r="AU53">
            <v>91816.188999999998</v>
          </cell>
          <cell r="AV53">
            <v>91816.188999999998</v>
          </cell>
          <cell r="AW53">
            <v>91816.188999999998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lements"/>
      <sheetName val="TAB"/>
      <sheetName val="BDD"/>
      <sheetName val="TRI&amp;Pback"/>
      <sheetName val="Template_SAlone"/>
      <sheetName val="STRUCTURE"/>
      <sheetName val="VALUE_CREATION"/>
      <sheetName val="NPV_for_sa_sensitivity"/>
      <sheetName val="Cash_Graph"/>
      <sheetName val="ACCOUNTS_IMPACT"/>
      <sheetName val="Graphs_P&amp;L"/>
      <sheetName val="CONSO_TOTAL_VALUE"/>
      <sheetName val="CONSO_SAlone"/>
      <sheetName val="Stand_alone01"/>
      <sheetName val="Stand_alone02"/>
      <sheetName val="Stand_alone03"/>
      <sheetName val="Stand_alone04"/>
      <sheetName val="Stand_alone05"/>
      <sheetName val="Stand_alone06"/>
      <sheetName val="Stand_alone07"/>
      <sheetName val="Stand_alone08"/>
      <sheetName val="Stand_alone09"/>
      <sheetName val="Stand_alone10"/>
    </sheetNames>
    <sheetDataSet>
      <sheetData sheetId="0" refreshError="1">
        <row r="2">
          <cell r="A2" t="str">
            <v>2019</v>
          </cell>
        </row>
        <row r="17">
          <cell r="P17" t="str">
            <v>0,5%</v>
          </cell>
          <cell r="R17">
            <v>10</v>
          </cell>
        </row>
        <row r="18">
          <cell r="A18" t="str">
            <v>OK</v>
          </cell>
          <cell r="B18">
            <v>40179</v>
          </cell>
          <cell r="C18">
            <v>2009</v>
          </cell>
          <cell r="D18" t="str">
            <v>Share deal</v>
          </cell>
          <cell r="E18" t="str">
            <v>09-10</v>
          </cell>
          <cell r="H18" t="str">
            <v xml:space="preserve"> -</v>
          </cell>
          <cell r="I18" t="str">
            <v>ETHICAL</v>
          </cell>
          <cell r="J18" t="str">
            <v>West Eur</v>
          </cell>
          <cell r="L18">
            <v>0.06</v>
          </cell>
          <cell r="M18">
            <v>-9.5000000000000001E-2</v>
          </cell>
          <cell r="N18">
            <v>0.05</v>
          </cell>
          <cell r="O18" t="str">
            <v>Local currency</v>
          </cell>
          <cell r="P18" t="str">
            <v>1,0%</v>
          </cell>
          <cell r="Q18" t="str">
            <v>M EUR</v>
          </cell>
          <cell r="R18">
            <v>20</v>
          </cell>
        </row>
        <row r="19">
          <cell r="A19" t="str">
            <v>NO</v>
          </cell>
          <cell r="B19">
            <v>40210</v>
          </cell>
          <cell r="C19">
            <v>2010</v>
          </cell>
          <cell r="D19" t="str">
            <v>Asset deal</v>
          </cell>
          <cell r="E19" t="str">
            <v>09-11</v>
          </cell>
          <cell r="H19" t="str">
            <v>AFGHANISTAN</v>
          </cell>
          <cell r="I19" t="str">
            <v>OTC</v>
          </cell>
          <cell r="J19" t="str">
            <v>Eastern Eur</v>
          </cell>
          <cell r="L19">
            <v>6.5000000000000002E-2</v>
          </cell>
          <cell r="M19">
            <v>-0.09</v>
          </cell>
          <cell r="N19">
            <v>0.1</v>
          </cell>
          <cell r="O19" t="str">
            <v>EUR</v>
          </cell>
          <cell r="P19" t="str">
            <v>1,5%</v>
          </cell>
          <cell r="Q19" t="str">
            <v>M USD</v>
          </cell>
          <cell r="R19">
            <v>30</v>
          </cell>
        </row>
        <row r="20">
          <cell r="B20">
            <v>40238</v>
          </cell>
          <cell r="C20">
            <v>2011</v>
          </cell>
          <cell r="D20" t="str">
            <v>Share + asset deal</v>
          </cell>
          <cell r="E20" t="str">
            <v>09-12</v>
          </cell>
          <cell r="H20" t="str">
            <v>ALBANY</v>
          </cell>
          <cell r="J20" t="str">
            <v>EU4</v>
          </cell>
          <cell r="L20">
            <v>7.0000000000000007E-2</v>
          </cell>
          <cell r="M20">
            <v>-8.4999999999999992E-2</v>
          </cell>
          <cell r="N20">
            <v>0.15</v>
          </cell>
          <cell r="O20" t="str">
            <v>USD</v>
          </cell>
          <cell r="P20" t="str">
            <v>2,0%</v>
          </cell>
          <cell r="Q20" t="str">
            <v>K EUR</v>
          </cell>
          <cell r="R20">
            <v>40</v>
          </cell>
        </row>
        <row r="21">
          <cell r="B21">
            <v>40269</v>
          </cell>
          <cell r="C21">
            <v>2012</v>
          </cell>
          <cell r="E21" t="str">
            <v>09-13</v>
          </cell>
          <cell r="H21" t="str">
            <v>ALGERIA</v>
          </cell>
          <cell r="I21">
            <v>0</v>
          </cell>
          <cell r="J21" t="str">
            <v>EU5</v>
          </cell>
          <cell r="L21">
            <v>7.5000000000000011E-2</v>
          </cell>
          <cell r="M21">
            <v>-0.08</v>
          </cell>
          <cell r="N21">
            <v>0.2</v>
          </cell>
          <cell r="O21" t="str">
            <v>GBP</v>
          </cell>
          <cell r="P21" t="str">
            <v>2,5%</v>
          </cell>
          <cell r="Q21" t="str">
            <v>K USD</v>
          </cell>
          <cell r="R21">
            <v>50</v>
          </cell>
        </row>
        <row r="22">
          <cell r="B22">
            <v>40299</v>
          </cell>
          <cell r="C22">
            <v>2013</v>
          </cell>
          <cell r="E22" t="str">
            <v>09-14</v>
          </cell>
          <cell r="H22" t="str">
            <v>ANGOLA</v>
          </cell>
          <cell r="I22">
            <v>0</v>
          </cell>
          <cell r="J22" t="str">
            <v>EUROPE</v>
          </cell>
          <cell r="L22">
            <v>8.0000000000000016E-2</v>
          </cell>
          <cell r="M22">
            <v>-7.4999999999999997E-2</v>
          </cell>
          <cell r="N22">
            <v>0.25</v>
          </cell>
          <cell r="O22" t="str">
            <v>AED</v>
          </cell>
          <cell r="P22" t="str">
            <v>3,0%</v>
          </cell>
          <cell r="R22">
            <v>60</v>
          </cell>
        </row>
        <row r="23">
          <cell r="B23">
            <v>40330</v>
          </cell>
          <cell r="C23">
            <v>2014</v>
          </cell>
          <cell r="E23" t="str">
            <v>09-15</v>
          </cell>
          <cell r="H23" t="str">
            <v>ARGENTINA</v>
          </cell>
          <cell r="I23">
            <v>0</v>
          </cell>
          <cell r="J23" t="str">
            <v>LATAM</v>
          </cell>
          <cell r="L23">
            <v>8.500000000000002E-2</v>
          </cell>
          <cell r="M23">
            <v>-6.9999999999999993E-2</v>
          </cell>
          <cell r="N23">
            <v>0.3</v>
          </cell>
          <cell r="O23" t="str">
            <v>AFN</v>
          </cell>
          <cell r="P23" t="str">
            <v>3,5%</v>
          </cell>
          <cell r="R23">
            <v>70</v>
          </cell>
        </row>
        <row r="24">
          <cell r="B24">
            <v>40360</v>
          </cell>
          <cell r="C24">
            <v>2015</v>
          </cell>
          <cell r="E24" t="str">
            <v>09-16</v>
          </cell>
          <cell r="H24" t="str">
            <v>ARMENIA</v>
          </cell>
          <cell r="I24">
            <v>0</v>
          </cell>
          <cell r="J24" t="str">
            <v>US + Canada</v>
          </cell>
          <cell r="L24">
            <v>9.0000000000000024E-2</v>
          </cell>
          <cell r="M24">
            <v>-6.4999999999999988E-2</v>
          </cell>
          <cell r="N24">
            <v>0.35</v>
          </cell>
          <cell r="O24" t="str">
            <v>ALL</v>
          </cell>
          <cell r="P24" t="str">
            <v>4,0%</v>
          </cell>
          <cell r="R24">
            <v>80</v>
          </cell>
        </row>
        <row r="25">
          <cell r="B25">
            <v>40391</v>
          </cell>
          <cell r="C25">
            <v>2016</v>
          </cell>
          <cell r="E25" t="str">
            <v>09-17</v>
          </cell>
          <cell r="H25" t="str">
            <v>AUSTRALIA</v>
          </cell>
          <cell r="J25" t="str">
            <v>AP</v>
          </cell>
          <cell r="L25">
            <v>9.5000000000000029E-2</v>
          </cell>
          <cell r="M25">
            <v>-5.9999999999999991E-2</v>
          </cell>
          <cell r="N25">
            <v>0.4</v>
          </cell>
          <cell r="O25" t="str">
            <v>AMD</v>
          </cell>
          <cell r="P25" t="str">
            <v>4,5%</v>
          </cell>
          <cell r="R25">
            <v>90</v>
          </cell>
        </row>
        <row r="26">
          <cell r="B26">
            <v>40422</v>
          </cell>
          <cell r="C26">
            <v>2017</v>
          </cell>
          <cell r="E26" t="str">
            <v>09-18</v>
          </cell>
          <cell r="H26" t="str">
            <v>AZERBAIDJAN</v>
          </cell>
          <cell r="J26" t="str">
            <v>-</v>
          </cell>
          <cell r="L26">
            <v>0.10000000000000003</v>
          </cell>
          <cell r="M26">
            <v>-5.4999999999999993E-2</v>
          </cell>
          <cell r="N26">
            <v>0.45</v>
          </cell>
          <cell r="O26" t="str">
            <v>ANG</v>
          </cell>
          <cell r="P26" t="str">
            <v>5,0%</v>
          </cell>
          <cell r="R26">
            <v>100</v>
          </cell>
        </row>
        <row r="27">
          <cell r="B27">
            <v>40452</v>
          </cell>
          <cell r="C27">
            <v>2018</v>
          </cell>
          <cell r="E27" t="str">
            <v>09-19</v>
          </cell>
          <cell r="H27" t="str">
            <v>BAHAMAS</v>
          </cell>
          <cell r="J27" t="str">
            <v>-</v>
          </cell>
          <cell r="L27">
            <v>0.10500000000000004</v>
          </cell>
          <cell r="M27">
            <v>-4.9999999999999996E-2</v>
          </cell>
          <cell r="N27">
            <v>0.5</v>
          </cell>
          <cell r="O27" t="str">
            <v>AOA</v>
          </cell>
          <cell r="R27">
            <v>110</v>
          </cell>
        </row>
        <row r="28">
          <cell r="B28">
            <v>40483</v>
          </cell>
          <cell r="C28">
            <v>2019</v>
          </cell>
          <cell r="E28" t="str">
            <v>09-20</v>
          </cell>
          <cell r="H28" t="str">
            <v>BAHRAIN</v>
          </cell>
          <cell r="J28" t="str">
            <v>UK</v>
          </cell>
          <cell r="L28">
            <v>0.11000000000000004</v>
          </cell>
          <cell r="M28">
            <v>-4.5000000000000005E-2</v>
          </cell>
          <cell r="O28" t="str">
            <v>ARS</v>
          </cell>
          <cell r="R28">
            <v>120</v>
          </cell>
        </row>
        <row r="29">
          <cell r="B29">
            <v>40513</v>
          </cell>
          <cell r="C29">
            <v>2020</v>
          </cell>
          <cell r="E29" t="str">
            <v>09-21</v>
          </cell>
          <cell r="H29" t="str">
            <v>BANGLADESH</v>
          </cell>
          <cell r="J29" t="str">
            <v>CHINA</v>
          </cell>
          <cell r="L29">
            <v>0.11500000000000005</v>
          </cell>
          <cell r="M29">
            <v>-4.0000000000000015E-2</v>
          </cell>
          <cell r="O29" t="str">
            <v>AUD</v>
          </cell>
          <cell r="R29">
            <v>130</v>
          </cell>
        </row>
        <row r="30">
          <cell r="B30">
            <v>40544</v>
          </cell>
          <cell r="C30">
            <v>2021</v>
          </cell>
          <cell r="E30" t="str">
            <v>09-22</v>
          </cell>
          <cell r="H30" t="str">
            <v>BARBADIA</v>
          </cell>
          <cell r="J30" t="str">
            <v>FRANCE</v>
          </cell>
          <cell r="L30">
            <v>0.12000000000000005</v>
          </cell>
          <cell r="M30">
            <v>-3.5000000000000017E-2</v>
          </cell>
          <cell r="O30" t="str">
            <v>AWG</v>
          </cell>
          <cell r="R30">
            <v>140</v>
          </cell>
        </row>
        <row r="31">
          <cell r="B31">
            <v>40575</v>
          </cell>
          <cell r="C31">
            <v>2022</v>
          </cell>
          <cell r="E31" t="str">
            <v>09-23</v>
          </cell>
          <cell r="H31" t="str">
            <v>BELARUSSIA</v>
          </cell>
          <cell r="J31" t="str">
            <v>USA</v>
          </cell>
          <cell r="L31">
            <v>0.12500000000000006</v>
          </cell>
          <cell r="M31">
            <v>-3.0000000000000016E-2</v>
          </cell>
          <cell r="O31" t="str">
            <v>AZN</v>
          </cell>
          <cell r="R31">
            <v>150</v>
          </cell>
        </row>
        <row r="32">
          <cell r="B32">
            <v>40603</v>
          </cell>
          <cell r="C32">
            <v>2023</v>
          </cell>
          <cell r="E32" t="str">
            <v>09-24</v>
          </cell>
          <cell r="H32" t="str">
            <v>BELIZA</v>
          </cell>
          <cell r="J32" t="str">
            <v>UNITED ARAB EMIRATES</v>
          </cell>
          <cell r="L32">
            <v>0.13000000000000006</v>
          </cell>
          <cell r="M32">
            <v>-2.5000000000000015E-2</v>
          </cell>
          <cell r="O32" t="str">
            <v>BAM</v>
          </cell>
          <cell r="R32">
            <v>160</v>
          </cell>
        </row>
        <row r="33">
          <cell r="B33">
            <v>40634</v>
          </cell>
          <cell r="C33">
            <v>2024</v>
          </cell>
          <cell r="E33" t="str">
            <v>09-25</v>
          </cell>
          <cell r="H33" t="str">
            <v>BERMUDA</v>
          </cell>
          <cell r="J33" t="str">
            <v>BARBADIA</v>
          </cell>
          <cell r="L33">
            <v>0.13500000000000006</v>
          </cell>
          <cell r="M33">
            <v>-2.0000000000000011E-2</v>
          </cell>
          <cell r="O33" t="str">
            <v>BBD</v>
          </cell>
          <cell r="R33">
            <v>170</v>
          </cell>
        </row>
        <row r="34">
          <cell r="B34">
            <v>40664</v>
          </cell>
          <cell r="C34">
            <v>2025</v>
          </cell>
          <cell r="E34" t="str">
            <v>09-26</v>
          </cell>
          <cell r="H34" t="str">
            <v>BHUTAN</v>
          </cell>
          <cell r="J34" t="str">
            <v>ANGOLA</v>
          </cell>
          <cell r="L34">
            <v>0.14000000000000007</v>
          </cell>
          <cell r="M34">
            <v>-1.5000000000000006E-2</v>
          </cell>
          <cell r="O34" t="str">
            <v>BDT</v>
          </cell>
          <cell r="R34">
            <v>180</v>
          </cell>
        </row>
        <row r="35">
          <cell r="B35">
            <v>40695</v>
          </cell>
          <cell r="E35" t="str">
            <v>09-27</v>
          </cell>
          <cell r="H35" t="str">
            <v>BIRMANIA</v>
          </cell>
          <cell r="J35" t="str">
            <v>ARMENIA</v>
          </cell>
          <cell r="L35">
            <v>0.14500000000000007</v>
          </cell>
          <cell r="M35">
            <v>-1.0000000000000005E-2</v>
          </cell>
          <cell r="O35" t="str">
            <v>BGN</v>
          </cell>
          <cell r="R35">
            <v>190</v>
          </cell>
        </row>
        <row r="36">
          <cell r="B36">
            <v>40725</v>
          </cell>
          <cell r="E36" t="str">
            <v>09-28</v>
          </cell>
          <cell r="H36" t="str">
            <v>BOLIVIA</v>
          </cell>
          <cell r="J36" t="str">
            <v>ALBANY</v>
          </cell>
          <cell r="L36">
            <v>0.15000000000000008</v>
          </cell>
          <cell r="M36">
            <v>-5.0000000000000036E-3</v>
          </cell>
          <cell r="O36" t="str">
            <v>BHD</v>
          </cell>
          <cell r="R36">
            <v>200</v>
          </cell>
        </row>
        <row r="37">
          <cell r="B37">
            <v>40756</v>
          </cell>
          <cell r="E37" t="str">
            <v>09-29</v>
          </cell>
          <cell r="H37" t="str">
            <v>BOSNIA HERZEGOVIN</v>
          </cell>
          <cell r="J37" t="str">
            <v>BAHRAIN</v>
          </cell>
          <cell r="L37">
            <v>0.15500000000000008</v>
          </cell>
          <cell r="M37">
            <v>0</v>
          </cell>
          <cell r="O37" t="str">
            <v>BIF</v>
          </cell>
        </row>
        <row r="38">
          <cell r="B38">
            <v>40787</v>
          </cell>
          <cell r="E38" t="str">
            <v>09-30</v>
          </cell>
          <cell r="H38" t="str">
            <v>BOTSWANA</v>
          </cell>
          <cell r="J38" t="str">
            <v>BURUNDI</v>
          </cell>
          <cell r="L38">
            <v>0.16000000000000009</v>
          </cell>
          <cell r="M38">
            <v>5.0000000000000001E-3</v>
          </cell>
          <cell r="O38" t="str">
            <v>BMD</v>
          </cell>
        </row>
        <row r="39">
          <cell r="B39">
            <v>40817</v>
          </cell>
          <cell r="E39" t="str">
            <v>10-11</v>
          </cell>
          <cell r="H39" t="str">
            <v>BRAZIL</v>
          </cell>
          <cell r="J39" t="str">
            <v>AUSTRALIA</v>
          </cell>
          <cell r="L39">
            <v>0.16500000000000006</v>
          </cell>
          <cell r="M39">
            <v>0.01</v>
          </cell>
          <cell r="O39" t="str">
            <v>BND</v>
          </cell>
        </row>
        <row r="40">
          <cell r="B40">
            <v>40848</v>
          </cell>
          <cell r="E40" t="str">
            <v>10-12</v>
          </cell>
          <cell r="H40" t="str">
            <v>BRUNEI</v>
          </cell>
          <cell r="J40" t="str">
            <v>BANGLADESH</v>
          </cell>
          <cell r="L40">
            <v>0.17000000000000007</v>
          </cell>
          <cell r="M40">
            <v>1.4999999999999999E-2</v>
          </cell>
          <cell r="O40" t="str">
            <v>BOB</v>
          </cell>
        </row>
        <row r="41">
          <cell r="B41">
            <v>40878</v>
          </cell>
          <cell r="E41" t="str">
            <v>10-13</v>
          </cell>
          <cell r="H41" t="str">
            <v>BULGARIA</v>
          </cell>
          <cell r="J41" t="str">
            <v>LIBERIA</v>
          </cell>
          <cell r="L41">
            <v>0.17500000000000007</v>
          </cell>
          <cell r="M41">
            <v>0.02</v>
          </cell>
          <cell r="O41" t="str">
            <v>BRL</v>
          </cell>
        </row>
        <row r="42">
          <cell r="B42">
            <v>40909</v>
          </cell>
          <cell r="E42" t="str">
            <v>10-14</v>
          </cell>
          <cell r="H42" t="str">
            <v>BURUNDI</v>
          </cell>
          <cell r="J42" t="str">
            <v>AZERBAIDJAN</v>
          </cell>
          <cell r="L42">
            <v>0.18000000000000008</v>
          </cell>
          <cell r="M42">
            <v>2.5000000000000001E-2</v>
          </cell>
          <cell r="O42" t="str">
            <v>BSD</v>
          </cell>
        </row>
        <row r="43">
          <cell r="B43">
            <v>40940</v>
          </cell>
          <cell r="E43" t="str">
            <v>10-15</v>
          </cell>
          <cell r="H43" t="str">
            <v>CAMBODIA</v>
          </cell>
          <cell r="J43" t="str">
            <v>AFGHANISTAN</v>
          </cell>
          <cell r="L43">
            <v>0.18500000000000008</v>
          </cell>
          <cell r="M43">
            <v>3.0000000000000002E-2</v>
          </cell>
          <cell r="O43" t="str">
            <v>BTN</v>
          </cell>
        </row>
        <row r="44">
          <cell r="B44">
            <v>40969</v>
          </cell>
          <cell r="E44" t="str">
            <v>10-16</v>
          </cell>
          <cell r="H44" t="str">
            <v>CANADA</v>
          </cell>
          <cell r="J44" t="str">
            <v>BULGARIA</v>
          </cell>
          <cell r="L44">
            <v>0.19000000000000009</v>
          </cell>
          <cell r="M44">
            <v>3.5000000000000003E-2</v>
          </cell>
          <cell r="O44" t="str">
            <v>BWP</v>
          </cell>
        </row>
        <row r="45">
          <cell r="B45">
            <v>41000</v>
          </cell>
          <cell r="E45" t="str">
            <v>10-17</v>
          </cell>
          <cell r="H45" t="str">
            <v>CAP VERDE</v>
          </cell>
          <cell r="J45" t="str">
            <v>BOSNIA HERZEGOVIN</v>
          </cell>
          <cell r="L45">
            <v>0.19500000000000006</v>
          </cell>
          <cell r="M45">
            <v>0.04</v>
          </cell>
          <cell r="O45" t="str">
            <v>BYR</v>
          </cell>
        </row>
        <row r="46">
          <cell r="B46">
            <v>41030</v>
          </cell>
          <cell r="E46" t="str">
            <v>10-18</v>
          </cell>
          <cell r="H46" t="str">
            <v>CAYMAN ISLAND</v>
          </cell>
          <cell r="J46" t="str">
            <v xml:space="preserve"> -</v>
          </cell>
          <cell r="L46">
            <v>0.20000000000000007</v>
          </cell>
          <cell r="M46">
            <v>4.4999999999999998E-2</v>
          </cell>
          <cell r="O46" t="str">
            <v>BZD</v>
          </cell>
        </row>
        <row r="47">
          <cell r="B47">
            <v>41061</v>
          </cell>
          <cell r="E47" t="str">
            <v>10-19</v>
          </cell>
          <cell r="H47" t="str">
            <v>CHILI</v>
          </cell>
          <cell r="J47" t="str">
            <v>DUTCH ANTILLS</v>
          </cell>
          <cell r="L47">
            <v>0.20500000000000007</v>
          </cell>
          <cell r="M47">
            <v>4.9999999999999996E-2</v>
          </cell>
          <cell r="O47" t="str">
            <v>CAD</v>
          </cell>
        </row>
        <row r="48">
          <cell r="B48">
            <v>41091</v>
          </cell>
          <cell r="E48" t="str">
            <v>10-20</v>
          </cell>
          <cell r="H48" t="str">
            <v>CHINA</v>
          </cell>
          <cell r="J48" t="str">
            <v>ARGENTINA</v>
          </cell>
          <cell r="L48">
            <v>0.21000000000000008</v>
          </cell>
          <cell r="M48">
            <v>5.5E-2</v>
          </cell>
          <cell r="O48" t="str">
            <v>CDF</v>
          </cell>
        </row>
        <row r="49">
          <cell r="B49">
            <v>41122</v>
          </cell>
          <cell r="E49" t="str">
            <v>10-21</v>
          </cell>
          <cell r="H49" t="str">
            <v>COLOMBIA</v>
          </cell>
          <cell r="J49" t="str">
            <v>INDIA</v>
          </cell>
          <cell r="L49">
            <v>0.21500000000000008</v>
          </cell>
          <cell r="M49">
            <v>0.06</v>
          </cell>
          <cell r="O49" t="str">
            <v>CHF</v>
          </cell>
        </row>
        <row r="50">
          <cell r="B50">
            <v>41153</v>
          </cell>
          <cell r="E50" t="str">
            <v>10-22</v>
          </cell>
          <cell r="H50" t="str">
            <v>COMOR</v>
          </cell>
          <cell r="J50" t="str">
            <v>BERMUDA</v>
          </cell>
          <cell r="L50">
            <v>0.22000000000000008</v>
          </cell>
          <cell r="M50">
            <v>6.5000000000000002E-2</v>
          </cell>
          <cell r="O50" t="str">
            <v>CLP</v>
          </cell>
        </row>
        <row r="51">
          <cell r="B51">
            <v>41183</v>
          </cell>
          <cell r="E51" t="str">
            <v>10-23</v>
          </cell>
          <cell r="H51" t="str">
            <v>COSTA RICA</v>
          </cell>
          <cell r="J51" t="str">
            <v>BELIZA</v>
          </cell>
          <cell r="L51">
            <v>0.22500000000000009</v>
          </cell>
          <cell r="M51">
            <v>7.0000000000000007E-2</v>
          </cell>
          <cell r="O51" t="str">
            <v>CNY</v>
          </cell>
        </row>
        <row r="52">
          <cell r="B52">
            <v>41214</v>
          </cell>
          <cell r="E52" t="str">
            <v>10-24</v>
          </cell>
          <cell r="H52" t="str">
            <v>CROATIA</v>
          </cell>
          <cell r="J52" t="str">
            <v>JORDANIA</v>
          </cell>
          <cell r="L52">
            <v>0.23000000000000007</v>
          </cell>
          <cell r="M52">
            <v>7.5000000000000011E-2</v>
          </cell>
          <cell r="O52" t="str">
            <v>COP</v>
          </cell>
        </row>
        <row r="53">
          <cell r="B53">
            <v>41244</v>
          </cell>
          <cell r="E53" t="str">
            <v>10-25</v>
          </cell>
          <cell r="H53" t="str">
            <v>CUBA</v>
          </cell>
          <cell r="J53" t="str">
            <v>BRAZIL</v>
          </cell>
          <cell r="L53">
            <v>0.23500000000000007</v>
          </cell>
          <cell r="M53">
            <v>8.0000000000000016E-2</v>
          </cell>
          <cell r="O53" t="str">
            <v>CRC</v>
          </cell>
        </row>
        <row r="54">
          <cell r="B54">
            <v>41275</v>
          </cell>
          <cell r="E54" t="str">
            <v>10-26</v>
          </cell>
          <cell r="H54" t="str">
            <v>CZECH REPUBLIK</v>
          </cell>
          <cell r="J54" t="str">
            <v>BAHAMAS</v>
          </cell>
          <cell r="L54">
            <v>0.24000000000000007</v>
          </cell>
          <cell r="M54">
            <v>8.500000000000002E-2</v>
          </cell>
          <cell r="O54" t="str">
            <v>CUP</v>
          </cell>
        </row>
        <row r="55">
          <cell r="B55">
            <v>41306</v>
          </cell>
          <cell r="E55" t="str">
            <v>10-27</v>
          </cell>
          <cell r="H55" t="str">
            <v>DANEMARK</v>
          </cell>
          <cell r="J55" t="str">
            <v>BHUTAN</v>
          </cell>
          <cell r="L55">
            <v>0.24500000000000008</v>
          </cell>
          <cell r="M55">
            <v>9.0000000000000024E-2</v>
          </cell>
          <cell r="O55" t="str">
            <v>CVE</v>
          </cell>
        </row>
        <row r="56">
          <cell r="B56">
            <v>41334</v>
          </cell>
          <cell r="E56" t="str">
            <v>10-28</v>
          </cell>
          <cell r="H56" t="str">
            <v>DJIBOUTI</v>
          </cell>
          <cell r="J56" t="str">
            <v>IRAK</v>
          </cell>
          <cell r="L56">
            <v>0.25000000000000006</v>
          </cell>
          <cell r="M56">
            <v>9.5000000000000029E-2</v>
          </cell>
          <cell r="O56" t="str">
            <v>CZK</v>
          </cell>
        </row>
        <row r="57">
          <cell r="B57">
            <v>41365</v>
          </cell>
          <cell r="E57" t="str">
            <v>10-29</v>
          </cell>
          <cell r="H57" t="str">
            <v>DUTCH ANTILLS</v>
          </cell>
          <cell r="J57" t="str">
            <v>BOTSWANA</v>
          </cell>
          <cell r="L57">
            <v>0.25500000000000006</v>
          </cell>
          <cell r="M57">
            <v>0.10000000000000003</v>
          </cell>
          <cell r="O57" t="str">
            <v>DJF</v>
          </cell>
        </row>
        <row r="58">
          <cell r="B58">
            <v>41395</v>
          </cell>
          <cell r="E58" t="str">
            <v>10-30</v>
          </cell>
          <cell r="H58" t="str">
            <v>ECUADOR</v>
          </cell>
          <cell r="J58" t="str">
            <v>GEROGIA</v>
          </cell>
          <cell r="L58">
            <v>0.26000000000000006</v>
          </cell>
          <cell r="M58">
            <v>0.10500000000000004</v>
          </cell>
          <cell r="O58" t="str">
            <v>DKK</v>
          </cell>
        </row>
        <row r="59">
          <cell r="B59">
            <v>41426</v>
          </cell>
          <cell r="E59" t="str">
            <v>11-12</v>
          </cell>
          <cell r="H59" t="str">
            <v>EGYPT</v>
          </cell>
          <cell r="J59" t="str">
            <v>BELARUSSIA</v>
          </cell>
          <cell r="L59">
            <v>0.26500000000000007</v>
          </cell>
          <cell r="O59" t="str">
            <v>DOP</v>
          </cell>
        </row>
        <row r="60">
          <cell r="B60">
            <v>41456</v>
          </cell>
          <cell r="E60" t="str">
            <v>11-13</v>
          </cell>
          <cell r="H60" t="str">
            <v>EL SALVADOR</v>
          </cell>
          <cell r="J60" t="str">
            <v>CANADA</v>
          </cell>
          <cell r="L60">
            <v>0.27000000000000007</v>
          </cell>
          <cell r="O60" t="str">
            <v>DZD</v>
          </cell>
        </row>
        <row r="61">
          <cell r="B61">
            <v>41487</v>
          </cell>
          <cell r="E61" t="str">
            <v>11-14</v>
          </cell>
          <cell r="H61" t="str">
            <v>ERITHREA</v>
          </cell>
          <cell r="J61" t="str">
            <v>SWITZERLAND</v>
          </cell>
          <cell r="L61">
            <v>0.27500000000000008</v>
          </cell>
          <cell r="O61" t="str">
            <v>ECD</v>
          </cell>
        </row>
        <row r="62">
          <cell r="B62">
            <v>41518</v>
          </cell>
          <cell r="E62" t="str">
            <v>11-15</v>
          </cell>
          <cell r="H62" t="str">
            <v>ESTONIA</v>
          </cell>
          <cell r="J62" t="str">
            <v>FRENCH CONGO</v>
          </cell>
          <cell r="L62">
            <v>0.28000000000000008</v>
          </cell>
          <cell r="O62" t="str">
            <v>EEK</v>
          </cell>
        </row>
        <row r="63">
          <cell r="B63">
            <v>41548</v>
          </cell>
          <cell r="E63" t="str">
            <v>11-16</v>
          </cell>
          <cell r="H63" t="str">
            <v>ETHIOPIA</v>
          </cell>
          <cell r="J63" t="str">
            <v>-</v>
          </cell>
          <cell r="L63">
            <v>0.28500000000000009</v>
          </cell>
          <cell r="O63" t="str">
            <v>EGP</v>
          </cell>
        </row>
        <row r="64">
          <cell r="B64">
            <v>41579</v>
          </cell>
          <cell r="E64" t="str">
            <v>11-17</v>
          </cell>
          <cell r="H64" t="str">
            <v>FALKLAND</v>
          </cell>
          <cell r="J64" t="str">
            <v>COLOMBIA</v>
          </cell>
          <cell r="L64">
            <v>0.29000000000000009</v>
          </cell>
          <cell r="O64" t="str">
            <v>ERN</v>
          </cell>
        </row>
        <row r="65">
          <cell r="B65">
            <v>41609</v>
          </cell>
          <cell r="E65" t="str">
            <v>11-18</v>
          </cell>
          <cell r="H65" t="str">
            <v>FIDJI</v>
          </cell>
          <cell r="J65" t="str">
            <v>CUBA</v>
          </cell>
          <cell r="L65">
            <v>0.2950000000000001</v>
          </cell>
          <cell r="O65" t="str">
            <v>ETB</v>
          </cell>
        </row>
        <row r="66">
          <cell r="E66" t="str">
            <v>11-19</v>
          </cell>
          <cell r="H66" t="str">
            <v>FRANCE</v>
          </cell>
          <cell r="J66" t="str">
            <v>SAOLOMON</v>
          </cell>
          <cell r="L66">
            <v>0.3000000000000001</v>
          </cell>
          <cell r="O66" t="str">
            <v>FJD</v>
          </cell>
        </row>
        <row r="67">
          <cell r="E67" t="str">
            <v>11-20</v>
          </cell>
          <cell r="H67" t="str">
            <v>FRENCH CONGO</v>
          </cell>
          <cell r="J67" t="str">
            <v>CAP VERDE</v>
          </cell>
          <cell r="L67">
            <v>0.3050000000000001</v>
          </cell>
          <cell r="O67" t="str">
            <v>FKP</v>
          </cell>
        </row>
        <row r="68">
          <cell r="E68" t="str">
            <v>11-21</v>
          </cell>
          <cell r="H68" t="str">
            <v>GAMBIA</v>
          </cell>
          <cell r="J68" t="str">
            <v>COSTA RICA</v>
          </cell>
          <cell r="L68">
            <v>0.31000000000000011</v>
          </cell>
          <cell r="O68" t="str">
            <v>GEL</v>
          </cell>
        </row>
        <row r="69">
          <cell r="E69" t="str">
            <v>11-22</v>
          </cell>
          <cell r="H69" t="str">
            <v>GERMANY</v>
          </cell>
          <cell r="J69" t="str">
            <v>CZECH REPUBLIK</v>
          </cell>
          <cell r="L69">
            <v>0.31500000000000011</v>
          </cell>
          <cell r="O69" t="str">
            <v>GHS</v>
          </cell>
        </row>
        <row r="70">
          <cell r="E70" t="str">
            <v>11-23</v>
          </cell>
          <cell r="H70" t="str">
            <v>GEROGIA</v>
          </cell>
          <cell r="J70" t="str">
            <v>DANEMARK</v>
          </cell>
          <cell r="L70">
            <v>0.32000000000000012</v>
          </cell>
          <cell r="O70" t="str">
            <v>GIP</v>
          </cell>
        </row>
        <row r="71">
          <cell r="E71" t="str">
            <v>11-24</v>
          </cell>
          <cell r="H71" t="str">
            <v>GHANA</v>
          </cell>
          <cell r="J71" t="str">
            <v>DJIBOUTI</v>
          </cell>
          <cell r="L71">
            <v>0.32500000000000012</v>
          </cell>
          <cell r="O71" t="str">
            <v>GMD</v>
          </cell>
        </row>
        <row r="72">
          <cell r="E72" t="str">
            <v>11-25</v>
          </cell>
          <cell r="H72" t="str">
            <v>GIBRALTAR</v>
          </cell>
          <cell r="J72" t="str">
            <v>BRUNEI</v>
          </cell>
          <cell r="L72">
            <v>0.33000000000000013</v>
          </cell>
          <cell r="O72" t="str">
            <v>GNF</v>
          </cell>
        </row>
        <row r="73">
          <cell r="E73" t="str">
            <v>11-26</v>
          </cell>
          <cell r="H73" t="str">
            <v>GUATEMALA</v>
          </cell>
          <cell r="J73" t="str">
            <v>ESTONIA</v>
          </cell>
          <cell r="L73">
            <v>0.33500000000000013</v>
          </cell>
          <cell r="O73" t="str">
            <v>GTQ</v>
          </cell>
        </row>
        <row r="74">
          <cell r="E74" t="str">
            <v>11-27</v>
          </cell>
          <cell r="H74" t="str">
            <v>GUINEA</v>
          </cell>
          <cell r="J74" t="str">
            <v>REPUBLIC OF DOMENICA</v>
          </cell>
          <cell r="L74">
            <v>0.34000000000000014</v>
          </cell>
          <cell r="O74" t="str">
            <v>GYD</v>
          </cell>
        </row>
        <row r="75">
          <cell r="E75" t="str">
            <v>11-28</v>
          </cell>
          <cell r="H75" t="str">
            <v>GUYANA</v>
          </cell>
          <cell r="J75" t="str">
            <v>ALGERIA</v>
          </cell>
          <cell r="L75">
            <v>0.34500000000000014</v>
          </cell>
          <cell r="O75" t="str">
            <v>HKD</v>
          </cell>
        </row>
        <row r="76">
          <cell r="E76" t="str">
            <v>11-29</v>
          </cell>
          <cell r="H76" t="str">
            <v>HAITI</v>
          </cell>
          <cell r="J76" t="str">
            <v>ECUADOR</v>
          </cell>
          <cell r="L76">
            <v>0.35000000000000014</v>
          </cell>
          <cell r="O76" t="str">
            <v>HNL</v>
          </cell>
        </row>
        <row r="77">
          <cell r="E77" t="str">
            <v>11-30</v>
          </cell>
          <cell r="H77" t="str">
            <v>HONDURAS</v>
          </cell>
          <cell r="J77" t="str">
            <v>ERITHREA</v>
          </cell>
          <cell r="L77">
            <v>0.35500000000000015</v>
          </cell>
          <cell r="O77" t="str">
            <v>HRK</v>
          </cell>
        </row>
        <row r="78">
          <cell r="E78" t="str">
            <v>12-13</v>
          </cell>
          <cell r="H78" t="str">
            <v>HONG KONG</v>
          </cell>
          <cell r="J78" t="str">
            <v>EGYPT</v>
          </cell>
          <cell r="L78">
            <v>0.36000000000000015</v>
          </cell>
          <cell r="O78" t="str">
            <v>HTG</v>
          </cell>
        </row>
        <row r="79">
          <cell r="E79" t="str">
            <v>12-14</v>
          </cell>
          <cell r="H79" t="str">
            <v>HUNGARY</v>
          </cell>
          <cell r="J79" t="str">
            <v>ETHIOPIA</v>
          </cell>
          <cell r="O79" t="str">
            <v>HUF</v>
          </cell>
        </row>
        <row r="80">
          <cell r="E80" t="str">
            <v>12-15</v>
          </cell>
          <cell r="H80" t="str">
            <v>ICELAND</v>
          </cell>
          <cell r="J80" t="str">
            <v>GHANA</v>
          </cell>
          <cell r="O80" t="str">
            <v>IDR</v>
          </cell>
        </row>
        <row r="81">
          <cell r="E81" t="str">
            <v>12-16</v>
          </cell>
          <cell r="H81" t="str">
            <v>INDIA</v>
          </cell>
          <cell r="J81" t="str">
            <v>FALKLAND</v>
          </cell>
          <cell r="O81" t="str">
            <v>ILS</v>
          </cell>
        </row>
        <row r="82">
          <cell r="E82" t="str">
            <v>12-17</v>
          </cell>
          <cell r="H82" t="str">
            <v>INDONESIA</v>
          </cell>
          <cell r="J82" t="str">
            <v>FIDJI</v>
          </cell>
          <cell r="O82" t="str">
            <v>INR</v>
          </cell>
        </row>
        <row r="83">
          <cell r="E83" t="str">
            <v>12-18</v>
          </cell>
          <cell r="H83" t="str">
            <v>IRAK</v>
          </cell>
          <cell r="J83" t="str">
            <v>GIBRALTAR</v>
          </cell>
          <cell r="O83" t="str">
            <v>IQD</v>
          </cell>
        </row>
        <row r="84">
          <cell r="E84" t="str">
            <v>12-19</v>
          </cell>
          <cell r="H84" t="str">
            <v>IRAN</v>
          </cell>
          <cell r="J84" t="str">
            <v>HONDURAS</v>
          </cell>
          <cell r="O84" t="str">
            <v>IRR</v>
          </cell>
        </row>
        <row r="85">
          <cell r="E85" t="str">
            <v>12-20</v>
          </cell>
          <cell r="H85" t="str">
            <v>ISRAEL</v>
          </cell>
          <cell r="J85" t="str">
            <v>GUATEMALA</v>
          </cell>
          <cell r="O85" t="str">
            <v>ISK</v>
          </cell>
        </row>
        <row r="86">
          <cell r="E86" t="str">
            <v>12-21</v>
          </cell>
          <cell r="H86" t="str">
            <v>JAMAICA</v>
          </cell>
          <cell r="J86" t="str">
            <v>GAMBIA</v>
          </cell>
          <cell r="O86" t="str">
            <v>JMD</v>
          </cell>
        </row>
        <row r="87">
          <cell r="E87" t="str">
            <v>12-22</v>
          </cell>
          <cell r="H87" t="str">
            <v>JAPAN</v>
          </cell>
          <cell r="J87" t="str">
            <v>GUYANA</v>
          </cell>
          <cell r="O87" t="str">
            <v>JOD</v>
          </cell>
        </row>
        <row r="88">
          <cell r="E88" t="str">
            <v>12-23</v>
          </cell>
          <cell r="H88" t="str">
            <v>JORDANIA</v>
          </cell>
          <cell r="J88" t="str">
            <v>HONG KONG</v>
          </cell>
          <cell r="O88" t="str">
            <v>JPY</v>
          </cell>
        </row>
        <row r="89">
          <cell r="E89" t="str">
            <v>12-24</v>
          </cell>
          <cell r="H89" t="str">
            <v>KAZACHSTAN</v>
          </cell>
          <cell r="J89" t="str">
            <v>GUINEA</v>
          </cell>
          <cell r="O89" t="str">
            <v>KES</v>
          </cell>
        </row>
        <row r="90">
          <cell r="E90" t="str">
            <v>12-25</v>
          </cell>
          <cell r="H90" t="str">
            <v>KENYA</v>
          </cell>
          <cell r="J90" t="str">
            <v>CROATIA</v>
          </cell>
          <cell r="O90" t="str">
            <v>KGS</v>
          </cell>
        </row>
        <row r="91">
          <cell r="E91" t="str">
            <v>12-26</v>
          </cell>
          <cell r="H91" t="str">
            <v>KIRGHISTAN</v>
          </cell>
          <cell r="J91" t="str">
            <v>HUNGARY</v>
          </cell>
          <cell r="O91" t="str">
            <v>KHR</v>
          </cell>
        </row>
        <row r="92">
          <cell r="E92" t="str">
            <v>12-27</v>
          </cell>
          <cell r="H92" t="str">
            <v>KUWAIT</v>
          </cell>
          <cell r="J92" t="str">
            <v>HAITI</v>
          </cell>
          <cell r="O92" t="str">
            <v>KMF</v>
          </cell>
        </row>
        <row r="93">
          <cell r="E93" t="str">
            <v>12-28</v>
          </cell>
          <cell r="H93" t="str">
            <v>LAOS</v>
          </cell>
          <cell r="J93" t="str">
            <v>JAPAN</v>
          </cell>
          <cell r="O93" t="str">
            <v>KPW</v>
          </cell>
        </row>
        <row r="94">
          <cell r="E94" t="str">
            <v>12-29</v>
          </cell>
          <cell r="H94" t="str">
            <v>LATVIA</v>
          </cell>
          <cell r="J94" t="str">
            <v>INDONESIA</v>
          </cell>
          <cell r="O94" t="str">
            <v>KRW</v>
          </cell>
        </row>
        <row r="95">
          <cell r="E95" t="str">
            <v>12-30</v>
          </cell>
          <cell r="H95" t="str">
            <v>LEBANON</v>
          </cell>
          <cell r="J95" t="str">
            <v>ISRAEL</v>
          </cell>
          <cell r="O95" t="str">
            <v>KWD</v>
          </cell>
        </row>
        <row r="96">
          <cell r="E96" t="str">
            <v>13-14</v>
          </cell>
          <cell r="H96" t="str">
            <v>LESOTAN</v>
          </cell>
          <cell r="J96" t="str">
            <v>JAMAICA</v>
          </cell>
          <cell r="O96" t="str">
            <v>KYD</v>
          </cell>
        </row>
        <row r="97">
          <cell r="E97" t="str">
            <v>13-15</v>
          </cell>
          <cell r="H97" t="str">
            <v>LIBERIA</v>
          </cell>
          <cell r="J97" t="str">
            <v>KENYA</v>
          </cell>
          <cell r="O97" t="str">
            <v>KZT</v>
          </cell>
        </row>
        <row r="98">
          <cell r="E98" t="str">
            <v>13-16</v>
          </cell>
          <cell r="H98" t="str">
            <v>LITHUANUA</v>
          </cell>
          <cell r="J98" t="str">
            <v>KUWAIT</v>
          </cell>
          <cell r="O98" t="str">
            <v>LAK</v>
          </cell>
        </row>
        <row r="99">
          <cell r="E99" t="str">
            <v>13-17</v>
          </cell>
          <cell r="H99" t="str">
            <v>LYBIA</v>
          </cell>
          <cell r="J99" t="str">
            <v>KIRGHISTAN</v>
          </cell>
          <cell r="O99" t="str">
            <v>LBP</v>
          </cell>
        </row>
        <row r="100">
          <cell r="E100" t="str">
            <v>13-18</v>
          </cell>
          <cell r="H100" t="str">
            <v>MACAU</v>
          </cell>
          <cell r="J100" t="str">
            <v>NOTH KOREA</v>
          </cell>
          <cell r="O100" t="str">
            <v>LKR</v>
          </cell>
        </row>
        <row r="101">
          <cell r="E101" t="str">
            <v>13-19</v>
          </cell>
          <cell r="H101" t="str">
            <v>MACEDONIA</v>
          </cell>
          <cell r="J101" t="str">
            <v>COMOR</v>
          </cell>
          <cell r="O101" t="str">
            <v>LRD</v>
          </cell>
        </row>
        <row r="102">
          <cell r="E102" t="str">
            <v>13-20</v>
          </cell>
          <cell r="H102" t="str">
            <v>MALAGAS</v>
          </cell>
          <cell r="J102" t="str">
            <v>SOUTH KOREA</v>
          </cell>
          <cell r="O102" t="str">
            <v>LSL</v>
          </cell>
        </row>
        <row r="103">
          <cell r="E103" t="str">
            <v>13-21</v>
          </cell>
          <cell r="H103" t="str">
            <v>MALAWI</v>
          </cell>
          <cell r="J103" t="str">
            <v>CAYMAN ISLAND</v>
          </cell>
          <cell r="O103" t="str">
            <v>LTL</v>
          </cell>
        </row>
        <row r="104">
          <cell r="E104" t="str">
            <v>13-22</v>
          </cell>
          <cell r="H104" t="str">
            <v>MALAYSIA</v>
          </cell>
          <cell r="J104" t="str">
            <v>LITHUANUA</v>
          </cell>
          <cell r="O104" t="str">
            <v>LVL</v>
          </cell>
        </row>
        <row r="105">
          <cell r="E105" t="str">
            <v>13-23</v>
          </cell>
          <cell r="H105" t="str">
            <v>MALDIVES</v>
          </cell>
          <cell r="J105" t="str">
            <v>SRILANKA</v>
          </cell>
          <cell r="O105" t="str">
            <v>LYD</v>
          </cell>
        </row>
        <row r="106">
          <cell r="E106" t="str">
            <v>13-24</v>
          </cell>
          <cell r="H106" t="str">
            <v>MAURETANIA</v>
          </cell>
          <cell r="J106" t="str">
            <v>LEBANON</v>
          </cell>
          <cell r="O106" t="str">
            <v>MAD</v>
          </cell>
        </row>
        <row r="107">
          <cell r="E107" t="str">
            <v>13-25</v>
          </cell>
          <cell r="H107" t="str">
            <v>MAURITIUS</v>
          </cell>
          <cell r="J107" t="str">
            <v>MOLDAVIA</v>
          </cell>
          <cell r="O107" t="str">
            <v>MDL</v>
          </cell>
        </row>
        <row r="108">
          <cell r="E108" t="str">
            <v>13-26</v>
          </cell>
          <cell r="H108" t="str">
            <v>MEXICO</v>
          </cell>
          <cell r="J108" t="str">
            <v>MACEDONIA</v>
          </cell>
          <cell r="O108" t="str">
            <v>MGA</v>
          </cell>
        </row>
        <row r="109">
          <cell r="E109" t="str">
            <v>13-27</v>
          </cell>
          <cell r="H109" t="str">
            <v>MOLDAVIA</v>
          </cell>
          <cell r="J109" t="str">
            <v>MOROCCO</v>
          </cell>
          <cell r="O109" t="str">
            <v>MKD</v>
          </cell>
        </row>
        <row r="110">
          <cell r="E110" t="str">
            <v>13-28</v>
          </cell>
          <cell r="H110" t="str">
            <v>MOROCCO</v>
          </cell>
          <cell r="J110" t="str">
            <v>LATVIA</v>
          </cell>
          <cell r="O110" t="str">
            <v>MMK</v>
          </cell>
        </row>
        <row r="111">
          <cell r="E111" t="str">
            <v>13-29</v>
          </cell>
          <cell r="H111" t="str">
            <v>MOZAMBIQUE</v>
          </cell>
          <cell r="J111" t="str">
            <v>LYBIA</v>
          </cell>
          <cell r="O111" t="str">
            <v>MNT</v>
          </cell>
        </row>
        <row r="112">
          <cell r="E112" t="str">
            <v>13-30</v>
          </cell>
          <cell r="H112" t="str">
            <v>MYANMAR</v>
          </cell>
          <cell r="J112" t="str">
            <v>MALAGAS</v>
          </cell>
          <cell r="O112" t="str">
            <v>MOP</v>
          </cell>
        </row>
        <row r="113">
          <cell r="E113" t="str">
            <v>14-15</v>
          </cell>
          <cell r="H113" t="str">
            <v>NAMIBIE</v>
          </cell>
          <cell r="J113" t="str">
            <v>LAOS</v>
          </cell>
          <cell r="O113" t="str">
            <v>MRO</v>
          </cell>
        </row>
        <row r="114">
          <cell r="E114" t="str">
            <v>14-16</v>
          </cell>
          <cell r="H114" t="str">
            <v>NEPAL</v>
          </cell>
          <cell r="J114" t="str">
            <v>KAZACHSTAN</v>
          </cell>
          <cell r="O114" t="str">
            <v>MUR</v>
          </cell>
        </row>
        <row r="115">
          <cell r="E115" t="str">
            <v>14-17</v>
          </cell>
          <cell r="H115" t="str">
            <v>NEW ZEALAND</v>
          </cell>
          <cell r="J115" t="str">
            <v>BIRMANIA</v>
          </cell>
          <cell r="O115" t="str">
            <v>MVR</v>
          </cell>
        </row>
        <row r="116">
          <cell r="E116" t="str">
            <v>14-18</v>
          </cell>
          <cell r="H116" t="str">
            <v>NICARAGUA</v>
          </cell>
          <cell r="J116" t="str">
            <v>LESOTAN</v>
          </cell>
          <cell r="O116" t="str">
            <v>MWK</v>
          </cell>
        </row>
        <row r="117">
          <cell r="E117" t="str">
            <v>14-19</v>
          </cell>
          <cell r="H117" t="str">
            <v>NIGERIA</v>
          </cell>
          <cell r="J117" t="str">
            <v>MYANMAR</v>
          </cell>
          <cell r="O117" t="str">
            <v>MXN</v>
          </cell>
        </row>
        <row r="118">
          <cell r="E118" t="str">
            <v>14-20</v>
          </cell>
          <cell r="H118" t="str">
            <v>NORWAY</v>
          </cell>
          <cell r="J118" t="str">
            <v>MALDIVES</v>
          </cell>
          <cell r="O118" t="str">
            <v>MYR</v>
          </cell>
        </row>
        <row r="119">
          <cell r="E119" t="str">
            <v>14-21</v>
          </cell>
          <cell r="H119" t="str">
            <v>NOTH KOREA</v>
          </cell>
          <cell r="J119" t="str">
            <v>MALAWI</v>
          </cell>
          <cell r="O119" t="str">
            <v>MZN</v>
          </cell>
        </row>
        <row r="120">
          <cell r="E120" t="str">
            <v>14-22</v>
          </cell>
          <cell r="H120" t="str">
            <v>OMAN</v>
          </cell>
          <cell r="J120" t="str">
            <v>MAURETANIA</v>
          </cell>
          <cell r="O120" t="str">
            <v>NAD</v>
          </cell>
        </row>
        <row r="121">
          <cell r="E121" t="str">
            <v>14-23</v>
          </cell>
          <cell r="H121" t="str">
            <v>PAKISTAN</v>
          </cell>
          <cell r="J121" t="str">
            <v>MACAU</v>
          </cell>
          <cell r="O121" t="str">
            <v>NGN</v>
          </cell>
        </row>
        <row r="122">
          <cell r="E122" t="str">
            <v>14-24</v>
          </cell>
          <cell r="H122" t="str">
            <v>PANAMA</v>
          </cell>
          <cell r="J122" t="str">
            <v>MAURITIUS</v>
          </cell>
          <cell r="O122" t="str">
            <v>NIO</v>
          </cell>
        </row>
        <row r="123">
          <cell r="E123" t="str">
            <v>14-25</v>
          </cell>
          <cell r="H123" t="str">
            <v>PAPUA NEW GUINEA</v>
          </cell>
          <cell r="J123" t="str">
            <v>IRAN</v>
          </cell>
          <cell r="O123" t="str">
            <v>NOK</v>
          </cell>
        </row>
        <row r="124">
          <cell r="E124" t="str">
            <v>14-26</v>
          </cell>
          <cell r="H124" t="str">
            <v>PARAGUAY</v>
          </cell>
          <cell r="J124" t="str">
            <v>MEXICO</v>
          </cell>
          <cell r="O124" t="str">
            <v>NPR</v>
          </cell>
        </row>
        <row r="125">
          <cell r="E125" t="str">
            <v>14-27</v>
          </cell>
          <cell r="H125" t="str">
            <v>PERU</v>
          </cell>
          <cell r="J125" t="str">
            <v>NICARAGUA</v>
          </cell>
          <cell r="O125" t="str">
            <v>NZD</v>
          </cell>
        </row>
        <row r="126">
          <cell r="E126" t="str">
            <v>14-28</v>
          </cell>
          <cell r="H126" t="str">
            <v>PHILIPPINES</v>
          </cell>
          <cell r="J126" t="str">
            <v>MALAYSIA</v>
          </cell>
          <cell r="O126" t="str">
            <v>OMR</v>
          </cell>
        </row>
        <row r="127">
          <cell r="E127" t="str">
            <v>14-29</v>
          </cell>
          <cell r="H127" t="str">
            <v>POLAND</v>
          </cell>
          <cell r="J127" t="str">
            <v>NAMIBIE</v>
          </cell>
          <cell r="O127" t="str">
            <v>PAB</v>
          </cell>
        </row>
        <row r="128">
          <cell r="E128" t="str">
            <v>14-30</v>
          </cell>
          <cell r="H128" t="str">
            <v>QATAR</v>
          </cell>
          <cell r="J128" t="str">
            <v>NEPAL</v>
          </cell>
          <cell r="O128" t="str">
            <v>PEN</v>
          </cell>
        </row>
        <row r="129">
          <cell r="E129" t="str">
            <v>15-16</v>
          </cell>
          <cell r="H129" t="str">
            <v>REPUBLIC OF DOMENICA</v>
          </cell>
          <cell r="J129" t="str">
            <v>MOZAMBIQUE</v>
          </cell>
          <cell r="O129" t="str">
            <v>PGK</v>
          </cell>
        </row>
        <row r="130">
          <cell r="E130" t="str">
            <v>15-17</v>
          </cell>
          <cell r="H130" t="str">
            <v>ROMANIA</v>
          </cell>
          <cell r="J130" t="str">
            <v>NIGERIA</v>
          </cell>
          <cell r="O130" t="str">
            <v>PHP</v>
          </cell>
        </row>
        <row r="131">
          <cell r="E131" t="str">
            <v>15-18</v>
          </cell>
          <cell r="H131" t="str">
            <v>RUSSIA</v>
          </cell>
          <cell r="J131" t="str">
            <v>NORWAY</v>
          </cell>
          <cell r="O131" t="str">
            <v>PKR</v>
          </cell>
        </row>
        <row r="132">
          <cell r="E132" t="str">
            <v>15-19</v>
          </cell>
          <cell r="H132" t="str">
            <v>RWANDA</v>
          </cell>
          <cell r="J132" t="str">
            <v>NEW ZEALAND</v>
          </cell>
          <cell r="O132" t="str">
            <v>PLN</v>
          </cell>
        </row>
        <row r="133">
          <cell r="E133" t="str">
            <v>15-20</v>
          </cell>
          <cell r="H133" t="str">
            <v>SAO TOME</v>
          </cell>
          <cell r="J133" t="str">
            <v>CHILI</v>
          </cell>
          <cell r="O133" t="str">
            <v>PYG</v>
          </cell>
        </row>
        <row r="134">
          <cell r="E134" t="str">
            <v>15-21</v>
          </cell>
          <cell r="H134" t="str">
            <v>SAOLOMON</v>
          </cell>
          <cell r="J134" t="str">
            <v>OMAN</v>
          </cell>
          <cell r="O134" t="str">
            <v>QAR</v>
          </cell>
        </row>
        <row r="135">
          <cell r="E135" t="str">
            <v>15-22</v>
          </cell>
          <cell r="H135" t="str">
            <v>SAUDIA ARABIA</v>
          </cell>
          <cell r="J135" t="str">
            <v>PERU</v>
          </cell>
          <cell r="O135" t="str">
            <v>RON</v>
          </cell>
        </row>
        <row r="136">
          <cell r="E136" t="str">
            <v>15-23</v>
          </cell>
          <cell r="H136" t="str">
            <v>SERBIA</v>
          </cell>
          <cell r="J136" t="str">
            <v>PAPUA NEW GUINEA</v>
          </cell>
          <cell r="O136" t="str">
            <v>RSD</v>
          </cell>
        </row>
        <row r="137">
          <cell r="E137" t="str">
            <v>15-24</v>
          </cell>
          <cell r="H137" t="str">
            <v>SEYCHELL</v>
          </cell>
          <cell r="J137" t="str">
            <v>SAUDIA ARABIA</v>
          </cell>
          <cell r="O137" t="str">
            <v>RUB</v>
          </cell>
        </row>
        <row r="138">
          <cell r="E138" t="str">
            <v>15-25</v>
          </cell>
          <cell r="H138" t="str">
            <v>SIERRA LEON</v>
          </cell>
          <cell r="J138" t="str">
            <v>PAKISTAN</v>
          </cell>
          <cell r="O138" t="str">
            <v>RWF</v>
          </cell>
        </row>
        <row r="139">
          <cell r="E139" t="str">
            <v>15-26</v>
          </cell>
          <cell r="H139" t="str">
            <v>SINGAPORE</v>
          </cell>
          <cell r="J139" t="str">
            <v>PHILIPPINES</v>
          </cell>
          <cell r="O139" t="str">
            <v>SAR</v>
          </cell>
        </row>
        <row r="140">
          <cell r="E140" t="str">
            <v>15-27</v>
          </cell>
          <cell r="H140" t="str">
            <v>SOMALIA</v>
          </cell>
          <cell r="J140" t="str">
            <v>PANAMA</v>
          </cell>
          <cell r="O140" t="str">
            <v>SBD</v>
          </cell>
        </row>
        <row r="141">
          <cell r="E141" t="str">
            <v>15-28</v>
          </cell>
          <cell r="H141" t="str">
            <v>SOUTH AFRICA</v>
          </cell>
          <cell r="J141" t="str">
            <v>POLAND</v>
          </cell>
          <cell r="O141" t="str">
            <v>SCR</v>
          </cell>
        </row>
        <row r="142">
          <cell r="E142" t="str">
            <v>15-29</v>
          </cell>
          <cell r="H142" t="str">
            <v>SOUTH KOREA</v>
          </cell>
          <cell r="J142" t="str">
            <v>SERBIA</v>
          </cell>
          <cell r="O142" t="str">
            <v>SDG</v>
          </cell>
        </row>
        <row r="143">
          <cell r="E143" t="str">
            <v>15-30</v>
          </cell>
          <cell r="H143" t="str">
            <v>SRILANKA</v>
          </cell>
          <cell r="J143" t="str">
            <v>ROMANIA</v>
          </cell>
          <cell r="O143" t="str">
            <v>SEK</v>
          </cell>
        </row>
        <row r="144">
          <cell r="E144" t="str">
            <v>16-17</v>
          </cell>
          <cell r="H144" t="str">
            <v>SUDAN</v>
          </cell>
          <cell r="J144" t="str">
            <v>RUSSIA</v>
          </cell>
          <cell r="O144" t="str">
            <v>SGD</v>
          </cell>
        </row>
        <row r="145">
          <cell r="E145" t="str">
            <v>16-18</v>
          </cell>
          <cell r="H145" t="str">
            <v>SURINAM</v>
          </cell>
          <cell r="J145" t="str">
            <v>UKRAINIA</v>
          </cell>
          <cell r="O145" t="str">
            <v>SLL</v>
          </cell>
        </row>
        <row r="146">
          <cell r="E146" t="str">
            <v>16-19</v>
          </cell>
          <cell r="H146" t="str">
            <v>SWASI</v>
          </cell>
          <cell r="J146" t="str">
            <v>ICELAND</v>
          </cell>
          <cell r="O146" t="str">
            <v>SOS</v>
          </cell>
        </row>
        <row r="147">
          <cell r="E147" t="str">
            <v>16-20</v>
          </cell>
          <cell r="H147" t="str">
            <v>SWEDEN</v>
          </cell>
          <cell r="J147" t="str">
            <v>CAMBODIA</v>
          </cell>
          <cell r="O147" t="str">
            <v>SRD</v>
          </cell>
        </row>
        <row r="148">
          <cell r="E148" t="str">
            <v>16-21</v>
          </cell>
          <cell r="H148" t="str">
            <v>SWITZERLAND</v>
          </cell>
          <cell r="J148" t="str">
            <v>PARAGUAY</v>
          </cell>
          <cell r="O148" t="str">
            <v>STD</v>
          </cell>
        </row>
        <row r="149">
          <cell r="E149" t="str">
            <v>16-22</v>
          </cell>
          <cell r="H149" t="str">
            <v>SYRIA</v>
          </cell>
          <cell r="J149" t="str">
            <v>RWANDA</v>
          </cell>
          <cell r="O149" t="str">
            <v>SVC</v>
          </cell>
        </row>
        <row r="150">
          <cell r="E150" t="str">
            <v>16-23</v>
          </cell>
          <cell r="H150" t="str">
            <v>TADJIKISTAN</v>
          </cell>
          <cell r="J150" t="str">
            <v>SUDAN</v>
          </cell>
          <cell r="O150" t="str">
            <v>SYP</v>
          </cell>
        </row>
        <row r="151">
          <cell r="E151" t="str">
            <v>16-24</v>
          </cell>
          <cell r="H151" t="str">
            <v>TAIWAN</v>
          </cell>
          <cell r="J151" t="str">
            <v>QATAR</v>
          </cell>
          <cell r="O151" t="str">
            <v>SZL</v>
          </cell>
        </row>
        <row r="152">
          <cell r="E152" t="str">
            <v>16-25</v>
          </cell>
          <cell r="H152" t="str">
            <v>TANZANI</v>
          </cell>
          <cell r="J152" t="str">
            <v>BOLIVIA</v>
          </cell>
          <cell r="O152" t="str">
            <v>THB</v>
          </cell>
        </row>
        <row r="153">
          <cell r="E153" t="str">
            <v>16-26</v>
          </cell>
          <cell r="H153" t="str">
            <v>THAILAND</v>
          </cell>
          <cell r="J153" t="str">
            <v>SEYCHELL</v>
          </cell>
          <cell r="O153" t="str">
            <v>TJS</v>
          </cell>
        </row>
        <row r="154">
          <cell r="E154" t="str">
            <v>16-27</v>
          </cell>
          <cell r="H154" t="str">
            <v>TONGO</v>
          </cell>
          <cell r="J154" t="str">
            <v>SINGAPORE</v>
          </cell>
          <cell r="O154" t="str">
            <v>TMT</v>
          </cell>
        </row>
        <row r="155">
          <cell r="E155" t="str">
            <v>16-28</v>
          </cell>
          <cell r="H155" t="str">
            <v>TRINIDAD</v>
          </cell>
          <cell r="J155" t="str">
            <v>SYRIA</v>
          </cell>
          <cell r="O155" t="str">
            <v>TND</v>
          </cell>
        </row>
        <row r="156">
          <cell r="E156" t="str">
            <v>16-29</v>
          </cell>
          <cell r="H156" t="str">
            <v>TUNISIA</v>
          </cell>
          <cell r="J156" t="str">
            <v>SWASI</v>
          </cell>
          <cell r="O156" t="str">
            <v>TOP</v>
          </cell>
        </row>
        <row r="157">
          <cell r="E157" t="str">
            <v>16-30</v>
          </cell>
          <cell r="H157" t="str">
            <v>TURKEY</v>
          </cell>
          <cell r="J157" t="str">
            <v>SWEDEN</v>
          </cell>
          <cell r="O157" t="str">
            <v>TRY</v>
          </cell>
        </row>
        <row r="158">
          <cell r="E158" t="str">
            <v>17-18</v>
          </cell>
          <cell r="H158" t="str">
            <v>TURKMENISTAN</v>
          </cell>
          <cell r="J158" t="str">
            <v>SURINAM</v>
          </cell>
          <cell r="O158" t="str">
            <v>TTD</v>
          </cell>
        </row>
        <row r="159">
          <cell r="E159" t="str">
            <v>17-19</v>
          </cell>
          <cell r="H159" t="str">
            <v>UGANDA</v>
          </cell>
          <cell r="J159" t="str">
            <v>EL SALVADOR</v>
          </cell>
          <cell r="O159" t="str">
            <v>TWD</v>
          </cell>
        </row>
        <row r="160">
          <cell r="E160" t="str">
            <v>17-20</v>
          </cell>
          <cell r="H160" t="str">
            <v>UK</v>
          </cell>
          <cell r="J160" t="str">
            <v>SOMALIA</v>
          </cell>
          <cell r="O160" t="str">
            <v>TZS</v>
          </cell>
        </row>
        <row r="161">
          <cell r="E161" t="str">
            <v>17-21</v>
          </cell>
          <cell r="H161" t="str">
            <v>UKRAINIA</v>
          </cell>
          <cell r="J161" t="str">
            <v>SAO TOME</v>
          </cell>
          <cell r="O161" t="str">
            <v>UAH</v>
          </cell>
        </row>
        <row r="162">
          <cell r="E162" t="str">
            <v>17-22</v>
          </cell>
          <cell r="H162" t="str">
            <v>UNITED ARAB EMIRATES</v>
          </cell>
          <cell r="J162" t="str">
            <v>SIERRA LEON</v>
          </cell>
          <cell r="O162" t="str">
            <v>UGX</v>
          </cell>
        </row>
        <row r="163">
          <cell r="E163" t="str">
            <v>17-23</v>
          </cell>
          <cell r="H163" t="str">
            <v>URUGUAY</v>
          </cell>
          <cell r="J163" t="str">
            <v>TADJIKISTAN</v>
          </cell>
          <cell r="O163" t="str">
            <v>UYU</v>
          </cell>
        </row>
        <row r="164">
          <cell r="E164" t="str">
            <v>17-24</v>
          </cell>
          <cell r="H164" t="str">
            <v>USA</v>
          </cell>
          <cell r="J164" t="str">
            <v>THAILAND</v>
          </cell>
          <cell r="O164" t="str">
            <v>UZS</v>
          </cell>
        </row>
        <row r="165">
          <cell r="E165" t="str">
            <v>17-25</v>
          </cell>
          <cell r="H165" t="str">
            <v>UZBEKISTAN</v>
          </cell>
          <cell r="J165" t="str">
            <v>US</v>
          </cell>
          <cell r="O165" t="str">
            <v>VEF</v>
          </cell>
        </row>
        <row r="166">
          <cell r="E166" t="str">
            <v>17-26</v>
          </cell>
          <cell r="H166" t="str">
            <v>VANATUA</v>
          </cell>
          <cell r="J166" t="str">
            <v>TURKMENISTAN</v>
          </cell>
          <cell r="O166" t="str">
            <v>VND</v>
          </cell>
        </row>
        <row r="167">
          <cell r="E167" t="str">
            <v>17-27</v>
          </cell>
          <cell r="H167" t="str">
            <v>VENEZUELA</v>
          </cell>
          <cell r="J167" t="str">
            <v>TUNISIA</v>
          </cell>
          <cell r="O167" t="str">
            <v>VUV</v>
          </cell>
        </row>
        <row r="168">
          <cell r="E168" t="str">
            <v>17-28</v>
          </cell>
          <cell r="H168" t="str">
            <v>VIET NAM</v>
          </cell>
          <cell r="J168" t="str">
            <v>TRINIDAD</v>
          </cell>
          <cell r="O168" t="str">
            <v>WST</v>
          </cell>
        </row>
        <row r="169">
          <cell r="E169" t="str">
            <v>17-29</v>
          </cell>
          <cell r="H169" t="str">
            <v>WEST SAMOA</v>
          </cell>
          <cell r="J169" t="str">
            <v>TONGO</v>
          </cell>
          <cell r="O169" t="str">
            <v>XAF</v>
          </cell>
        </row>
        <row r="170">
          <cell r="E170" t="str">
            <v>17-30</v>
          </cell>
          <cell r="H170" t="str">
            <v>YEMEN</v>
          </cell>
          <cell r="J170" t="str">
            <v>TURKEY</v>
          </cell>
          <cell r="O170" t="str">
            <v>XCD</v>
          </cell>
        </row>
        <row r="171">
          <cell r="E171" t="str">
            <v>18-19</v>
          </cell>
          <cell r="H171" t="str">
            <v>ZAMBIA</v>
          </cell>
          <cell r="J171" t="str">
            <v>TAIWAN</v>
          </cell>
          <cell r="O171" t="str">
            <v>XOF</v>
          </cell>
        </row>
        <row r="172">
          <cell r="E172" t="str">
            <v>18-20</v>
          </cell>
          <cell r="H172" t="str">
            <v>ZIMBABWE</v>
          </cell>
          <cell r="J172" t="str">
            <v>TANZANI</v>
          </cell>
          <cell r="O172" t="str">
            <v>XPF</v>
          </cell>
        </row>
        <row r="173">
          <cell r="E173" t="str">
            <v>18-21</v>
          </cell>
          <cell r="J173" t="str">
            <v>UGANDA</v>
          </cell>
          <cell r="O173" t="str">
            <v>YER</v>
          </cell>
        </row>
        <row r="174">
          <cell r="E174" t="str">
            <v>18-22</v>
          </cell>
          <cell r="J174" t="str">
            <v>URUGUAY</v>
          </cell>
          <cell r="O174" t="str">
            <v>ZAR</v>
          </cell>
        </row>
        <row r="175">
          <cell r="E175" t="str">
            <v>18-23</v>
          </cell>
          <cell r="J175" t="str">
            <v>UZBEKISTAN</v>
          </cell>
          <cell r="O175" t="str">
            <v>ZMK</v>
          </cell>
        </row>
        <row r="176">
          <cell r="E176" t="str">
            <v>18-24</v>
          </cell>
          <cell r="J176" t="str">
            <v>VENEZUELA</v>
          </cell>
          <cell r="O176" t="str">
            <v>ZWL</v>
          </cell>
        </row>
        <row r="177">
          <cell r="E177" t="str">
            <v>18-25</v>
          </cell>
          <cell r="J177" t="str">
            <v>VIET NAM</v>
          </cell>
          <cell r="O177" t="str">
            <v>ZWR</v>
          </cell>
        </row>
        <row r="178">
          <cell r="E178" t="str">
            <v>18-26</v>
          </cell>
          <cell r="J178" t="str">
            <v>VANATUA</v>
          </cell>
        </row>
        <row r="179">
          <cell r="E179" t="str">
            <v>18-27</v>
          </cell>
          <cell r="J179" t="str">
            <v>WEST SAMOA</v>
          </cell>
        </row>
        <row r="180">
          <cell r="E180" t="str">
            <v>18-28</v>
          </cell>
          <cell r="J180" t="str">
            <v>YEMEN</v>
          </cell>
        </row>
        <row r="181">
          <cell r="E181" t="str">
            <v>18-29</v>
          </cell>
          <cell r="J181" t="str">
            <v>SOUTH AFRICA</v>
          </cell>
        </row>
        <row r="182">
          <cell r="E182" t="str">
            <v>18-30</v>
          </cell>
          <cell r="J182" t="str">
            <v>ZAMBIA</v>
          </cell>
        </row>
        <row r="183">
          <cell r="J183" t="str">
            <v>ZIMBABWE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>
        <row r="2">
          <cell r="H2" t="str">
            <v>Project</v>
          </cell>
        </row>
        <row r="7">
          <cell r="G7">
            <v>40179</v>
          </cell>
        </row>
        <row r="22">
          <cell r="E22">
            <v>-20</v>
          </cell>
        </row>
        <row r="24">
          <cell r="U24">
            <v>-20</v>
          </cell>
        </row>
        <row r="30">
          <cell r="E30" t="str">
            <v>M EUR</v>
          </cell>
        </row>
        <row r="75"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</row>
      </sheetData>
      <sheetData sheetId="6" refreshError="1"/>
      <sheetData sheetId="7" refreshError="1">
        <row r="10">
          <cell r="D10" t="str">
            <v>1,5%</v>
          </cell>
        </row>
      </sheetData>
      <sheetData sheetId="8" refreshError="1"/>
      <sheetData sheetId="9" refreshError="1">
        <row r="151">
          <cell r="B151" t="str">
            <v>0% --&gt; -3%</v>
          </cell>
        </row>
        <row r="152">
          <cell r="B152" t="str">
            <v>-3% --&gt; -5%</v>
          </cell>
        </row>
        <row r="153">
          <cell r="B153" t="str">
            <v>-5% --&gt; -15%</v>
          </cell>
        </row>
        <row r="154">
          <cell r="B154" t="str">
            <v>-15% --&gt; -25%</v>
          </cell>
        </row>
        <row r="155">
          <cell r="B155" t="str">
            <v>&lt; -25%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 -Analysis "/>
      <sheetName val="DPM 11-01"/>
      <sheetName val="Signature"/>
      <sheetName val="Rationale"/>
      <sheetName val="Summary"/>
      <sheetName val="Calculs"/>
      <sheetName val="DE"/>
      <sheetName val="UK"/>
      <sheetName val="FR"/>
      <sheetName val="IT"/>
      <sheetName val="SP"/>
      <sheetName val="PT"/>
      <sheetName val="Assumptions"/>
      <sheetName val="de Pastor"/>
      <sheetName val="REC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>
        <row r="6">
          <cell r="G6" t="str">
            <v>Example</v>
          </cell>
        </row>
      </sheetData>
      <sheetData sheetId="13"/>
      <sheetData sheetId="14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Principles"/>
      <sheetName val="Input"/>
      <sheetName val="Assumptions"/>
      <sheetName val="Summary"/>
      <sheetName val="Definitions and comments"/>
      <sheetName val="Template"/>
    </sheetNames>
    <sheetDataSet>
      <sheetData sheetId="0" refreshError="1"/>
      <sheetData sheetId="1" refreshError="1"/>
      <sheetData sheetId="2" refreshError="1">
        <row r="42">
          <cell r="H42" t="str">
            <v>France</v>
          </cell>
        </row>
        <row r="43">
          <cell r="H43" t="str">
            <v>Germany</v>
          </cell>
        </row>
        <row r="44">
          <cell r="H44" t="str">
            <v>Spain</v>
          </cell>
        </row>
        <row r="45">
          <cell r="H45" t="str">
            <v>UK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Simulation"/>
      <sheetName val="P&amp;L Korea"/>
      <sheetName val="P&amp;L account"/>
      <sheetName val="Workings"/>
      <sheetName val="Sheet2"/>
      <sheetName val="Sheet4"/>
    </sheetNames>
    <sheetDataSet>
      <sheetData sheetId="0" refreshError="1"/>
      <sheetData sheetId="1" refreshError="1"/>
      <sheetData sheetId="2" refreshError="1"/>
      <sheetData sheetId="3" refreshError="1">
        <row r="6">
          <cell r="A6" t="str">
            <v>Capublie.CACATALOGUE</v>
          </cell>
          <cell r="B6" t="e">
            <v>#VALUE!</v>
          </cell>
          <cell r="C6" t="str">
            <v>CATALOGUE TURNOVER</v>
          </cell>
        </row>
        <row r="8">
          <cell r="A8" t="str">
            <v>Capublie.AVCLIENTS</v>
          </cell>
          <cell r="B8" t="e">
            <v>#VALUE!</v>
          </cell>
          <cell r="C8" t="str">
            <v xml:space="preserve">     Customer advantages</v>
          </cell>
        </row>
        <row r="9">
          <cell r="A9" t="str">
            <v>Capublie.ESCOMPTES</v>
          </cell>
          <cell r="B9" t="e">
            <v>#VALUE!</v>
          </cell>
          <cell r="C9" t="str">
            <v xml:space="preserve">     Discounts</v>
          </cell>
        </row>
        <row r="10">
          <cell r="A10" t="str">
            <v>capublie</v>
          </cell>
          <cell r="B10" t="e">
            <v>#VALUE!</v>
          </cell>
          <cell r="C10" t="str">
            <v>PUBLISHED TURNOVER</v>
          </cell>
        </row>
        <row r="12">
          <cell r="A12" t="str">
            <v>REDEVNETTES</v>
          </cell>
          <cell r="B12" t="e">
            <v>#VALUE!</v>
          </cell>
          <cell r="C12" t="str">
            <v>NET ROYALTIES</v>
          </cell>
        </row>
        <row r="13">
          <cell r="A13" t="str">
            <v>Redevnettes.REDTIERSPERC</v>
          </cell>
          <cell r="B13" t="e">
            <v>#VALUE!</v>
          </cell>
          <cell r="C13" t="str">
            <v xml:space="preserve">     Third party royalties received</v>
          </cell>
        </row>
        <row r="14">
          <cell r="A14" t="str">
            <v>Redevnettes.REDTIERSPAY</v>
          </cell>
          <cell r="B14" t="e">
            <v>#VALUE!</v>
          </cell>
          <cell r="C14" t="str">
            <v xml:space="preserve">     Third party royalties paid</v>
          </cell>
        </row>
        <row r="16">
          <cell r="A16" t="str">
            <v>CTVENTES</v>
          </cell>
          <cell r="B16" t="e">
            <v>#VALUE!</v>
          </cell>
          <cell r="C16" t="str">
            <v>COST OF SALES</v>
          </cell>
        </row>
        <row r="17">
          <cell r="A17" t="str">
            <v>STANDARDS</v>
          </cell>
          <cell r="B17" t="e">
            <v>#VALUE!</v>
          </cell>
          <cell r="C17" t="str">
            <v>STANDARD COSTS</v>
          </cell>
        </row>
        <row r="18">
          <cell r="A18" t="str">
            <v>STANDARDS.CRISTD</v>
          </cell>
          <cell r="B18" t="e">
            <v>#VALUE!</v>
          </cell>
          <cell r="C18" t="str">
            <v xml:space="preserve">     Standard Cost of goods</v>
          </cell>
        </row>
        <row r="19">
          <cell r="A19" t="str">
            <v>STANDARDS.MGEAMSTDSACO</v>
          </cell>
          <cell r="B19" t="e">
            <v>#VALUE!</v>
          </cell>
          <cell r="C19" t="str">
            <v xml:space="preserve">     Standard up-stream margin SACO</v>
          </cell>
        </row>
        <row r="20">
          <cell r="A20" t="str">
            <v>STANDARDS.MGEAMSTDHSACO</v>
          </cell>
          <cell r="B20" t="e">
            <v>#VALUE!</v>
          </cell>
          <cell r="C20" t="str">
            <v xml:space="preserve">     Standard up-stream margin not in SACO</v>
          </cell>
        </row>
        <row r="21">
          <cell r="A21" t="str">
            <v>ECARTS</v>
          </cell>
          <cell r="B21" t="e">
            <v>#VALUE!</v>
          </cell>
          <cell r="C21" t="str">
            <v>DIFFERENCE ON STANDARD COSTS</v>
          </cell>
        </row>
        <row r="22">
          <cell r="A22" t="str">
            <v>ECCRIPERIODE</v>
          </cell>
          <cell r="B22" t="e">
            <v>#VALUE!</v>
          </cell>
          <cell r="C22" t="str">
            <v xml:space="preserve">     Variations with standard Cost of goods</v>
          </cell>
        </row>
        <row r="23">
          <cell r="A23" t="str">
            <v>ECREVALO</v>
          </cell>
          <cell r="B23" t="e">
            <v>#VALUE!</v>
          </cell>
          <cell r="C23" t="str">
            <v xml:space="preserve">     Revaluation difference</v>
          </cell>
        </row>
        <row r="24">
          <cell r="A24" t="str">
            <v>ECREVALO.ECREVALO</v>
          </cell>
          <cell r="B24" t="e">
            <v>#VALUE!</v>
          </cell>
          <cell r="C24" t="str">
            <v xml:space="preserve">           Revaluation difference</v>
          </cell>
        </row>
        <row r="25">
          <cell r="A25" t="str">
            <v>ECREVALO.ECREVALOPT</v>
          </cell>
          <cell r="B25" t="e">
            <v>#VALUE!</v>
          </cell>
          <cell r="C25" t="str">
            <v xml:space="preserve">           Revaluation difference on transfer price</v>
          </cell>
        </row>
        <row r="26">
          <cell r="A26" t="str">
            <v>ECPXTRANSFIG</v>
          </cell>
          <cell r="B26" t="e">
            <v>#VALUE!</v>
          </cell>
          <cell r="C26" t="str">
            <v xml:space="preserve">     Difference of interco transfer price</v>
          </cell>
        </row>
        <row r="27">
          <cell r="A27" t="str">
            <v>DISTRIB</v>
          </cell>
          <cell r="B27" t="e">
            <v>#VALUE!</v>
          </cell>
          <cell r="C27" t="str">
            <v>DISTRIBUTION</v>
          </cell>
        </row>
        <row r="28">
          <cell r="A28" t="str">
            <v>Distrib.DISTRIBLOC</v>
          </cell>
          <cell r="B28" t="e">
            <v>#VALUE!</v>
          </cell>
          <cell r="C28" t="str">
            <v xml:space="preserve">     Local distribution costs</v>
          </cell>
        </row>
        <row r="29">
          <cell r="A29" t="str">
            <v>Distrib.DISTRIBALLOUE</v>
          </cell>
          <cell r="B29" t="e">
            <v>#VALUE!</v>
          </cell>
          <cell r="C29" t="str">
            <v xml:space="preserve">     Allocated distribution costs</v>
          </cell>
        </row>
        <row r="30">
          <cell r="A30" t="str">
            <v>AUTRES</v>
          </cell>
          <cell r="B30" t="e">
            <v>#VALUE!</v>
          </cell>
          <cell r="C30" t="str">
            <v>OTHER</v>
          </cell>
        </row>
        <row r="31">
          <cell r="A31" t="str">
            <v>AUTRES.AUTRPDTSEXPL</v>
          </cell>
          <cell r="B31" t="e">
            <v>#VALUE!</v>
          </cell>
          <cell r="C31" t="str">
            <v xml:space="preserve">     Others - Provision for Expiring Stocks</v>
          </cell>
        </row>
        <row r="32">
          <cell r="A32" t="str">
            <v>AUTRES.AUTRCHGEXPL</v>
          </cell>
          <cell r="B32" t="e">
            <v>#VALUE!</v>
          </cell>
          <cell r="C32" t="str">
            <v xml:space="preserve">     Other operating charges</v>
          </cell>
        </row>
        <row r="33">
          <cell r="A33" t="str">
            <v>AUTRESFRAIS</v>
          </cell>
          <cell r="B33" t="e">
            <v>#VALUE!</v>
          </cell>
          <cell r="C33" t="str">
            <v>Bad debts</v>
          </cell>
        </row>
        <row r="34">
          <cell r="A34" t="str">
            <v>Autresfrais.CREANCESDOUT</v>
          </cell>
          <cell r="B34" t="e">
            <v>#VALUE!</v>
          </cell>
          <cell r="C34" t="str">
            <v xml:space="preserve">     Bad debts</v>
          </cell>
        </row>
        <row r="35">
          <cell r="A35" t="str">
            <v>Autresfrais.CONTRIBPHARM</v>
          </cell>
          <cell r="B35" t="e">
            <v>#VALUE!</v>
          </cell>
          <cell r="C35" t="str">
            <v xml:space="preserve">     Pharmaceutical contributions</v>
          </cell>
        </row>
        <row r="37">
          <cell r="A37" t="str">
            <v>MGEBRUTE</v>
          </cell>
          <cell r="B37" t="e">
            <v>#VALUE!</v>
          </cell>
          <cell r="C37" t="str">
            <v>GROSS MARGIN</v>
          </cell>
        </row>
        <row r="39">
          <cell r="A39" t="str">
            <v>MARKETING</v>
          </cell>
          <cell r="B39" t="e">
            <v>#VALUE!</v>
          </cell>
          <cell r="C39" t="str">
            <v>MARKETING</v>
          </cell>
        </row>
        <row r="40">
          <cell r="A40" t="str">
            <v>FORCEVENTE</v>
          </cell>
          <cell r="B40" t="e">
            <v>#VALUE!</v>
          </cell>
          <cell r="C40" t="str">
            <v>SALES FORCE</v>
          </cell>
        </row>
        <row r="41">
          <cell r="A41" t="str">
            <v>Forcevente.DIRVENTES</v>
          </cell>
          <cell r="B41" t="e">
            <v>#VALUE!</v>
          </cell>
          <cell r="C41" t="str">
            <v xml:space="preserve">     Sales department</v>
          </cell>
        </row>
        <row r="42">
          <cell r="A42" t="str">
            <v>Forcevente.FCEVTEINT</v>
          </cell>
          <cell r="B42" t="e">
            <v>#VALUE!</v>
          </cell>
          <cell r="C42" t="str">
            <v xml:space="preserve">     Internal Sales force</v>
          </cell>
        </row>
        <row r="43">
          <cell r="A43" t="str">
            <v>Forcevente.FCEVTEEXT</v>
          </cell>
          <cell r="B43" t="e">
            <v>#VALUE!</v>
          </cell>
          <cell r="C43" t="str">
            <v xml:space="preserve">     External sales force</v>
          </cell>
        </row>
        <row r="44">
          <cell r="A44" t="str">
            <v>Forcevente.FCEVTEBMS</v>
          </cell>
          <cell r="B44" t="e">
            <v>#VALUE!</v>
          </cell>
          <cell r="C44" t="str">
            <v xml:space="preserve">     BMS sales force</v>
          </cell>
        </row>
        <row r="45">
          <cell r="A45" t="str">
            <v>Forcevente.ALLOCFCEVTEINT</v>
          </cell>
          <cell r="B45" t="e">
            <v>#VALUE!</v>
          </cell>
          <cell r="C45" t="str">
            <v xml:space="preserve">     Internal sales force allocation</v>
          </cell>
        </row>
        <row r="46">
          <cell r="A46" t="str">
            <v>MOYPROMO</v>
          </cell>
          <cell r="B46" t="e">
            <v>#VALUE!</v>
          </cell>
          <cell r="C46" t="str">
            <v>PROMOTIONAL RESSOURCES</v>
          </cell>
        </row>
        <row r="47">
          <cell r="A47" t="str">
            <v>VMBROCHPLV</v>
          </cell>
          <cell r="B47" t="e">
            <v>#VALUE!</v>
          </cell>
          <cell r="C47" t="str">
            <v xml:space="preserve">     Sales force Material / Brochure / PLV</v>
          </cell>
        </row>
        <row r="48">
          <cell r="A48" t="str">
            <v>ECHANT</v>
          </cell>
          <cell r="B48" t="e">
            <v>#VALUE!</v>
          </cell>
          <cell r="C48" t="str">
            <v xml:space="preserve">     Samples</v>
          </cell>
        </row>
        <row r="49">
          <cell r="A49" t="str">
            <v>Echant.echantillons</v>
          </cell>
          <cell r="B49" t="e">
            <v>#VALUE!</v>
          </cell>
          <cell r="C49" t="str">
            <v xml:space="preserve">          Samples</v>
          </cell>
        </row>
        <row r="50">
          <cell r="A50" t="str">
            <v>Echant.mgeamstdechsaco</v>
          </cell>
          <cell r="B50" t="e">
            <v>#VALUE!</v>
          </cell>
          <cell r="C50" t="str">
            <v xml:space="preserve">          Standard upstream margin on SACO samples</v>
          </cell>
        </row>
        <row r="51">
          <cell r="A51" t="str">
            <v>Echant.mgeamstdechhsaco</v>
          </cell>
          <cell r="B51" t="e">
            <v>#VALUE!</v>
          </cell>
          <cell r="C51" t="str">
            <v xml:space="preserve">          Standard upstream margin w/o SACO samples</v>
          </cell>
        </row>
        <row r="52">
          <cell r="A52" t="str">
            <v>PRESSEPUB</v>
          </cell>
          <cell r="B52" t="e">
            <v>#VALUE!</v>
          </cell>
          <cell r="C52" t="str">
            <v xml:space="preserve">     Press / Advertising</v>
          </cell>
        </row>
        <row r="53">
          <cell r="A53" t="str">
            <v>ISS</v>
          </cell>
          <cell r="B53" t="e">
            <v>#VALUE!</v>
          </cell>
          <cell r="C53" t="str">
            <v xml:space="preserve">     Specialised scientific information</v>
          </cell>
        </row>
        <row r="54">
          <cell r="A54" t="str">
            <v>TAXPUB</v>
          </cell>
          <cell r="B54" t="e">
            <v>#VALUE!</v>
          </cell>
          <cell r="C54" t="str">
            <v>TAXES ON ADVERTISING &amp; ON DIRECT SALES</v>
          </cell>
        </row>
        <row r="55">
          <cell r="A55" t="str">
            <v>taxpub.taxpub</v>
          </cell>
          <cell r="B55" t="e">
            <v>#VALUE!</v>
          </cell>
          <cell r="C55" t="str">
            <v xml:space="preserve">     Taxes on advertising</v>
          </cell>
        </row>
        <row r="56">
          <cell r="A56" t="str">
            <v>taxpub.taxvtedir</v>
          </cell>
          <cell r="B56" t="e">
            <v>#VALUE!</v>
          </cell>
          <cell r="C56" t="str">
            <v xml:space="preserve">     Taxes on direct sales</v>
          </cell>
        </row>
        <row r="57">
          <cell r="A57" t="str">
            <v>DIRMKT</v>
          </cell>
          <cell r="B57" t="e">
            <v>#VALUE!</v>
          </cell>
          <cell r="C57" t="str">
            <v>MARKETING DEPARTMENT</v>
          </cell>
        </row>
        <row r="58">
          <cell r="A58" t="str">
            <v>Dirmkt.DIRMKTLOC</v>
          </cell>
          <cell r="B58" t="e">
            <v>#VALUE!</v>
          </cell>
          <cell r="C58" t="str">
            <v xml:space="preserve">     Local marketing department</v>
          </cell>
        </row>
        <row r="59">
          <cell r="A59" t="str">
            <v>Dirmkt.DIRMKTALLOUE</v>
          </cell>
          <cell r="B59" t="e">
            <v>#VALUE!</v>
          </cell>
          <cell r="C59" t="str">
            <v xml:space="preserve">     Allocated marketing department</v>
          </cell>
        </row>
        <row r="61">
          <cell r="A61" t="str">
            <v>RECHERCHE</v>
          </cell>
          <cell r="B61" t="e">
            <v>#VALUE!</v>
          </cell>
          <cell r="C61" t="str">
            <v>RESEARCH</v>
          </cell>
        </row>
        <row r="62">
          <cell r="A62" t="str">
            <v>Dirmed</v>
          </cell>
          <cell r="B62" t="e">
            <v>#VALUE!</v>
          </cell>
          <cell r="C62" t="str">
            <v>MEDICAL DEPARTMENT</v>
          </cell>
        </row>
        <row r="63">
          <cell r="A63" t="str">
            <v>ETCLINLOC</v>
          </cell>
          <cell r="B63" t="e">
            <v>#VALUE!</v>
          </cell>
          <cell r="C63" t="str">
            <v>LOCAL CLINICAL STUDIES</v>
          </cell>
        </row>
        <row r="64">
          <cell r="A64" t="str">
            <v>Etclinloc.ETCLINLOC</v>
          </cell>
          <cell r="B64" t="e">
            <v>#VALUE!</v>
          </cell>
          <cell r="C64" t="str">
            <v xml:space="preserve">     Local clinical studies</v>
          </cell>
        </row>
        <row r="65">
          <cell r="A65" t="str">
            <v>Etclinloc.ECHETCLINLOC</v>
          </cell>
          <cell r="B65" t="e">
            <v>#VALUE!</v>
          </cell>
          <cell r="C65" t="str">
            <v xml:space="preserve">     Local clinical studies Samples</v>
          </cell>
        </row>
        <row r="66">
          <cell r="A66" t="str">
            <v>Etclinloc.MGEAMECHETLOC</v>
          </cell>
          <cell r="B66" t="e">
            <v>#VALUE!</v>
          </cell>
          <cell r="C66" t="str">
            <v xml:space="preserve">     Up-stream margin on local clinical studies samples</v>
          </cell>
        </row>
        <row r="67">
          <cell r="A67" t="str">
            <v>FRAISRECH</v>
          </cell>
          <cell r="B67" t="e">
            <v>#VALUE!</v>
          </cell>
          <cell r="C67" t="str">
            <v>RESEARCH COSTS</v>
          </cell>
        </row>
        <row r="68">
          <cell r="A68" t="str">
            <v>ETCLINRECH</v>
          </cell>
          <cell r="B68" t="e">
            <v>#VALUE!</v>
          </cell>
          <cell r="C68" t="str">
            <v>CLINICAL STUDIES RESEARCH</v>
          </cell>
        </row>
        <row r="69">
          <cell r="A69" t="str">
            <v>Etclinrech.etclinrech</v>
          </cell>
          <cell r="B69" t="e">
            <v>#VALUE!</v>
          </cell>
          <cell r="C69" t="str">
            <v xml:space="preserve">     Clinical studies research</v>
          </cell>
        </row>
        <row r="70">
          <cell r="A70" t="str">
            <v>Etclinrech.echetclinrech</v>
          </cell>
          <cell r="B70" t="e">
            <v>#VALUE!</v>
          </cell>
          <cell r="C70" t="str">
            <v xml:space="preserve">     Clinical studies research samples</v>
          </cell>
        </row>
        <row r="71">
          <cell r="A71" t="str">
            <v>Etclinrech.mgeamechetrech</v>
          </cell>
          <cell r="B71" t="e">
            <v>#VALUE!</v>
          </cell>
          <cell r="C71" t="str">
            <v xml:space="preserve">     Upstream margin on local cliniacl studies samples</v>
          </cell>
        </row>
        <row r="72">
          <cell r="A72" t="str">
            <v>DEVINDUSTR</v>
          </cell>
          <cell r="B72" t="e">
            <v>#VALUE!</v>
          </cell>
          <cell r="C72" t="str">
            <v>INDUSTRIAL DEVELOPMENT</v>
          </cell>
        </row>
        <row r="74">
          <cell r="A74" t="str">
            <v>FRGXADM</v>
          </cell>
          <cell r="B74" t="e">
            <v>#VALUE!</v>
          </cell>
          <cell r="C74" t="str">
            <v>G&amp;A Costs</v>
          </cell>
        </row>
        <row r="75">
          <cell r="A75" t="str">
            <v>FRGXAFF</v>
          </cell>
          <cell r="B75" t="e">
            <v>#VALUE!</v>
          </cell>
          <cell r="C75" t="str">
            <v>OVERHEAD COSTS</v>
          </cell>
        </row>
        <row r="76">
          <cell r="A76" t="str">
            <v>Frgxaff.FRGXAFFLOC</v>
          </cell>
          <cell r="B76" t="e">
            <v>#VALUE!</v>
          </cell>
          <cell r="C76" t="str">
            <v xml:space="preserve">     Local overhead expenses</v>
          </cell>
        </row>
        <row r="77">
          <cell r="A77" t="str">
            <v>Frgxaff.FRGXAFFALLOUE</v>
          </cell>
          <cell r="B77" t="e">
            <v>#VALUE!</v>
          </cell>
          <cell r="C77" t="str">
            <v xml:space="preserve">     Allocated overhead expenses</v>
          </cell>
        </row>
        <row r="78">
          <cell r="A78" t="str">
            <v>ACTIONSMANAG</v>
          </cell>
          <cell r="B78" t="e">
            <v>#VALUE!</v>
          </cell>
          <cell r="C78" t="str">
            <v>MANAGEMENT ACTIONS</v>
          </cell>
        </row>
        <row r="79">
          <cell r="A79" t="str">
            <v>ACTIONSMANAG.ONETIMECOST</v>
          </cell>
          <cell r="B79" t="e">
            <v>#VALUE!</v>
          </cell>
          <cell r="C79" t="str">
            <v xml:space="preserve">     Eligible and non-eligible One Time Costs</v>
          </cell>
        </row>
        <row r="80">
          <cell r="A80" t="str">
            <v>ACTIONSMANAG.AUTRES</v>
          </cell>
          <cell r="B80" t="e">
            <v>#VALUE!</v>
          </cell>
          <cell r="C80" t="str">
            <v xml:space="preserve">     Others</v>
          </cell>
        </row>
        <row r="82">
          <cell r="A82" t="str">
            <v>PARTBMSLILLY</v>
          </cell>
          <cell r="B82" t="e">
            <v>#VALUE!</v>
          </cell>
          <cell r="C82" t="str">
            <v>SANOFI BMS SHAREOUT</v>
          </cell>
        </row>
        <row r="83">
          <cell r="A83" t="str">
            <v>PartBmsLilly.PARTBMS</v>
          </cell>
          <cell r="B83" t="e">
            <v>#VALUE!</v>
          </cell>
          <cell r="C83" t="str">
            <v xml:space="preserve">     BMS share</v>
          </cell>
        </row>
        <row r="84">
          <cell r="A84" t="str">
            <v>PartBmsLilly.PARTLILLY</v>
          </cell>
          <cell r="B84" t="e">
            <v>#VALUE!</v>
          </cell>
          <cell r="C84" t="str">
            <v xml:space="preserve">     Lilly share</v>
          </cell>
        </row>
        <row r="86">
          <cell r="A86" t="str">
            <v>RESULTATOP</v>
          </cell>
          <cell r="B86" t="e">
            <v>#VALUE!</v>
          </cell>
          <cell r="C86" t="str">
            <v>OPERATING RESULT</v>
          </cell>
        </row>
        <row r="88">
          <cell r="A88" t="str">
            <v>AMTINCORP</v>
          </cell>
          <cell r="B88" t="e">
            <v>#VALUE!</v>
          </cell>
          <cell r="C88" t="str">
            <v>DEPRECIATION OF INTANGIBLE ASSETS</v>
          </cell>
        </row>
        <row r="90">
          <cell r="A90" t="str">
            <v>RESULTATFI</v>
          </cell>
          <cell r="B90" t="e">
            <v>#VALUE!</v>
          </cell>
          <cell r="C90" t="str">
            <v>FINANCIAL RESULT</v>
          </cell>
        </row>
        <row r="91">
          <cell r="A91" t="str">
            <v>FRAISFI</v>
          </cell>
          <cell r="B91" t="e">
            <v>#VALUE!</v>
          </cell>
          <cell r="C91" t="str">
            <v>FINANCIAL COSTS</v>
          </cell>
        </row>
        <row r="92">
          <cell r="A92" t="str">
            <v>FRAISFI.FRAISFITIERS</v>
          </cell>
          <cell r="B92" t="e">
            <v>#VALUE!</v>
          </cell>
          <cell r="C92" t="str">
            <v xml:space="preserve">     Third party financial costs</v>
          </cell>
        </row>
        <row r="93">
          <cell r="A93" t="str">
            <v>FRAISFI.INDICFI</v>
          </cell>
          <cell r="B93" t="e">
            <v>#VALUE!</v>
          </cell>
          <cell r="C93" t="str">
            <v xml:space="preserve">     Financial indicator</v>
          </cell>
        </row>
        <row r="94">
          <cell r="A94" t="str">
            <v>PPCHANGE</v>
          </cell>
          <cell r="B94" t="e">
            <v>#VALUE!</v>
          </cell>
          <cell r="C94" t="str">
            <v>EXCHANGES LOSSES AND PROFITS</v>
          </cell>
        </row>
        <row r="95">
          <cell r="A95" t="str">
            <v>PPCHANGE.PPCHGEREEL</v>
          </cell>
          <cell r="B95" t="e">
            <v>#VALUE!</v>
          </cell>
          <cell r="C95" t="str">
            <v xml:space="preserve">     Realised exchange losses and profits</v>
          </cell>
        </row>
        <row r="96">
          <cell r="A96" t="str">
            <v>PPCHANGE.PPCHGENONREEEL</v>
          </cell>
          <cell r="B96" t="e">
            <v>#VALUE!</v>
          </cell>
          <cell r="C96" t="str">
            <v xml:space="preserve">     Unrealised exchange losses and profits</v>
          </cell>
        </row>
        <row r="97">
          <cell r="A97" t="str">
            <v>PPCHANGE.PPTRANSPO</v>
          </cell>
          <cell r="B97" t="e">
            <v>#VALUE!</v>
          </cell>
          <cell r="C97" t="str">
            <v xml:space="preserve">     Transposition losses and profits</v>
          </cell>
        </row>
        <row r="99">
          <cell r="A99" t="str">
            <v>RESCOURANT</v>
          </cell>
          <cell r="B99" t="e">
            <v>#VALUE!</v>
          </cell>
          <cell r="C99" t="str">
            <v>CURRENT RESULT</v>
          </cell>
        </row>
        <row r="101">
          <cell r="A101" t="str">
            <v>CHGPDTexcp</v>
          </cell>
          <cell r="B101" t="e">
            <v>#VALUE!</v>
          </cell>
          <cell r="C101" t="str">
            <v>EXCEPTIONNAL P/L</v>
          </cell>
        </row>
        <row r="102">
          <cell r="A102" t="str">
            <v>PMVALUECESSION</v>
          </cell>
          <cell r="B102" t="e">
            <v>#VALUE!</v>
          </cell>
          <cell r="C102" t="str">
            <v>CAPITAL GAINS / LOSSES ON DISPOSAL</v>
          </cell>
        </row>
        <row r="103">
          <cell r="A103" t="str">
            <v>pmvaluecession.vncimmocorp</v>
          </cell>
          <cell r="B103" t="e">
            <v>#VALUE!</v>
          </cell>
          <cell r="C103" t="str">
            <v xml:space="preserve">     Non posted value of transferred tangible assets</v>
          </cell>
        </row>
        <row r="104">
          <cell r="A104" t="str">
            <v>pmvaluecession.vncimmoincorp</v>
          </cell>
          <cell r="B104" t="e">
            <v>#VALUE!</v>
          </cell>
          <cell r="C104" t="str">
            <v xml:space="preserve">     Non posted value of transferred intangible assets</v>
          </cell>
        </row>
        <row r="105">
          <cell r="A105" t="str">
            <v>pmvaluecession.vncimmofi</v>
          </cell>
          <cell r="B105" t="e">
            <v>#VALUE!</v>
          </cell>
          <cell r="C105" t="str">
            <v xml:space="preserve">     Non posted value on transferred capital assets</v>
          </cell>
        </row>
        <row r="106">
          <cell r="A106" t="str">
            <v>pmvaluecession.pdtimmocorp</v>
          </cell>
          <cell r="B106" t="e">
            <v>#VALUE!</v>
          </cell>
          <cell r="C106" t="str">
            <v xml:space="preserve">     Income from tangible assets disposal</v>
          </cell>
        </row>
        <row r="107">
          <cell r="A107" t="str">
            <v>pmvaluecession.pdtimmoincorp</v>
          </cell>
          <cell r="B107" t="e">
            <v>#VALUE!</v>
          </cell>
          <cell r="C107" t="str">
            <v xml:space="preserve">     Income from intangible assets disposal</v>
          </cell>
        </row>
        <row r="108">
          <cell r="A108" t="str">
            <v>pmvaluecession.pdtimmofi</v>
          </cell>
          <cell r="B108" t="e">
            <v>#VALUE!</v>
          </cell>
          <cell r="C108" t="str">
            <v xml:space="preserve">     Income from capital assets disposal</v>
          </cell>
        </row>
        <row r="109">
          <cell r="A109" t="str">
            <v>DIVAUTRPDTCHG</v>
          </cell>
          <cell r="B109" t="e">
            <v>#VALUE!</v>
          </cell>
          <cell r="C109" t="str">
            <v>MICELLANEAOUS OTHER INCOME AND CHARGES</v>
          </cell>
        </row>
        <row r="111">
          <cell r="A111" t="str">
            <v>RESavinter</v>
          </cell>
          <cell r="B111" t="e">
            <v>#VALUE!</v>
          </cell>
          <cell r="C111" t="str">
            <v>RESULT BEFORE INTERCO</v>
          </cell>
        </row>
        <row r="113">
          <cell r="A113" t="str">
            <v>INTERCOS</v>
          </cell>
          <cell r="B113" t="e">
            <v>#VALUE!</v>
          </cell>
          <cell r="C113" t="str">
            <v>INTERCOS</v>
          </cell>
        </row>
        <row r="114">
          <cell r="A114" t="str">
            <v>VTESINTERCO</v>
          </cell>
          <cell r="B114" t="e">
            <v>#VALUE!</v>
          </cell>
          <cell r="C114" t="str">
            <v>Interco sales</v>
          </cell>
        </row>
        <row r="115">
          <cell r="A115" t="str">
            <v>CRIINTERCO</v>
          </cell>
          <cell r="B115" t="e">
            <v>#VALUE!</v>
          </cell>
          <cell r="C115" t="str">
            <v>Interco sales IPC</v>
          </cell>
        </row>
        <row r="116">
          <cell r="A116" t="str">
            <v>MGEBRUTEINTERCO</v>
          </cell>
          <cell r="B116" t="e">
            <v>#VALUE!</v>
          </cell>
          <cell r="C116" t="str">
            <v>INTERCO GROSS MARGIN</v>
          </cell>
        </row>
        <row r="117">
          <cell r="A117" t="str">
            <v>PDTMAJINTERCO</v>
          </cell>
          <cell r="B117" t="e">
            <v>#VALUE!</v>
          </cell>
          <cell r="C117" t="str">
            <v>Interco major income</v>
          </cell>
        </row>
        <row r="118">
          <cell r="A118" t="str">
            <v>CHGMAJINTERCO</v>
          </cell>
          <cell r="B118" t="e">
            <v>#VALUE!</v>
          </cell>
          <cell r="C118" t="str">
            <v>Interco major charges</v>
          </cell>
        </row>
        <row r="119">
          <cell r="A119" t="str">
            <v>PPINTERNE</v>
          </cell>
          <cell r="B119" t="e">
            <v>#VALUE!</v>
          </cell>
          <cell r="C119" t="str">
            <v>INTERNAL PROFIT AND LOSSES</v>
          </cell>
        </row>
        <row r="121">
          <cell r="A121" t="str">
            <v>RESAVANTIMPOT</v>
          </cell>
          <cell r="B121" t="e">
            <v>#VALUE!</v>
          </cell>
          <cell r="C121" t="str">
            <v>PRE-TAX RESULT</v>
          </cell>
        </row>
        <row r="123">
          <cell r="A123" t="str">
            <v>IMPOT</v>
          </cell>
          <cell r="B123" t="e">
            <v>#VALUE!</v>
          </cell>
          <cell r="C123" t="str">
            <v>TAX</v>
          </cell>
        </row>
        <row r="124">
          <cell r="A124" t="str">
            <v>impot.impotex</v>
          </cell>
          <cell r="B124" t="e">
            <v>#VALUE!</v>
          </cell>
          <cell r="C124" t="str">
            <v xml:space="preserve">     Tax of the exercice</v>
          </cell>
        </row>
        <row r="125">
          <cell r="A125" t="str">
            <v>impot.impotdiff</v>
          </cell>
          <cell r="B125" t="e">
            <v>#VALUE!</v>
          </cell>
          <cell r="C125" t="str">
            <v xml:space="preserve">     Differed tax</v>
          </cell>
        </row>
        <row r="127">
          <cell r="A127" t="str">
            <v>RESNETSTEINT</v>
          </cell>
          <cell r="B127" t="e">
            <v>#VALUE!</v>
          </cell>
          <cell r="C127" t="str">
            <v>NET PROFIT OF INTEGRATED COMPANIES</v>
          </cell>
        </row>
        <row r="129">
          <cell r="A129" t="str">
            <v>SME</v>
          </cell>
          <cell r="B129" t="e">
            <v>#VALUE!</v>
          </cell>
          <cell r="C129" t="str">
            <v>TOTAL SME</v>
          </cell>
        </row>
        <row r="130">
          <cell r="A130" t="str">
            <v>AMTSURVAL</v>
          </cell>
          <cell r="B130" t="e">
            <v>#VALUE!</v>
          </cell>
          <cell r="C130" t="str">
            <v>DEPRECIATION ON EXCESS VALUES</v>
          </cell>
        </row>
        <row r="132">
          <cell r="A132" t="str">
            <v>RESNETENSC</v>
          </cell>
          <cell r="B132" t="e">
            <v>#VALUE!</v>
          </cell>
          <cell r="C132" t="str">
            <v>NET PROFIT OF CONSOLIDATED GROUP</v>
          </cell>
        </row>
        <row r="134">
          <cell r="A134" t="str">
            <v>PARTMINO</v>
          </cell>
          <cell r="B134" t="e">
            <v>#VALUE!</v>
          </cell>
          <cell r="C134" t="str">
            <v>MINORITY SHARES</v>
          </cell>
        </row>
        <row r="136">
          <cell r="A136" t="str">
            <v>RESNETCPGRP</v>
          </cell>
          <cell r="B136" t="e">
            <v>#VALUE!</v>
          </cell>
          <cell r="C136" t="str">
            <v>NET PROFIT CONSOLIDATED GROUP SHARE</v>
          </cell>
        </row>
        <row r="138">
          <cell r="A138" t="str">
            <v>IMPPTCHEX</v>
          </cell>
          <cell r="B138" t="e">
            <v>#VALUE!</v>
          </cell>
          <cell r="C138" t="str">
            <v>TAX ON EXCEPTIONAL P/L</v>
          </cell>
        </row>
        <row r="139">
          <cell r="A139" t="str">
            <v>CHPDEXAEA</v>
          </cell>
          <cell r="B139" t="e">
            <v>#VALUE!</v>
          </cell>
          <cell r="C139" t="str">
            <v>EXCEPTIONAL P/L</v>
          </cell>
        </row>
        <row r="141">
          <cell r="A141" t="str">
            <v>RESNETCONSO</v>
          </cell>
          <cell r="B141" t="e">
            <v>#VALUE!</v>
          </cell>
          <cell r="C141" t="str">
            <v>NET PROFIT OF CONSOLIDATED BEFORE EXCEPTIONAL …</v>
          </cell>
        </row>
        <row r="143">
          <cell r="A143" t="str">
            <v>nbactions</v>
          </cell>
          <cell r="B143" t="e">
            <v>#VALUE!</v>
          </cell>
          <cell r="C143" t="str">
            <v>NUMBER OF SHARES</v>
          </cell>
        </row>
        <row r="144">
          <cell r="A144" t="str">
            <v>informatique</v>
          </cell>
          <cell r="B144" t="e">
            <v>#VALUE!</v>
          </cell>
          <cell r="C144" t="str">
            <v>IT COST</v>
          </cell>
        </row>
      </sheetData>
      <sheetData sheetId="4"/>
      <sheetData sheetId="5"/>
      <sheetData sheetId="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Scoring"/>
      <sheetName val="M_CM PDTS"/>
      <sheetName val="M-CF PDTS"/>
      <sheetName val="M-CF PDTS Bench"/>
      <sheetName val="M-CF PDTS vs T3"/>
      <sheetName val="CF-T3 PDTS"/>
      <sheetName val="W-CF PDTS"/>
      <sheetName val="W-CF PDTS vs T3"/>
      <sheetName val="W-CM PDTS"/>
      <sheetName val="Guidances"/>
      <sheetName val="datas"/>
      <sheetName val="GERS_REP_UN"/>
      <sheetName val="GERS_GEN_CA"/>
      <sheetName val="GERS_GEN_UN"/>
      <sheetName val="GERS_WIN_CA"/>
      <sheetName val="GERS_WIN_UN"/>
      <sheetName val="GERS_MYL_CA"/>
      <sheetName val="GERS_MYL_UN"/>
      <sheetName val="GERS_BIOG_CA"/>
      <sheetName val="GERS_BIOG_UN"/>
      <sheetName val="GERS_TEVA_CA"/>
      <sheetName val="GERS_TEVA_UN"/>
      <sheetName val="T3_REP_UN"/>
      <sheetName val="T3_GEN_CA"/>
      <sheetName val="T3_GEN_UN"/>
      <sheetName val="T3_WIN_CA"/>
      <sheetName val="T3_WIN_U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2">
          <cell r="B2" t="str">
            <v>ACEBUTOLOL CHLORHYDRATE EQ 200MG CPR PELLIC</v>
          </cell>
        </row>
        <row r="3">
          <cell r="B3" t="str">
            <v>ACEBUTOLOL CHLORHYDRATE EQ 400MG CPR PELLIC</v>
          </cell>
        </row>
        <row r="4">
          <cell r="B4" t="str">
            <v>ACECLOFENAC 100MG CPR PELLIC</v>
          </cell>
        </row>
        <row r="5">
          <cell r="B5" t="str">
            <v>ACICLOVIR 200MG CPR</v>
          </cell>
        </row>
        <row r="6">
          <cell r="B6" t="str">
            <v>ACICLOVIR 250MG PDR PR SOL INJ IV</v>
          </cell>
        </row>
        <row r="7">
          <cell r="B7" t="str">
            <v>ACICLOVIR 3% POM OPHT</v>
          </cell>
        </row>
        <row r="8">
          <cell r="B8" t="str">
            <v>ACICLOVIR 5% CREME</v>
          </cell>
        </row>
        <row r="9">
          <cell r="B9" t="str">
            <v>ACICLOVIR 500MG PDR PR SOL INJ IV</v>
          </cell>
        </row>
        <row r="10">
          <cell r="B10" t="str">
            <v>ACICLOVIR 800MG CPR</v>
          </cell>
        </row>
        <row r="11">
          <cell r="B11" t="str">
            <v>ACIDE FOLIQUE 5MG CPR</v>
          </cell>
        </row>
        <row r="12">
          <cell r="B12" t="str">
            <v>ACIDE FUSIDIQUE 2% CR</v>
          </cell>
        </row>
        <row r="13">
          <cell r="B13" t="str">
            <v>ACIDE TIAPROFENIQUE 100MG CPR SECAB</v>
          </cell>
        </row>
        <row r="14">
          <cell r="B14" t="str">
            <v>ACIDE TIAPROFENIQUE 200MG CPR SECAB</v>
          </cell>
        </row>
        <row r="15">
          <cell r="B15" t="str">
            <v>ACIDE TRANEXAMIQUE 1G/10ML SOL BUV</v>
          </cell>
        </row>
        <row r="16">
          <cell r="B16" t="str">
            <v>ACIDE TRANEXAMIQUE 500MG CPR PELLIC</v>
          </cell>
        </row>
        <row r="17">
          <cell r="B17" t="str">
            <v>ALENDRONATE MONOSODIQUE EQ 10MG CPR</v>
          </cell>
        </row>
        <row r="18">
          <cell r="B18" t="str">
            <v>ALENDRONATE MONOSODIQUE TRIHYDRATE 70MG CPR</v>
          </cell>
        </row>
        <row r="19">
          <cell r="B19" t="str">
            <v>ALFUZOSINE CHLORHYDRATE 10MG CPR LIB PROL</v>
          </cell>
        </row>
        <row r="20">
          <cell r="B20" t="str">
            <v>ALFUZOSINE CHLORHYDRATE 2,5MG CPR PELLIC</v>
          </cell>
        </row>
        <row r="21">
          <cell r="B21" t="str">
            <v>ALFUZOSINE CHLORHYDRATE 5MG CPR PELLIC LIB PROL</v>
          </cell>
        </row>
        <row r="22">
          <cell r="B22" t="str">
            <v>ALGIN.SODIUM 50MG/ML+BICAR.SODIUM 26,7MG/ML BUV FL</v>
          </cell>
        </row>
        <row r="23">
          <cell r="B23" t="str">
            <v>ALGIN.SODIUM+AGAR-AGAR EQ GLE PR SOL BUV SACH DOS</v>
          </cell>
        </row>
        <row r="24">
          <cell r="B24" t="str">
            <v>ALLOPURINOL 100MG CPR</v>
          </cell>
        </row>
        <row r="25">
          <cell r="B25" t="str">
            <v>ALLOPURINOL 200MG CPR</v>
          </cell>
        </row>
        <row r="26">
          <cell r="B26" t="str">
            <v>ALLOPURINOL 300MG CPR</v>
          </cell>
        </row>
        <row r="27">
          <cell r="B27" t="str">
            <v>ALPRAZOLAM 0,25MG CPR SECAB</v>
          </cell>
        </row>
        <row r="28">
          <cell r="B28" t="str">
            <v>ALPRAZOLAM 0,50MG CPR SECAB</v>
          </cell>
        </row>
        <row r="29">
          <cell r="B29" t="str">
            <v>AMBROXOL CHLORHYDRATE 0,6% SANS SUCRE SOL BUV</v>
          </cell>
        </row>
        <row r="30">
          <cell r="B30" t="str">
            <v>AMBROXOL CHLORHYDRATE 30MG CPR SECAB</v>
          </cell>
        </row>
        <row r="31">
          <cell r="B31" t="str">
            <v>AMILORIDE CHL.5MG+HYDROCHLOROTHIAZ.50MG CPR SECAB</v>
          </cell>
        </row>
        <row r="32">
          <cell r="B32" t="str">
            <v>AMIODARONE CHLORHYDRATE 200MG CPR SECAB</v>
          </cell>
        </row>
        <row r="33">
          <cell r="B33" t="str">
            <v>AMIODARONE CHLORHYDRATE EQ 150MG SOL INJ AMP IV</v>
          </cell>
        </row>
        <row r="34">
          <cell r="B34" t="str">
            <v>AMISULPRIDE 100MG CPR SECAB</v>
          </cell>
        </row>
        <row r="35">
          <cell r="B35" t="str">
            <v>AMISULPRIDE 200MG CPR SECAB</v>
          </cell>
        </row>
        <row r="36">
          <cell r="B36" t="str">
            <v>AMISULPRIDE 400MG CPR PELLIC SECAB</v>
          </cell>
        </row>
        <row r="37">
          <cell r="B37" t="str">
            <v>AMLODIPINE BESILATE 10MG GELU</v>
          </cell>
        </row>
        <row r="38">
          <cell r="B38" t="str">
            <v>AMLODIPINE BESILATE 5MG GELU</v>
          </cell>
        </row>
        <row r="39">
          <cell r="B39" t="str">
            <v>AMOXICILLINE 125MG/5ML PDR PR SUSP BUV - CLAMOXYL</v>
          </cell>
        </row>
        <row r="40">
          <cell r="B40" t="str">
            <v>AMOXICILLINE 125MG/5ML PDR PR SUSP BUV - HICONCIL</v>
          </cell>
        </row>
        <row r="41">
          <cell r="B41" t="str">
            <v>AMOXICILLINE 1G CPR DISP - CLAMOXYL</v>
          </cell>
        </row>
        <row r="42">
          <cell r="B42" t="str">
            <v>AMOXICILLINE 1G PDR PR SUSP BUV SACH - CLAMOXYL</v>
          </cell>
        </row>
        <row r="43">
          <cell r="B43" t="str">
            <v>AMOXICILLINE 250MG/5ML PDR PR SUSP BUV - CLAMOXYL</v>
          </cell>
        </row>
        <row r="44">
          <cell r="B44" t="str">
            <v>AMOXICILLINE 250MG/5ML PDR PR SUSP BUV - HICONCIL</v>
          </cell>
        </row>
        <row r="45">
          <cell r="B45" t="str">
            <v>AMOXICILLINE 500MG GELU - CLAMOXYL</v>
          </cell>
        </row>
        <row r="46">
          <cell r="B46" t="str">
            <v>AMOXICILLINE 500MG GELU - HICONCIL</v>
          </cell>
        </row>
        <row r="47">
          <cell r="B47" t="str">
            <v>AMOXICILLINE 500MG/5ML PDR PR SUSP BUV - CLAMOXYL</v>
          </cell>
        </row>
        <row r="48">
          <cell r="B48" t="str">
            <v>AMOXICILLINE 500MG/5ML PDR PR SUSP BUV - HICONCIL</v>
          </cell>
        </row>
        <row r="49">
          <cell r="B49" t="str">
            <v>AMOXICILLINE SODIQUE EQ 1G PDR+SOLV PR SOL INJ IM</v>
          </cell>
        </row>
        <row r="50">
          <cell r="B50" t="str">
            <v>AMOXICILLINE+CLAVULANATE K EQ 1/200 AD PDR INJ IV</v>
          </cell>
        </row>
        <row r="51">
          <cell r="B51" t="str">
            <v>AMOXICILLINE+CLAVULANATE K EQ 1G/125MG AD BUV SACH</v>
          </cell>
        </row>
        <row r="52">
          <cell r="B52" t="str">
            <v>AMOXICILLINE+CLAVULANATE K EQ 2/200 AD PDR INJ IV</v>
          </cell>
        </row>
        <row r="53">
          <cell r="B53" t="str">
            <v>AMOXICILLINE+CLAVULANATE K EQ 500/50 BB/ENF PDR IV</v>
          </cell>
        </row>
        <row r="54">
          <cell r="B54" t="str">
            <v>AMOXICILLINE+CLAVULANATE K EQ 500/62,5 AD CPR PELL</v>
          </cell>
        </row>
        <row r="55">
          <cell r="B55" t="str">
            <v>AMOXICILLINE+CLAVULANATE K EQ ENF PDR SUSP BUV FL</v>
          </cell>
        </row>
        <row r="56">
          <cell r="B56" t="str">
            <v>AMOXICILLINE+CLAVULANATE K EQ NOUR PDR SUSP BUV FL</v>
          </cell>
        </row>
        <row r="57">
          <cell r="B57" t="str">
            <v>ANASTROZOLE 1MG CPR PELLIC</v>
          </cell>
        </row>
        <row r="58">
          <cell r="B58" t="str">
            <v>ATENOLOL 100MG CPR PELLIC SECAB</v>
          </cell>
        </row>
        <row r="59">
          <cell r="B59" t="str">
            <v>ATENOLOL 50MG + NIFEDIPINE 20MG GELU</v>
          </cell>
        </row>
        <row r="60">
          <cell r="B60" t="str">
            <v>ATENOLOL 50MG CPR PELLIC SECAB</v>
          </cell>
        </row>
        <row r="61">
          <cell r="B61" t="str">
            <v>AZATHIOPRINE 25MG CPR PELLIC</v>
          </cell>
        </row>
        <row r="62">
          <cell r="B62" t="str">
            <v>AZATHIOPRINE 50MG CPR PELLIC</v>
          </cell>
        </row>
        <row r="63">
          <cell r="B63" t="str">
            <v>AZATHIOPRINE 50MG CPR SECAB</v>
          </cell>
        </row>
        <row r="64">
          <cell r="B64" t="str">
            <v>AZITHROMYCINE DIHYDRATE EQ 250MG CPR PELLIC</v>
          </cell>
        </row>
        <row r="65">
          <cell r="B65" t="str">
            <v>AZITHROMYCINE DIHYDRATE EQ 40MG/ML PDR PR SUSP BUV</v>
          </cell>
        </row>
        <row r="66">
          <cell r="B66" t="str">
            <v>AZITHROMYCINE DIHYDRATE EQ MONODOSE 250MG CPR PELL</v>
          </cell>
        </row>
        <row r="67">
          <cell r="B67" t="str">
            <v>BACLOFENE 10MG CPR SECAB</v>
          </cell>
        </row>
        <row r="68">
          <cell r="B68" t="str">
            <v>BENAZEPRIL CHL.10MG+HYDROCHL.12,5MG CPR PELL SECAB</v>
          </cell>
        </row>
        <row r="69">
          <cell r="B69" t="str">
            <v>BENAZEPRIL CHLORHYDRATE 10MG CPR PELLIC SECAB</v>
          </cell>
        </row>
        <row r="70">
          <cell r="B70" t="str">
            <v>BENAZEPRIL CHLORHYDRATE 5MG CPR PELLIC SECAB</v>
          </cell>
        </row>
        <row r="71">
          <cell r="B71" t="str">
            <v>BENFLUOREX CHLORHYDRATE 150MG CPR ENROB</v>
          </cell>
        </row>
        <row r="72">
          <cell r="B72" t="str">
            <v>BETAHISTINE DICHLORHYDRATE 24MG CPR - BETASERC</v>
          </cell>
        </row>
        <row r="73">
          <cell r="B73" t="str">
            <v>BETAHISTINE DICHLORHYDRATE 8MG CPR - SERC</v>
          </cell>
        </row>
        <row r="74">
          <cell r="B74" t="str">
            <v>BETAINE CITRATE ANHYDRE 1,89G CPR EFFV</v>
          </cell>
        </row>
        <row r="75">
          <cell r="B75" t="str">
            <v>BETAINE CITRATE ANHYDRE 2G CPR EFFV</v>
          </cell>
        </row>
        <row r="76">
          <cell r="B76" t="str">
            <v>BETAMETHASONE 0,05% SOL BUV GTT</v>
          </cell>
        </row>
        <row r="77">
          <cell r="B77" t="str">
            <v>BETAMETHASONE 2MG CPR DISP SECAB</v>
          </cell>
        </row>
        <row r="78">
          <cell r="B78" t="str">
            <v>BICALUTAMIDE 50MG CPR ENROB</v>
          </cell>
        </row>
        <row r="79">
          <cell r="B79" t="str">
            <v>BISOPROLOL FUM.10MG+HYDROCHLOR.6,25MG CPR PELLIC</v>
          </cell>
        </row>
        <row r="80">
          <cell r="B80" t="str">
            <v>BISOPROLOL FUM.2,5MG+HYDROCHLOR.6,25MG CPR PELLIC</v>
          </cell>
        </row>
        <row r="81">
          <cell r="B81" t="str">
            <v>BISOPROLOL FUM.5MG+HYDROCHLOR.6,25MG CPR PELLIC</v>
          </cell>
        </row>
        <row r="82">
          <cell r="B82" t="str">
            <v>BISOPROLOL HEMIFUMARATE 1,25MG CPR PELL-CARDENSIEL</v>
          </cell>
        </row>
        <row r="83">
          <cell r="B83" t="str">
            <v>BISOPROLOL HEMIFUMARATE 10MG CPR P.SEC - DETENSIEL</v>
          </cell>
        </row>
        <row r="84">
          <cell r="B84" t="str">
            <v>BISOPROLOL HEMIFUMARATE 10MG CPR P.SEC -CARDENSIEL</v>
          </cell>
        </row>
        <row r="85">
          <cell r="B85" t="str">
            <v>BISOPROLOL HEMIFUMARATE 2,5MG CPR P.SEC-CARDENSIEL</v>
          </cell>
        </row>
        <row r="86">
          <cell r="B86" t="str">
            <v>BISOPROLOL HEMIFUMARATE 3,75MG CPR P.S.-CARDENSIEL</v>
          </cell>
        </row>
        <row r="87">
          <cell r="B87" t="str">
            <v>BISOPROLOL HEMIFUMARATE 5MG CPR P.SEC - CARDENSIEL</v>
          </cell>
        </row>
        <row r="88">
          <cell r="B88" t="str">
            <v>BISOPROLOL HEMIFUMARATE 7,5MG CPR P.SEC-CARDENSIEL</v>
          </cell>
        </row>
        <row r="89">
          <cell r="B89" t="str">
            <v>BORAX 60MG+ACIDE BORIQUE 90MG SOL LAV OPHT UNIDOS</v>
          </cell>
        </row>
        <row r="90">
          <cell r="B90" t="str">
            <v>BRIMONIDINE TARTRATE 0,2% (2MG/ML) COLLY SOL</v>
          </cell>
        </row>
        <row r="91">
          <cell r="B91" t="str">
            <v>BROMAZEPAM 6MG CPR 4-SECAB</v>
          </cell>
        </row>
        <row r="92">
          <cell r="B92" t="str">
            <v>BROMOCRIPTINE MESILATE EQ 10MG GELU</v>
          </cell>
        </row>
        <row r="93">
          <cell r="B93" t="str">
            <v>BROMOCRIPTINE MESILATE EQ 2,5MG CPR SEC INHIB LACT</v>
          </cell>
        </row>
        <row r="94">
          <cell r="B94" t="str">
            <v>BROMOCRIPTINE MESILATE EQ 2,5MG CPR SECAB</v>
          </cell>
        </row>
        <row r="95">
          <cell r="B95" t="str">
            <v>BROMOCRIPTINE MESILATE EQ 5MG GELU</v>
          </cell>
        </row>
        <row r="96">
          <cell r="B96" t="str">
            <v>BUDESONIDE 0,50MG/2ML SUSP INHAL NEB UNIDOS</v>
          </cell>
        </row>
        <row r="97">
          <cell r="B97" t="str">
            <v>BUDESONIDE 1MG/2ML SUSP INHAL NEB UNIDOS</v>
          </cell>
        </row>
        <row r="98">
          <cell r="B98" t="str">
            <v>BUFLOMEDIL CHLORHYDRATE 150MG CPR PELLIC</v>
          </cell>
        </row>
        <row r="99">
          <cell r="B99" t="str">
            <v>BUPRENORPHINE CHLORHYDRATE 0,4MG CPR SUBLING</v>
          </cell>
        </row>
        <row r="100">
          <cell r="B100" t="str">
            <v>BUPRENORPHINE CHLORHYDRATE 2MG CPR SUBLING</v>
          </cell>
        </row>
        <row r="101">
          <cell r="B101" t="str">
            <v>BUPRENORPHINE CHLORHYDRATE 8MG CPR SUBLING</v>
          </cell>
        </row>
        <row r="102">
          <cell r="B102" t="str">
            <v>BUSPIRONE CHLORHYDRATE 10MG CPR SECAB</v>
          </cell>
        </row>
        <row r="103">
          <cell r="B103" t="str">
            <v>CABERGOLINE 0,5MG CPR</v>
          </cell>
        </row>
        <row r="104">
          <cell r="B104" t="str">
            <v>CALCIPOTRIOL MONOHYDRATE 0,05MG/G CR</v>
          </cell>
        </row>
        <row r="105">
          <cell r="B105" t="str">
            <v>CALCIPOTRIOL MONOHYDRATE 0,05MG/G POM</v>
          </cell>
        </row>
        <row r="106">
          <cell r="B106" t="str">
            <v>CALCITONINE SALMINE SYNTHETIQUE 50UI/1ML SOL INJ</v>
          </cell>
        </row>
        <row r="107">
          <cell r="B107" t="str">
            <v>CAPTOPRIL 25MG CPR SECAB</v>
          </cell>
        </row>
        <row r="108">
          <cell r="B108" t="str">
            <v>CAPTOPRIL 50MG CPR SECAB</v>
          </cell>
        </row>
        <row r="109">
          <cell r="B109" t="str">
            <v>CAPTOPRIL 50MG+HYDROCHLOROTHIAZIDE 25MG CPR SECAB</v>
          </cell>
        </row>
        <row r="110">
          <cell r="B110" t="str">
            <v>CARBAMAZEPINE 200MG CPR PELLIC SECAB LP</v>
          </cell>
        </row>
        <row r="111">
          <cell r="B111" t="str">
            <v>CARBAMAZEPINE 200MG CPR SECAB</v>
          </cell>
        </row>
        <row r="112">
          <cell r="B112" t="str">
            <v>CARBAMAZEPINE 400MG CPR PELLIC SECAB LP</v>
          </cell>
        </row>
        <row r="113">
          <cell r="B113" t="str">
            <v>CARBIDOPA 25MG + LEVODOPA 100MG CPR LIB PROL</v>
          </cell>
        </row>
        <row r="114">
          <cell r="B114" t="str">
            <v>CARBIDOPA 50MG + LEVODOPA 200MG CPR LIB PROL</v>
          </cell>
        </row>
        <row r="115">
          <cell r="B115" t="str">
            <v>CARBOCISTEINE 2% ENF NOUR S/SUCRE SIR</v>
          </cell>
        </row>
        <row r="116">
          <cell r="B116" t="str">
            <v>CARBOCISTEINE 2% ENF NOUR SIR</v>
          </cell>
        </row>
        <row r="117">
          <cell r="B117" t="str">
            <v>CARBOCISTEINE 5% AD. S/SUCRE SIR</v>
          </cell>
        </row>
        <row r="118">
          <cell r="B118" t="str">
            <v>CARBOCISTEINE 5% AD. SIR</v>
          </cell>
        </row>
        <row r="119">
          <cell r="B119" t="str">
            <v>CARBOMERE 980 0,2% GEL OPHT</v>
          </cell>
        </row>
        <row r="120">
          <cell r="B120" t="str">
            <v>CARVEDILOL 12,5MG CPR SECAB</v>
          </cell>
        </row>
        <row r="121">
          <cell r="B121" t="str">
            <v>CARVEDILOL 25MG CPR SECAB</v>
          </cell>
        </row>
        <row r="122">
          <cell r="B122" t="str">
            <v>CARVEDILOL 6,25MG CPR SECAB</v>
          </cell>
        </row>
        <row r="123">
          <cell r="B123" t="str">
            <v>CEFACLOR 125MG/5ML PDR PR SUSP BUV</v>
          </cell>
        </row>
        <row r="124">
          <cell r="B124" t="str">
            <v>CEFACLOR 250MG GELU</v>
          </cell>
        </row>
        <row r="125">
          <cell r="B125" t="str">
            <v>CEFACLOR 250MG/5ML PDR PR SUSP BUV</v>
          </cell>
        </row>
        <row r="126">
          <cell r="B126" t="str">
            <v>CEFADROXIL 125MG/5ML PDR PR SUSP BUV</v>
          </cell>
        </row>
        <row r="127">
          <cell r="B127" t="str">
            <v>CEFADROXIL 1G CPR DISP</v>
          </cell>
        </row>
        <row r="128">
          <cell r="B128" t="str">
            <v>CEFADROXIL 250MG/5ML PDR PR SUSP BUV</v>
          </cell>
        </row>
        <row r="129">
          <cell r="B129" t="str">
            <v>CEFADROXIL 500MG GELU</v>
          </cell>
        </row>
        <row r="130">
          <cell r="B130" t="str">
            <v>CEFADROXIL 500MG/5ML PDR PR SUSP BUV</v>
          </cell>
        </row>
        <row r="131">
          <cell r="B131" t="str">
            <v>CEFALEXINE 1G CPR PELLIC - KEFORAL</v>
          </cell>
        </row>
        <row r="132">
          <cell r="B132" t="str">
            <v>CEFALEXINE 500MG CPR PELLIC - KEFORAL</v>
          </cell>
        </row>
        <row r="133">
          <cell r="B133" t="str">
            <v>CEFATRIZINE PROPYLENEGLYCOL EQ 500MG GELU</v>
          </cell>
        </row>
        <row r="134">
          <cell r="B134" t="str">
            <v>CEFEPIME DICHLOR.MONOHYDRATE EQ 0,5G PDR PR US PAR</v>
          </cell>
        </row>
        <row r="135">
          <cell r="B135" t="str">
            <v>CEFEPIME DICHLOR.MONOHYDRATE EQ 1G PDR PR US PAR</v>
          </cell>
        </row>
        <row r="136">
          <cell r="B136" t="str">
            <v>CEFEPIME DICHLOR.MONOHYDRATE EQ 2G PDR PR US PAR</v>
          </cell>
        </row>
        <row r="137">
          <cell r="B137" t="str">
            <v>CEFIXIME 200MG CPR PELLIC</v>
          </cell>
        </row>
        <row r="138">
          <cell r="B138" t="str">
            <v>CEFPODOXIME PROXETIL 100MG CPR PELLIC</v>
          </cell>
        </row>
        <row r="139">
          <cell r="B139" t="str">
            <v>CEFPODOXIME PROXETIL 40MG/5ML GLE PR SUSP BUV</v>
          </cell>
        </row>
        <row r="140">
          <cell r="B140" t="str">
            <v>CEFRADINE 500MG GELU</v>
          </cell>
        </row>
        <row r="141">
          <cell r="B141" t="str">
            <v>CEFTAZIDIME 1G PDR PR SOL INJ IM-IV</v>
          </cell>
        </row>
        <row r="142">
          <cell r="B142" t="str">
            <v>CEFTAZIDIME 250MG PDR PR SOL INJ IM-IV</v>
          </cell>
        </row>
        <row r="143">
          <cell r="B143" t="str">
            <v>CEFTAZIDIME 2G PDR PR SOL INJ IV</v>
          </cell>
        </row>
        <row r="144">
          <cell r="B144" t="str">
            <v>CEFTAZIDIME 500MG PDR PR SOL INJ IM-IV</v>
          </cell>
        </row>
        <row r="145">
          <cell r="B145" t="str">
            <v>CEFTRIAXONE SODIQ.EQ 1G/10ML PDR+SOLV INJ IV</v>
          </cell>
        </row>
        <row r="146">
          <cell r="B146" t="str">
            <v>CEFTRIAXONE SODIQ.EQ 1G/3,5ML PDR+SOLV INJ IM-SC</v>
          </cell>
        </row>
        <row r="147">
          <cell r="B147" t="str">
            <v>CEFTRIAXONE SODIQ.EQ 500MG/2ML PDR+SOLV INJ IM-SC</v>
          </cell>
        </row>
        <row r="148">
          <cell r="B148" t="str">
            <v>CEFTRIAXONE SODIQ.EQ 500MG/5ML PDR+SOLV INJ IV</v>
          </cell>
        </row>
        <row r="149">
          <cell r="B149" t="str">
            <v>CEFUROXIME AXETIL EQ 125MG CPR PELLIC</v>
          </cell>
        </row>
        <row r="150">
          <cell r="B150" t="str">
            <v>CEFUROXIME AXETIL EQ 250MG CPR PELLIC</v>
          </cell>
        </row>
        <row r="151">
          <cell r="B151" t="str">
            <v>CEFUROXIME AXETIL EQ 500MG CPR PELLIC</v>
          </cell>
        </row>
        <row r="152">
          <cell r="B152" t="str">
            <v>CELIPROLOL CHLORHYDRATE 200MG CPR PELLIC</v>
          </cell>
        </row>
        <row r="153">
          <cell r="B153" t="str">
            <v>CETIRIZINE DICHLORHYDRATE 10MG CPR PELLIC SECAB</v>
          </cell>
        </row>
        <row r="154">
          <cell r="B154" t="str">
            <v>CETIRIZINE DICHLORHYDRATE 10MG/ML SOL BUV GTT</v>
          </cell>
        </row>
        <row r="155">
          <cell r="B155" t="str">
            <v>CHLORMADINONE ACETATE 10MG CPR</v>
          </cell>
        </row>
        <row r="156">
          <cell r="B156" t="str">
            <v>CHLORMADINONE ACETATE 2MG CPR</v>
          </cell>
        </row>
        <row r="157">
          <cell r="B157" t="str">
            <v>CHLORMADINONE ACETATE 5MG CPR</v>
          </cell>
        </row>
        <row r="158">
          <cell r="B158" t="str">
            <v>CICLOPIROX 8% SOL FILM PR APPLIC LOC FL</v>
          </cell>
        </row>
        <row r="159">
          <cell r="B159" t="str">
            <v>CILAZAPRIL MONOHYDRATE 0,5MG CPR PELLIC SECAB</v>
          </cell>
        </row>
        <row r="160">
          <cell r="B160" t="str">
            <v>CILAZAPRIL MONOHYDRATE 1MG CPR PELLIC SECAB</v>
          </cell>
        </row>
        <row r="161">
          <cell r="B161" t="str">
            <v>CILAZAPRIL MONOHYDRATE 2,5MG CPR PELLIC SECAB</v>
          </cell>
        </row>
        <row r="162">
          <cell r="B162" t="str">
            <v>CIMETIDINE 200MG CPR EFFV</v>
          </cell>
        </row>
        <row r="163">
          <cell r="B163" t="str">
            <v>CIMETIDINE 200MG CPR PELLIC</v>
          </cell>
        </row>
        <row r="164">
          <cell r="B164" t="str">
            <v>CIMETIDINE 200MG/2ML SOL INJ IM IV</v>
          </cell>
        </row>
        <row r="165">
          <cell r="B165" t="str">
            <v>CIMETIDINE 400MG CPR PELLIC</v>
          </cell>
        </row>
        <row r="166">
          <cell r="B166" t="str">
            <v>CIMETIDINE 800MG CPR EFFV</v>
          </cell>
        </row>
        <row r="167">
          <cell r="B167" t="str">
            <v>CIMETIDINE 800MG CPR PELLIC SECAB</v>
          </cell>
        </row>
        <row r="168">
          <cell r="B168" t="str">
            <v>CIPROFIBRATE 100MG GELU</v>
          </cell>
        </row>
        <row r="169">
          <cell r="B169" t="str">
            <v>CIPROFLOXACINE CHL EQ 250MG CPR PELLIC</v>
          </cell>
        </row>
        <row r="170">
          <cell r="B170" t="str">
            <v>CIPROFLOXACINE CHL EQ 500MG CPR PELLIC SECAB</v>
          </cell>
        </row>
        <row r="171">
          <cell r="B171" t="str">
            <v>CIPROFLOXACINE CHL EQ200MG/100ML SOL INJ P/PERF IV</v>
          </cell>
        </row>
        <row r="172">
          <cell r="B172" t="str">
            <v>CIPROFLOXACINE CHL EQ400MG/200ML SOL INJ P/PERF IV</v>
          </cell>
        </row>
        <row r="173">
          <cell r="B173" t="str">
            <v>CITALOPRAM BROMHYDRATE EQ 20MG CPR PELLIC SECAB</v>
          </cell>
        </row>
        <row r="174">
          <cell r="B174" t="str">
            <v>CLARITHROMYCINE 250MG CPR PELLIC</v>
          </cell>
        </row>
        <row r="175">
          <cell r="B175" t="str">
            <v>CLARITHROMYCINE 25MG/ML GLE PR SUSP BUV</v>
          </cell>
        </row>
        <row r="176">
          <cell r="B176" t="str">
            <v>CLARITHROMYCINE 500MG CPR PELLIC</v>
          </cell>
        </row>
        <row r="177">
          <cell r="B177" t="str">
            <v>CLARITHROMYCINE 50MG/ML GLE PR SUSP BUV</v>
          </cell>
        </row>
        <row r="178">
          <cell r="B178" t="str">
            <v>CLINDAMYCINE PHOSPHATE EQ. 10MG/1ML SOL APPLIC LOC</v>
          </cell>
        </row>
        <row r="179">
          <cell r="B179" t="str">
            <v>CLOMIPRAMINE CHLORHYDRATE 10MG CPR ENROB</v>
          </cell>
        </row>
        <row r="180">
          <cell r="B180" t="str">
            <v>CLOMIPRAMINE CHLORHYDRATE 25MG CPR ENROB</v>
          </cell>
        </row>
        <row r="181">
          <cell r="B181" t="str">
            <v>CLOMIPRAMINE CHLORHYDRATE 75MG CPR PELLIC SECAB</v>
          </cell>
        </row>
        <row r="182">
          <cell r="B182" t="str">
            <v>CLOZAPINE 100MG CPR SECAB</v>
          </cell>
        </row>
        <row r="183">
          <cell r="B183" t="str">
            <v>CLOZAPINE 25MG CPR SECAB</v>
          </cell>
        </row>
        <row r="184">
          <cell r="B184" t="str">
            <v>CROMOGLICATE DE SODIUM 100MG/5ML SOL BUV AMP</v>
          </cell>
        </row>
        <row r="185">
          <cell r="B185" t="str">
            <v>CROMOGLICATE DE SODIUM 2% COLLY UNIDOS</v>
          </cell>
        </row>
        <row r="186">
          <cell r="B186" t="str">
            <v>CROMOGLICATE DE SODIUM 2G/100ML COLLY</v>
          </cell>
        </row>
        <row r="187">
          <cell r="B187" t="str">
            <v>CYPROTER.ACET.2MG+ETHINYLESTRADIOL 0,035MG CPR ENR</v>
          </cell>
        </row>
        <row r="188">
          <cell r="B188" t="str">
            <v>CYPROTERONE ACETATE 100MG CPR SECAB</v>
          </cell>
        </row>
        <row r="189">
          <cell r="B189" t="str">
            <v>CYPROTERONE ACETATE 50MG CPR</v>
          </cell>
        </row>
        <row r="190">
          <cell r="B190" t="str">
            <v>DEFEROXAMINE MESILATE 100MG/ML PDR+SOLV PR SOL INJ</v>
          </cell>
        </row>
        <row r="191">
          <cell r="B191" t="str">
            <v>DESOGESTREL 150Y+ETHINYLESTRADIOL 20Y CPR-MERCILON</v>
          </cell>
        </row>
        <row r="192">
          <cell r="B192" t="str">
            <v>DESOGESTREL 150Y+ETHINYLESTRADIOL 30Y CP-VARNOLINE</v>
          </cell>
        </row>
        <row r="193">
          <cell r="B193" t="str">
            <v>DEXTROPROP.27MG+PARACETAMOL 400MG+CAFEINE 30MG CPR</v>
          </cell>
        </row>
        <row r="194">
          <cell r="B194" t="str">
            <v>DEXTROPROPOXYPHENE CHL 30MG+PARACETAMOL 400MG GELU</v>
          </cell>
        </row>
        <row r="195">
          <cell r="B195" t="str">
            <v>DIACEREINE 50MG GELU</v>
          </cell>
        </row>
        <row r="196">
          <cell r="B196" t="str">
            <v>DIAZEPAM 10MG CPR SECAB</v>
          </cell>
        </row>
        <row r="197">
          <cell r="B197" t="str">
            <v>DIAZEPAM 2MG CPR SECAB</v>
          </cell>
        </row>
        <row r="198">
          <cell r="B198" t="str">
            <v>DIAZEPAM 5MG CPR SECAB</v>
          </cell>
        </row>
        <row r="199">
          <cell r="B199" t="str">
            <v>DICLOFENAC DIETHYLAMINE EQ 1G/100G GEL</v>
          </cell>
        </row>
        <row r="200">
          <cell r="B200" t="str">
            <v>DICLOFENAC DIETHYLAMINE EQ 1G/100G GEL FL PRESS</v>
          </cell>
        </row>
        <row r="201">
          <cell r="B201" t="str">
            <v>DICLOFENAC SODIQUE 100MG CPR ENROB LP</v>
          </cell>
        </row>
        <row r="202">
          <cell r="B202" t="str">
            <v>DICLOFENAC SODIQUE 100MG SUPPO</v>
          </cell>
        </row>
        <row r="203">
          <cell r="B203" t="str">
            <v>DICLOFENAC SODIQUE 25MG CPR GASTRORES</v>
          </cell>
        </row>
        <row r="204">
          <cell r="B204" t="str">
            <v>DICLOFENAC SODIQUE 25MG SUPPO</v>
          </cell>
        </row>
        <row r="205">
          <cell r="B205" t="str">
            <v>DICLOFENAC SODIQUE 50MG CPR ENROB GASTRORES</v>
          </cell>
        </row>
        <row r="206">
          <cell r="B206" t="str">
            <v>DICLOFENAC SODIQUE 75MG/3ML SOL INJ</v>
          </cell>
        </row>
        <row r="207">
          <cell r="B207" t="str">
            <v>DIHYDROERGOTAMINE MESILATE 2MG/ML SOL BUV</v>
          </cell>
        </row>
        <row r="208">
          <cell r="B208" t="str">
            <v>DIHYDROERGOTAMINE MESILATE 3MG CPR</v>
          </cell>
        </row>
        <row r="209">
          <cell r="B209" t="str">
            <v>DILTIAZEM CHLORHYDRATE 120MG GELU LP - DIACOR</v>
          </cell>
        </row>
        <row r="210">
          <cell r="B210" t="str">
            <v>DILTIAZEM CHLORHYDRATE 300MG GELU LP - DILRENE</v>
          </cell>
        </row>
        <row r="211">
          <cell r="B211" t="str">
            <v>DILTIAZEM CHLORHYDRATE 60MG CPR - TILDIEM</v>
          </cell>
        </row>
        <row r="212">
          <cell r="B212" t="str">
            <v>DILTIAZEM CHLORHYDRATE 90MG CPR ENROB LP-BITILDIEM</v>
          </cell>
        </row>
        <row r="213">
          <cell r="B213" t="str">
            <v>DILTIAZEM CHLORHYDRATE 90MG GELU LP - DIACOR</v>
          </cell>
        </row>
        <row r="214">
          <cell r="B214" t="str">
            <v>DILTIAZEM CHLORHYDRATE120MG CPR ENROB LP-BITILDIEM</v>
          </cell>
        </row>
        <row r="215">
          <cell r="B215" t="str">
            <v>DIMEGLUMINE GADOPENTETATE 0,5MMOL/ML SOL INJ IV</v>
          </cell>
        </row>
        <row r="216">
          <cell r="B216" t="str">
            <v>DIOSMINE 300MG CPR PELLIC</v>
          </cell>
        </row>
        <row r="217">
          <cell r="B217" t="str">
            <v>DIOSMINE 600MG CPR PELLIC</v>
          </cell>
        </row>
        <row r="218">
          <cell r="B218" t="str">
            <v>DIOSMINE 600MG PDR PR SUSP BUV SACH DOS</v>
          </cell>
        </row>
        <row r="219">
          <cell r="B219" t="str">
            <v>DIPIVEFRINE CHLORHYDRATE 0,1G/100ML COLLY</v>
          </cell>
        </row>
        <row r="220">
          <cell r="B220" t="str">
            <v>DISOPYRAMIDE 100MG GELU</v>
          </cell>
        </row>
        <row r="221">
          <cell r="B221" t="str">
            <v>DOMPERIDONE 10MG CPR PELLIC</v>
          </cell>
        </row>
        <row r="222">
          <cell r="B222" t="str">
            <v>DOMPERIDONE 10MG LYOT ORAL</v>
          </cell>
        </row>
        <row r="223">
          <cell r="B223" t="str">
            <v>DOMPERIDONE 1MG SUSP BUV</v>
          </cell>
        </row>
        <row r="224">
          <cell r="B224" t="str">
            <v>DONEPEZIL CHLORHYDRATE 10MG CPR PELLIC</v>
          </cell>
        </row>
        <row r="225">
          <cell r="B225" t="str">
            <v>DONEPEZIL CHLORHYDRATE 5MG CPR PELLIC</v>
          </cell>
        </row>
        <row r="226">
          <cell r="B226" t="str">
            <v>DORZOLAMIDE CHLORHYDRATE EQ 20MG/ML COLLY SOL</v>
          </cell>
        </row>
        <row r="227">
          <cell r="B227" t="str">
            <v>DOXORUBICINE CHLOR.2MG/ML LYOT INJ FL (FL10MG)</v>
          </cell>
        </row>
        <row r="228">
          <cell r="B228" t="str">
            <v>DOXORUBICINE CHLOR.2MG/ML LYOT INJ FL (FL50MG)</v>
          </cell>
        </row>
        <row r="229">
          <cell r="B229" t="str">
            <v>DOXYCYCLINE 100MG CPR SECAB</v>
          </cell>
        </row>
        <row r="230">
          <cell r="B230" t="str">
            <v>DOXYCYCLINE HYCLATE EQ 100MG GELU</v>
          </cell>
        </row>
        <row r="231">
          <cell r="B231" t="str">
            <v>ECONAZOLE NITRATE 1% CREME</v>
          </cell>
        </row>
        <row r="232">
          <cell r="B232" t="str">
            <v>ECONAZOLE NITRATE 1% EMUL FLUIDE PR APPLIC LOC</v>
          </cell>
        </row>
        <row r="233">
          <cell r="B233" t="str">
            <v>ECONAZOLE NITRATE 1% PDR PR APPLIC LOC FL PDREUR</v>
          </cell>
        </row>
        <row r="234">
          <cell r="B234" t="str">
            <v>ECONAZOLE NITRATE 1% SOL PR APPLIC LOC FL PULV</v>
          </cell>
        </row>
        <row r="235">
          <cell r="B235" t="str">
            <v>ECONAZOLE NITRATE 150MG OV LIB PROL</v>
          </cell>
        </row>
        <row r="236">
          <cell r="B236" t="str">
            <v>ENALAPRIL MAL.20MG+HYDROCHLOROTHIAZ.12,5MG CPR SEC</v>
          </cell>
        </row>
        <row r="237">
          <cell r="B237" t="str">
            <v>ENALAPRIL MALEATE 20MG CPR SECAB</v>
          </cell>
        </row>
        <row r="238">
          <cell r="B238" t="str">
            <v>ENALAPRIL MALEATE 5MG CPR SECAB</v>
          </cell>
        </row>
        <row r="239">
          <cell r="B239" t="str">
            <v>EPIRUBICINE CHLORHYDRATE 10MG PDR PR SOL PERF (FL)</v>
          </cell>
        </row>
        <row r="240">
          <cell r="B240" t="str">
            <v>EPIRUBICINE CHLORHYDRATE 50MG PDR PR SOL PERF (FL)</v>
          </cell>
        </row>
        <row r="241">
          <cell r="B241" t="str">
            <v>ERYTHROMYCINE ETHYLSUCCINATE EQ 250MG PDR ORAL SAC</v>
          </cell>
        </row>
        <row r="242">
          <cell r="B242" t="str">
            <v>ERYTHROMYCINE PROPIONATE EQ 500MG CPR</v>
          </cell>
        </row>
        <row r="243">
          <cell r="B243" t="str">
            <v>ESTRADIOL HEMIHYDRATE EQ 1MG CPR PELLIC</v>
          </cell>
        </row>
        <row r="244">
          <cell r="B244" t="str">
            <v>ESTRADIOL HEMIHYDRATE EQ 2MG CPR PELLIC</v>
          </cell>
        </row>
        <row r="245">
          <cell r="B245" t="str">
            <v>ETIDRONATE DE SODIUM 200MG CPR</v>
          </cell>
        </row>
        <row r="246">
          <cell r="B246" t="str">
            <v>ETIDRONATE DE SODIUM 400MG CPR</v>
          </cell>
        </row>
        <row r="247">
          <cell r="B247" t="str">
            <v>FAMOTIDINE 10MG CPR PELLIC</v>
          </cell>
        </row>
        <row r="248">
          <cell r="B248" t="str">
            <v>FAMOTIDINE 20MG CPR PELLIC</v>
          </cell>
        </row>
        <row r="249">
          <cell r="B249" t="str">
            <v>FAMOTIDINE 40MG CPR PELLIC</v>
          </cell>
        </row>
        <row r="250">
          <cell r="B250" t="str">
            <v>FELODIPINE 5MG CPR ENROB LIB PROL</v>
          </cell>
        </row>
        <row r="251">
          <cell r="B251" t="str">
            <v>FENOFIBRATE 100MG GELU - FENOX</v>
          </cell>
        </row>
        <row r="252">
          <cell r="B252" t="str">
            <v>FENOFIBRATE 160MG CPR PELLIC - LIPANTHYL</v>
          </cell>
        </row>
        <row r="253">
          <cell r="B253" t="str">
            <v>FENOFIBRATE 200MG GELU - LIPANTHYL</v>
          </cell>
        </row>
        <row r="254">
          <cell r="B254" t="str">
            <v>FENOFIBRATE 300MG GELU - FENOX</v>
          </cell>
        </row>
        <row r="255">
          <cell r="B255" t="str">
            <v>FENOFIBRATE 67MG GELU - LIPANTHYL</v>
          </cell>
        </row>
        <row r="256">
          <cell r="B256" t="str">
            <v>FENTANYL 100 MICROGRAMMES/HEURE DISP TRANS</v>
          </cell>
        </row>
        <row r="257">
          <cell r="B257" t="str">
            <v>FENTANYL 12 MICROGRAMMES/HEURE DISP TRANS</v>
          </cell>
        </row>
        <row r="258">
          <cell r="B258" t="str">
            <v>FENTANYL 25 MICROGRAMMES/HEURE DISP TRANS</v>
          </cell>
        </row>
        <row r="259">
          <cell r="B259" t="str">
            <v>FENTANYL 50 MICROGRAMMES/HEURE DISP TRANS</v>
          </cell>
        </row>
        <row r="260">
          <cell r="B260" t="str">
            <v>FENTANYL 75 MICROGRAMMES/HEURE DISP TRANS</v>
          </cell>
        </row>
        <row r="261">
          <cell r="B261" t="str">
            <v>FEXOFENADINE CHLORHYDRATE 120MG CPR PELLIC</v>
          </cell>
        </row>
        <row r="262">
          <cell r="B262" t="str">
            <v>FEXOFENADINE CHLORHYDRATE 180MG CPR PELLIC</v>
          </cell>
        </row>
        <row r="263">
          <cell r="B263" t="str">
            <v>FINASTERIDE 5MG CPR PELLIC</v>
          </cell>
        </row>
        <row r="264">
          <cell r="B264" t="str">
            <v>FLECAINIDE ACETATE 100MG CPR SECAB</v>
          </cell>
        </row>
        <row r="265">
          <cell r="B265" t="str">
            <v>FLUCONAZOLE 100MG GELU - TRIFLUCAN</v>
          </cell>
        </row>
        <row r="266">
          <cell r="B266" t="str">
            <v>FLUCONAZOLE 150MG GELU - BEAGYNE</v>
          </cell>
        </row>
        <row r="267">
          <cell r="B267" t="str">
            <v>FLUCONAZOLE 200MG GELU - TRIFLUCAN</v>
          </cell>
        </row>
        <row r="268">
          <cell r="B268" t="str">
            <v>FLUCONAZOLE 50MG GELU - TRIFLUCAN</v>
          </cell>
        </row>
        <row r="269">
          <cell r="B269" t="str">
            <v>FLUCONAZOLE 50MG/5ML PDR PR SUSP BUV - TRIFLUCAN</v>
          </cell>
        </row>
        <row r="270">
          <cell r="B270" t="str">
            <v>FLUMAZENIL 1MG/10ML SOL INJ IV (AMP10ML)</v>
          </cell>
        </row>
        <row r="271">
          <cell r="B271" t="str">
            <v>FLUOROURACILE 50MG/ML SOL INJ FL (FL5ML)</v>
          </cell>
        </row>
        <row r="272">
          <cell r="B272" t="str">
            <v>FLUOXETINE CHLORHYDRATE EQ 20MG CPR DISP SECAB</v>
          </cell>
        </row>
        <row r="273">
          <cell r="B273" t="str">
            <v>FLUOXETINE CHLORHYDRATE EQ 20MG GELU</v>
          </cell>
        </row>
        <row r="274">
          <cell r="B274" t="str">
            <v>FLUOXETINE CHLORHYDRATE EQ 20MG/5ML SOL BUV FL</v>
          </cell>
        </row>
        <row r="275">
          <cell r="B275" t="str">
            <v>FLUTAMIDE 250MG CPR</v>
          </cell>
        </row>
        <row r="276">
          <cell r="B276" t="str">
            <v>FLUVASTATINE SODIQUE EQ 20MG GELU</v>
          </cell>
        </row>
        <row r="277">
          <cell r="B277" t="str">
            <v>FLUVASTATINE SODIQUE EQ 40MG GELU</v>
          </cell>
        </row>
        <row r="278">
          <cell r="B278" t="str">
            <v>FLUVASTATINE SODIQUE EQ 80MG CPR PELLIC LIB PROL</v>
          </cell>
        </row>
        <row r="279">
          <cell r="B279" t="str">
            <v>FLUVOXAMINE MALEATE 100MG CPR PELLIC</v>
          </cell>
        </row>
        <row r="280">
          <cell r="B280" t="str">
            <v>FLUVOXAMINE MALEATE 50MG CPR PELLIC</v>
          </cell>
        </row>
        <row r="281">
          <cell r="B281" t="str">
            <v>FOSINOPRIL 10MG CPR SECAB</v>
          </cell>
        </row>
        <row r="282">
          <cell r="B282" t="str">
            <v>FOSINOPRIL 20MG CPR</v>
          </cell>
        </row>
        <row r="283">
          <cell r="B283" t="str">
            <v>FOSINOPRIL SODIQ.20MG+HYDROCHLOROTHIAZ.12,5MG CPR</v>
          </cell>
        </row>
        <row r="284">
          <cell r="B284" t="str">
            <v>FUROSEMIDE 20MG CPR</v>
          </cell>
        </row>
        <row r="285">
          <cell r="B285" t="str">
            <v>FUROSEMIDE 20MG/2ML SOL INJ AMP</v>
          </cell>
        </row>
        <row r="286">
          <cell r="B286" t="str">
            <v>FUROSEMIDE 40MG CPR SECAB</v>
          </cell>
        </row>
        <row r="287">
          <cell r="B287" t="str">
            <v>GABAPENTINE 100MG GELU</v>
          </cell>
        </row>
        <row r="288">
          <cell r="B288" t="str">
            <v>GABAPENTINE 300MG GELU</v>
          </cell>
        </row>
        <row r="289">
          <cell r="B289" t="str">
            <v>GABAPENTINE 400MG GELU</v>
          </cell>
        </row>
        <row r="290">
          <cell r="B290" t="str">
            <v>GABAPENTINE 600MG CPR PELLIC</v>
          </cell>
        </row>
        <row r="291">
          <cell r="B291" t="str">
            <v>GABAPENTINE 800MG CPR PELLIC</v>
          </cell>
        </row>
        <row r="292">
          <cell r="B292" t="str">
            <v>GESTODENE 0,06MG+ETHINYLESTRADIOL 0,015MG CPR PELL</v>
          </cell>
        </row>
        <row r="293">
          <cell r="B293" t="str">
            <v>GESTODENE 0,075MG+ETHINYLESTRADIOL0,02MG CPR ENROB</v>
          </cell>
        </row>
        <row r="294">
          <cell r="B294" t="str">
            <v>GESTODENE 0,075MG+ETHINYLESTRADIOL0,03MG CPR ENROB</v>
          </cell>
        </row>
        <row r="295">
          <cell r="B295" t="str">
            <v>GESTODENE/ETHINYL.0,05/0,03-0,07/0,04-0,1/0,03 CPR</v>
          </cell>
        </row>
        <row r="296">
          <cell r="B296" t="str">
            <v>GLIBENCLAMIDE 2,5MG CPR SECAB</v>
          </cell>
        </row>
        <row r="297">
          <cell r="B297" t="str">
            <v>GLIBENCLAMIDE 5MG CPR SECAB</v>
          </cell>
        </row>
        <row r="298">
          <cell r="B298" t="str">
            <v>GLICLAZIDE 30MG CPR LIB MODIF</v>
          </cell>
        </row>
        <row r="299">
          <cell r="B299" t="str">
            <v>GLICLAZIDE 80MG CPR SECAB</v>
          </cell>
        </row>
        <row r="300">
          <cell r="B300" t="str">
            <v>GLIMEPIRIDE 1MG CPR</v>
          </cell>
        </row>
        <row r="301">
          <cell r="B301" t="str">
            <v>GLIMEPIRIDE 2MG CPR</v>
          </cell>
        </row>
        <row r="302">
          <cell r="B302" t="str">
            <v>GLIMEPIRIDE 3MG CPR</v>
          </cell>
        </row>
        <row r="303">
          <cell r="B303" t="str">
            <v>GLIMEPIRIDE 4MG CPR</v>
          </cell>
        </row>
        <row r="304">
          <cell r="B304" t="str">
            <v>GLIPIZIDE 5MG CPR SECAB</v>
          </cell>
        </row>
        <row r="305">
          <cell r="B305" t="str">
            <v>GRANISETRON CHLORHYDRATE EQ 1MG CPR PELLIC</v>
          </cell>
        </row>
        <row r="306">
          <cell r="B306" t="str">
            <v>GRANISETRON CHLORHYDRATE EQ 2MG CPR PELLIC</v>
          </cell>
        </row>
        <row r="307">
          <cell r="B307" t="str">
            <v>GRANISETRON CHLORHYDRATE EQ 3MG/3ML SOL INJ IV</v>
          </cell>
        </row>
        <row r="308">
          <cell r="B308" t="str">
            <v>IBUPROFENE 200MG CAPS MOL - NUROFEN</v>
          </cell>
        </row>
        <row r="309">
          <cell r="B309" t="str">
            <v>IBUPROFENE 200MG CPR ENROB - ADVIL</v>
          </cell>
        </row>
        <row r="310">
          <cell r="B310" t="str">
            <v>IBUPROFENE 200MG CPR ENROB - NUREFLEX</v>
          </cell>
        </row>
        <row r="311">
          <cell r="B311" t="str">
            <v>IBUPROFENE 20MG/ML S/SUCRE SUSP BUV - NUROFENPRO</v>
          </cell>
        </row>
        <row r="312">
          <cell r="B312" t="str">
            <v>IBUPROFENE 20MG/ML SUSP BUV - NUREFLEX</v>
          </cell>
        </row>
        <row r="313">
          <cell r="B313" t="str">
            <v>IBUPROFENE 400MG CPR ENROB - ADVIL</v>
          </cell>
        </row>
        <row r="314">
          <cell r="B314" t="str">
            <v>IBUPROFENE 400MG CPR ENROB - BRUFEN</v>
          </cell>
        </row>
        <row r="315">
          <cell r="B315" t="str">
            <v>IBUPROFENE 5% GEL - ADVIL</v>
          </cell>
        </row>
        <row r="316">
          <cell r="B316" t="str">
            <v>IMIPENEM+CILASTATINE SODIQ.EQ 500MG/500MG PDR PERF</v>
          </cell>
        </row>
        <row r="317">
          <cell r="B317" t="str">
            <v>IMIPENEM+CILASTATINE SODIQ.EQ500/500 PDR PERF+SYST</v>
          </cell>
        </row>
        <row r="318">
          <cell r="B318" t="str">
            <v>INDAPAMIDE 1,5MG CPR PELLIC LIB PROL</v>
          </cell>
        </row>
        <row r="319">
          <cell r="B319" t="str">
            <v>INDAPAMIDE 2,5MG CPR PELLIC</v>
          </cell>
        </row>
        <row r="320">
          <cell r="B320" t="str">
            <v>INDOMETACINE 50MG SUPPO</v>
          </cell>
        </row>
        <row r="321">
          <cell r="B321" t="str">
            <v>IOHEXOL EQ 350MG I/ML SOL INJ</v>
          </cell>
        </row>
        <row r="322">
          <cell r="B322" t="str">
            <v>IPRATROPIUM BROMURE 0,25MG/1ML SOL INHAL NEB UNID.</v>
          </cell>
        </row>
        <row r="323">
          <cell r="B323" t="str">
            <v>IPRATROPIUM BROMURE 0,5MG/2ML SOL INHAL NEB UNIDOS</v>
          </cell>
        </row>
        <row r="324">
          <cell r="B324" t="str">
            <v>ISOSORBIDE DINITRATE 20MG CPR LP - RISORDAN</v>
          </cell>
        </row>
        <row r="325">
          <cell r="B325" t="str">
            <v>ISOSORBIDE DINITRATE 20MG GELU LP - LANGORAN</v>
          </cell>
        </row>
        <row r="326">
          <cell r="B326" t="str">
            <v>ISOSORBIDE DINITRATE 40MG CPR LP - RISORDAN</v>
          </cell>
        </row>
        <row r="327">
          <cell r="B327" t="str">
            <v>ISOSORBIDE DINITRATE 40MG GELU LP - LANGORAN</v>
          </cell>
        </row>
        <row r="328">
          <cell r="B328" t="str">
            <v>ISOSORBIDE DINITRATE 80MG GELU LP - LANGORAN</v>
          </cell>
        </row>
        <row r="329">
          <cell r="B329" t="str">
            <v>ISOTRETINOINE 10MG CAPS MOL</v>
          </cell>
        </row>
        <row r="330">
          <cell r="B330" t="str">
            <v>ISOTRETINOINE 20MG CAPS MOL</v>
          </cell>
        </row>
        <row r="331">
          <cell r="B331" t="str">
            <v>ISOTRETINOINE 5MG CAPS MOL</v>
          </cell>
        </row>
        <row r="332">
          <cell r="B332" t="str">
            <v>ITRACONAZOLE 100MG GELU</v>
          </cell>
        </row>
        <row r="333">
          <cell r="B333" t="str">
            <v>KETOCONAZOLE 2% GEL RECIPIENT UNIDOS</v>
          </cell>
        </row>
        <row r="334">
          <cell r="B334" t="str">
            <v>KETOCONAZOLE 2% GEL SACH DOS</v>
          </cell>
        </row>
        <row r="335">
          <cell r="B335" t="str">
            <v>KETOPROFENE 100MG CPR PELLIC - PROFENID</v>
          </cell>
        </row>
        <row r="336">
          <cell r="B336" t="str">
            <v>KETOPROFENE 100MG PDR&amp;SOLV PR SOL INJ IM-PROFENID</v>
          </cell>
        </row>
        <row r="337">
          <cell r="B337" t="str">
            <v>KETOPROFENE 100MG/2ML SOL INJ IM - PROFENID</v>
          </cell>
        </row>
        <row r="338">
          <cell r="B338" t="str">
            <v>KETOPROFENE 2,5% GEL - KETUM</v>
          </cell>
        </row>
        <row r="339">
          <cell r="B339" t="str">
            <v>KETOPROFENE 2,5% GEL TB - PROFENID</v>
          </cell>
        </row>
        <row r="340">
          <cell r="B340" t="str">
            <v>KETOPROFENE 200MG CPR ENROB LP - PROFENID</v>
          </cell>
        </row>
        <row r="341">
          <cell r="B341" t="str">
            <v>KETOPROFENE 200MG GELU LP - PROFENID</v>
          </cell>
        </row>
        <row r="342">
          <cell r="B342" t="str">
            <v>KETOPROFENE 50MG GELU - PROFENID</v>
          </cell>
        </row>
        <row r="343">
          <cell r="B343" t="str">
            <v>KETOTIFENE FUMARATE EQ 1MG GELU</v>
          </cell>
        </row>
        <row r="344">
          <cell r="B344" t="str">
            <v>LACTULOSE 10G SOL BUV SACH DOS</v>
          </cell>
        </row>
        <row r="345">
          <cell r="B345" t="str">
            <v>LACTULOSE 66,5% SOL BUV FL</v>
          </cell>
        </row>
        <row r="346">
          <cell r="B346" t="str">
            <v>LAMOTRIGINE 100MG CPR DISP CROQ - LAMICTAL</v>
          </cell>
        </row>
        <row r="347">
          <cell r="B347" t="str">
            <v>LAMOTRIGINE 200MG CPR DISP CROQ - LAMICTAL</v>
          </cell>
        </row>
        <row r="348">
          <cell r="B348" t="str">
            <v>LAMOTRIGINE 25MG CPR (1ER MOIS TRAIT)-LAMICSTART</v>
          </cell>
        </row>
        <row r="349">
          <cell r="B349" t="str">
            <v>LAMOTRIGINE 25MG CPR - LAMICTAL</v>
          </cell>
        </row>
        <row r="350">
          <cell r="B350" t="str">
            <v>LAMOTRIGINE 25MG CPR DISP CROQ - LAMICTAL</v>
          </cell>
        </row>
        <row r="351">
          <cell r="B351" t="str">
            <v>LAMOTRIGINE 2MG CPR DISP CROQ - LAMICTAL</v>
          </cell>
        </row>
        <row r="352">
          <cell r="B352" t="str">
            <v>LAMOTRIGINE 50MG CPR (1ER MOIS TRAIT)-LAMICSTART</v>
          </cell>
        </row>
        <row r="353">
          <cell r="B353" t="str">
            <v>LAMOTRIGINE 50MG CPR - LAMICTAL</v>
          </cell>
        </row>
        <row r="354">
          <cell r="B354" t="str">
            <v>LAMOTRIGINE 50MG CPR DISP CROQ - LAMICTAL</v>
          </cell>
        </row>
        <row r="355">
          <cell r="B355" t="str">
            <v>LAMOTRIGINE 5MG CPR DISP CROQ - LAMICTAL</v>
          </cell>
        </row>
        <row r="356">
          <cell r="B356" t="str">
            <v>LANSOPRAZOLE 15MG CPR ORODISP - OGASTORO</v>
          </cell>
        </row>
        <row r="357">
          <cell r="B357" t="str">
            <v>LANSOPRAZOLE 15MG GELU GASTRO-RES - LANZOR</v>
          </cell>
        </row>
        <row r="358">
          <cell r="B358" t="str">
            <v>LANSOPRAZOLE 30MG CPR ORODISP - OGASTORO</v>
          </cell>
        </row>
        <row r="359">
          <cell r="B359" t="str">
            <v>LANSOPRAZOLE 30MG GELU GASTRO-RES - LANZOR</v>
          </cell>
        </row>
        <row r="360">
          <cell r="B360" t="str">
            <v>LERCANIDIPINE CHLORHYDRATE 10MG CPR PELLIC SECAB</v>
          </cell>
        </row>
        <row r="361">
          <cell r="B361" t="str">
            <v>LERCANIDIPINE CHLORHYDRATE 20MG CPR PELLIC</v>
          </cell>
        </row>
        <row r="362">
          <cell r="B362" t="str">
            <v>LETROZOLE 2,5MG CPR PELLIC</v>
          </cell>
        </row>
        <row r="363">
          <cell r="B363" t="str">
            <v>LEVO 0,05 0,075 0,125+ETHIN 0,03 0,04 0,03 CPR ENR</v>
          </cell>
        </row>
        <row r="364">
          <cell r="B364" t="str">
            <v>LEVOCETIRIZINE DICHLORHYDRATE 5MG CPR PELLIC</v>
          </cell>
        </row>
        <row r="365">
          <cell r="B365" t="str">
            <v>LEVODOPA 100MG + BENSERAZIDE CHL.EQ 25MG GELU</v>
          </cell>
        </row>
        <row r="366">
          <cell r="B366" t="str">
            <v>LEVODOPA 200MG + BENSERAZIDE CHL.EQ 50MG GELU</v>
          </cell>
        </row>
        <row r="367">
          <cell r="B367" t="str">
            <v>LEVODOPA 50MG + BENSERAZIDE CHL.EQ 12,5MG GELU</v>
          </cell>
        </row>
        <row r="368">
          <cell r="B368" t="str">
            <v>LEVOFLOXACINE HEMIHYDRATE EQ 500MG CPR PELL SECAB</v>
          </cell>
        </row>
        <row r="369">
          <cell r="B369" t="str">
            <v>LEVOFOLINATE DE CALCIUM EQ 25MG/2,5ML SOL INJ</v>
          </cell>
        </row>
        <row r="370">
          <cell r="B370" t="str">
            <v>LEVONORGESTREL 1,5MG CPR</v>
          </cell>
        </row>
        <row r="371">
          <cell r="B371" t="str">
            <v>LEVONORGESTREL0,15+ETHIN 0,03 CPR ENROB-ADEPAL</v>
          </cell>
        </row>
        <row r="372">
          <cell r="B372" t="str">
            <v>LEVONORGESTREL0,15+ETHIN 0,03 CPR ENROB-MINIDRIL</v>
          </cell>
        </row>
        <row r="373">
          <cell r="B373" t="str">
            <v>LIDOCAINE 2,5% + PRILOCAINE 2,5% CREME</v>
          </cell>
        </row>
        <row r="374">
          <cell r="B374" t="str">
            <v>LIDOCAINE CHLORHYDRATE 2% SOL INJ</v>
          </cell>
        </row>
        <row r="375">
          <cell r="B375" t="str">
            <v>LISINOPRIL DIHYDRATE EQ 20MG CPR SECAB</v>
          </cell>
        </row>
        <row r="376">
          <cell r="B376" t="str">
            <v>LISINOPRIL DIHYDRATE EQ 5MG CPR SECAB</v>
          </cell>
        </row>
        <row r="377">
          <cell r="B377" t="str">
            <v>LISINOPRIL EQ 20MG+HYDROCHLOROTHIAZ.12,5MG CPR SEC</v>
          </cell>
        </row>
        <row r="378">
          <cell r="B378" t="str">
            <v>LOPERAMIDE CHLORHYDRATE 2MG GELU</v>
          </cell>
        </row>
        <row r="379">
          <cell r="B379" t="str">
            <v>LORATADINE 10MG CPR</v>
          </cell>
        </row>
        <row r="380">
          <cell r="B380" t="str">
            <v>LORATADINE 1MG/ML SIR</v>
          </cell>
        </row>
        <row r="381">
          <cell r="B381" t="str">
            <v>LORAZEPAM 1MG CPR SECAB</v>
          </cell>
        </row>
        <row r="382">
          <cell r="B382" t="str">
            <v>LORAZEPAM 2,5MG CPR SECAB</v>
          </cell>
        </row>
        <row r="383">
          <cell r="B383" t="str">
            <v>LOSARTAN POTASSIUM 100MG CPR PELLIC</v>
          </cell>
        </row>
        <row r="384">
          <cell r="B384" t="str">
            <v>LOSARTAN POTASSIUM 50MG CPR ENROB SECAB</v>
          </cell>
        </row>
        <row r="385">
          <cell r="B385" t="str">
            <v>LOSARTAN POTASSIUM 50MG+HYDROCHLOR.12,5MG CPR PELL</v>
          </cell>
        </row>
        <row r="386">
          <cell r="B386" t="str">
            <v>MACROGOL 4000 10G PDR PR SOL BUV SACH DOS</v>
          </cell>
        </row>
        <row r="387">
          <cell r="B387" t="str">
            <v>MAGNESIUM DIHYDRATE 470MG+PYRIDOXINE 5MG CPR ENROB</v>
          </cell>
        </row>
        <row r="388">
          <cell r="B388" t="str">
            <v>MEBEVERINE CHLORHYDRATE 100MG CPR ENROB</v>
          </cell>
        </row>
        <row r="389">
          <cell r="B389" t="str">
            <v>MEBEVERINE CHLORHYDRATE 200MG GELU</v>
          </cell>
        </row>
        <row r="390">
          <cell r="B390" t="str">
            <v>MELOXICAM 15MG CPR SECAB</v>
          </cell>
        </row>
        <row r="391">
          <cell r="B391" t="str">
            <v>MELOXICAM 7,5MG CPR</v>
          </cell>
        </row>
        <row r="392">
          <cell r="B392" t="str">
            <v>METFORMINE CHLORHYDRATE 1000MG CPR PELLIC SECAB</v>
          </cell>
        </row>
        <row r="393">
          <cell r="B393" t="str">
            <v>METFORMINE CHLORHYDRATE 500MG CPR PELLIC</v>
          </cell>
        </row>
        <row r="394">
          <cell r="B394" t="str">
            <v>METFORMINE CHLORHYDRATE 850MG CPR PELLIC</v>
          </cell>
        </row>
        <row r="395">
          <cell r="B395" t="str">
            <v>METHOTREXATE 2,5MG CPR</v>
          </cell>
        </row>
        <row r="396">
          <cell r="B396" t="str">
            <v>METHOTREXATE 2,5MG/ML SOL INJ</v>
          </cell>
        </row>
        <row r="397">
          <cell r="B397" t="str">
            <v>METHOTREXATE 50MG/2ML SOL INJ</v>
          </cell>
        </row>
        <row r="398">
          <cell r="B398" t="str">
            <v>METOCLOPRAMIDE CHLORHYDRATE 10MG CPR SECAB</v>
          </cell>
        </row>
        <row r="399">
          <cell r="B399" t="str">
            <v>METOCLOPRAMIDE CHLORHYDRATE EQ 0,1% SOL BUV</v>
          </cell>
        </row>
        <row r="400">
          <cell r="B400" t="str">
            <v>METOPROLOL TARTRATE 100MG CPR SECAB</v>
          </cell>
        </row>
        <row r="401">
          <cell r="B401" t="str">
            <v>MIANSERINE CHLORHYDRATE 10MG CPR PELLIC</v>
          </cell>
        </row>
        <row r="402">
          <cell r="B402" t="str">
            <v>MIANSERINE CHLORHYDRATE 30MG CPR PELLIC</v>
          </cell>
        </row>
        <row r="403">
          <cell r="B403" t="str">
            <v>MIANSERINE CHLORHYDRATE 60MG CPR PELLIC SECAB</v>
          </cell>
        </row>
        <row r="404">
          <cell r="B404" t="str">
            <v>MIFEPRISTONE 200MG CPR</v>
          </cell>
        </row>
        <row r="405">
          <cell r="B405" t="str">
            <v>MINOCYCLINE CHLOR. EQ 100MG CPR PELL SEC-MESTACINE</v>
          </cell>
        </row>
        <row r="406">
          <cell r="B406" t="str">
            <v>MINOCYCLINE CHLORHYDRATE EQ 100MG GELU - MYNOCINE</v>
          </cell>
        </row>
        <row r="407">
          <cell r="B407" t="str">
            <v>MINOCYCLINE CHLORHYDRATE EQ 50MG GELU - MYNOCINE</v>
          </cell>
        </row>
        <row r="408">
          <cell r="B408" t="str">
            <v>MINOXIDIL 5% SOL PR APPLIC CUTA</v>
          </cell>
        </row>
        <row r="409">
          <cell r="B409" t="str">
            <v>MIRTAZAPINE 15MG CPR PELLIC</v>
          </cell>
        </row>
        <row r="410">
          <cell r="B410" t="str">
            <v>MOCLOBEMIDE 150MG CPR PELLIC SECAB</v>
          </cell>
        </row>
        <row r="411">
          <cell r="B411" t="str">
            <v>MODAFINIL 100MG CPR</v>
          </cell>
        </row>
        <row r="412">
          <cell r="B412" t="str">
            <v>MOLSIDOMINE 2MG CPR SECAB</v>
          </cell>
        </row>
        <row r="413">
          <cell r="B413" t="str">
            <v>MOLSIDOMINE 4MG CPR</v>
          </cell>
        </row>
        <row r="414">
          <cell r="B414" t="str">
            <v>MOXONIDINE 0,2MG CPR PELLIC</v>
          </cell>
        </row>
        <row r="415">
          <cell r="B415" t="str">
            <v>MOXONIDINE 0,4MG CPR PELLIC</v>
          </cell>
        </row>
        <row r="416">
          <cell r="B416" t="str">
            <v>MYCOPHENOLATE MOFETIL 250MG - GELU</v>
          </cell>
        </row>
        <row r="417">
          <cell r="B417" t="str">
            <v>NAFTIDROFURYL OXALATE ACIDE 100MG GELU</v>
          </cell>
        </row>
        <row r="418">
          <cell r="B418" t="str">
            <v>NAFTIDROFURYL OXALATE ACIDE 200MG CPR PELLIC</v>
          </cell>
        </row>
        <row r="419">
          <cell r="B419" t="str">
            <v>NALOXONE CHLORHYDRATE 0,4MG/1ML SOL INJ AMP</v>
          </cell>
        </row>
        <row r="420">
          <cell r="B420" t="str">
            <v>NALTREXONE CHLORHYDRATE 50MG CPR PELLIC SECAB</v>
          </cell>
        </row>
        <row r="421">
          <cell r="B421" t="str">
            <v>NAPROXENE 250MG CPR</v>
          </cell>
        </row>
        <row r="422">
          <cell r="B422" t="str">
            <v>NAPROXENE 500MG CPR</v>
          </cell>
        </row>
        <row r="423">
          <cell r="B423" t="str">
            <v>NAPROXENE SODIQUE 275MG CPR PELLIC</v>
          </cell>
        </row>
        <row r="424">
          <cell r="B424" t="str">
            <v>NAPROXENE SODIQUE 550MG CPR PELLIC SECAB</v>
          </cell>
        </row>
        <row r="425">
          <cell r="B425" t="str">
            <v>NARATRIPTAN CHLORHYDRATE EQ 2,5MG CPR PELLIC</v>
          </cell>
        </row>
        <row r="426">
          <cell r="B426" t="str">
            <v>NEBIVOLOL CHLORHYDRATE EQ 5MG CPR 4-SECAB</v>
          </cell>
        </row>
        <row r="427">
          <cell r="B427" t="str">
            <v>NICARDIPINE CHLORHYDRATE 10MG/10ML SOL INJ IV</v>
          </cell>
        </row>
        <row r="428">
          <cell r="B428" t="str">
            <v>NICERGOLINE 10MG GELU</v>
          </cell>
        </row>
        <row r="429">
          <cell r="B429" t="str">
            <v>NICERGOLINE 5MG GELU</v>
          </cell>
        </row>
        <row r="430">
          <cell r="B430" t="str">
            <v>NICORANDIL 10MG CPR SECAB</v>
          </cell>
        </row>
        <row r="431">
          <cell r="B431" t="str">
            <v>NICORANDIL 20MG CPR</v>
          </cell>
        </row>
        <row r="432">
          <cell r="B432" t="str">
            <v>NIFEDIPINE 10MG CAPS</v>
          </cell>
        </row>
        <row r="433">
          <cell r="B433" t="str">
            <v>NIFEDIPINE 20MG CPR LP</v>
          </cell>
        </row>
        <row r="434">
          <cell r="B434" t="str">
            <v>NIFEDIPINE 30MG CPR PELLIC LP</v>
          </cell>
        </row>
        <row r="435">
          <cell r="B435" t="str">
            <v>NIFUROXAZIDE 200MG GELU</v>
          </cell>
        </row>
        <row r="436">
          <cell r="B436" t="str">
            <v>NIFUROXAZIDE 4% SUSP BUV</v>
          </cell>
        </row>
        <row r="437">
          <cell r="B437" t="str">
            <v>NIMESULIDE 100MG CPR</v>
          </cell>
        </row>
        <row r="438">
          <cell r="B438" t="str">
            <v>NITRENDIPINE 10MG CPR</v>
          </cell>
        </row>
        <row r="439">
          <cell r="B439" t="str">
            <v>NITRENDIPINE 20MG CPR</v>
          </cell>
        </row>
        <row r="440">
          <cell r="B440" t="str">
            <v>NOMEGESTROL ACETATE 5MG CPR SECAB</v>
          </cell>
        </row>
        <row r="441">
          <cell r="B441" t="str">
            <v>NORFLOXACINE 400MG CPR ENROB</v>
          </cell>
        </row>
        <row r="442">
          <cell r="B442" t="str">
            <v>OCTREOTIDE ACETATE EQ 100MCG/1ML SOL INJ</v>
          </cell>
        </row>
        <row r="443">
          <cell r="B443" t="str">
            <v>OCTREOTIDE ACETATE EQ 500MCG/1ML SOL INJ AMP SC</v>
          </cell>
        </row>
        <row r="444">
          <cell r="B444" t="str">
            <v>OCTREOTIDE ACETATE EQ 50MCG/1ML SOL INJ</v>
          </cell>
        </row>
        <row r="445">
          <cell r="B445" t="str">
            <v>OFLOXACINE 200MG CPR PELLIC - MONOFLOCET</v>
          </cell>
        </row>
        <row r="446">
          <cell r="B446" t="str">
            <v>OFLOXACINE 200MG CPR PELLIC SECAB - OFLOCET</v>
          </cell>
        </row>
        <row r="447">
          <cell r="B447" t="str">
            <v>OMEPRAZOLE 10MG GELU GASTRO-RES</v>
          </cell>
        </row>
        <row r="448">
          <cell r="B448" t="str">
            <v>OMEPRAZOLE 20MG GELU GASTRO-RES</v>
          </cell>
        </row>
        <row r="449">
          <cell r="B449" t="str">
            <v>ONDANSETRON 4MG LYOT ORAL</v>
          </cell>
        </row>
        <row r="450">
          <cell r="B450" t="str">
            <v>ONDANSETRON 8MG LYOT ORAL</v>
          </cell>
        </row>
        <row r="451">
          <cell r="B451" t="str">
            <v>ONDANSETRON CHLORHYD.DIHYD.EQ2MG/ML SOL INJ AMP IV</v>
          </cell>
        </row>
        <row r="452">
          <cell r="B452" t="str">
            <v>ONDANSETRON CHLORHYDRATE DIHYDRATE EQ 4MG CPR PELL</v>
          </cell>
        </row>
        <row r="453">
          <cell r="B453" t="str">
            <v>ONDANSETRON CHLORHYDRATE DIHYDRATE EQ 8MG CPR PELL</v>
          </cell>
        </row>
        <row r="454">
          <cell r="B454" t="str">
            <v>OXCARBAZEPINE 150MG CPR PELLIC</v>
          </cell>
        </row>
        <row r="455">
          <cell r="B455" t="str">
            <v>OXCARBAZEPINE 300MG CPR PELLIC</v>
          </cell>
        </row>
        <row r="456">
          <cell r="B456" t="str">
            <v>OXCARBAZEPINE 600MG CPR PELLIC</v>
          </cell>
        </row>
        <row r="457">
          <cell r="B457" t="str">
            <v>OXYBUTYNINE CHLORHYDRATE 5MG CPR SECAB</v>
          </cell>
        </row>
        <row r="458">
          <cell r="B458" t="str">
            <v>OXYTOCINE 5UI/1ML SOL INJ AMP</v>
          </cell>
        </row>
        <row r="459">
          <cell r="B459" t="str">
            <v>PAMIDRONATE DE SODIUM 15MG/5ML PDR+SOLV P/SOL PERF</v>
          </cell>
        </row>
        <row r="460">
          <cell r="B460" t="str">
            <v>PAMIDRONATE DE SODIUM 60MG/10ML PDR+SOL P/SOL PERF</v>
          </cell>
        </row>
        <row r="461">
          <cell r="B461" t="str">
            <v>PAMIDRONATE DE SODIUM 90MG/10ML PDR+SOL P/SOL PERF</v>
          </cell>
        </row>
        <row r="462">
          <cell r="B462" t="str">
            <v>PANTOPRAZOLE SODIQ.SESQUIHYD.EQ 20MG CPR GASTRORES</v>
          </cell>
        </row>
        <row r="463">
          <cell r="B463" t="str">
            <v>PANTOPRAZOLE SODIQ.SESQUIHYD.EQ 40MG CPR GASTRORES</v>
          </cell>
        </row>
        <row r="464">
          <cell r="B464" t="str">
            <v>PAROXETINE CHLORHYDRATE EQ 20MG CPR PELLIC SECAB</v>
          </cell>
        </row>
        <row r="465">
          <cell r="B465" t="str">
            <v>PENTOXIFYLLINE 400MG CPR ENROB LP</v>
          </cell>
        </row>
        <row r="466">
          <cell r="B466" t="str">
            <v>PERGOLIDE MESILATE EQ 0,05MG CPR SECAB</v>
          </cell>
        </row>
        <row r="467">
          <cell r="B467" t="str">
            <v>PERGOLIDE MESILATE EQ 0,25MG CPR SECAB</v>
          </cell>
        </row>
        <row r="468">
          <cell r="B468" t="str">
            <v>PERIND.T-B.2MG-PERIND.ARG.2,5MG+INDAPAM.0,625MG CP</v>
          </cell>
        </row>
        <row r="469">
          <cell r="B469" t="str">
            <v>PERIND.T-B.4MG-PERIND.ARG.5MG+INDAPAM.1,25MG CPR</v>
          </cell>
        </row>
        <row r="470">
          <cell r="B470" t="str">
            <v>PERINDOPRIL T-B.2MG EQ-PERINDOPRIL ARG.2,5MG EQ CP</v>
          </cell>
        </row>
        <row r="471">
          <cell r="B471" t="str">
            <v>PERINDOPRIL T-B.4MG EQ-PERINDOPRIL ARG.5MG EQ CPR</v>
          </cell>
        </row>
        <row r="472">
          <cell r="B472" t="str">
            <v>PERINDOPRIL T-B.8MG EQ-PERINDOPRIL ARG.10MG EQ CPR</v>
          </cell>
        </row>
        <row r="473">
          <cell r="B473" t="str">
            <v>PEROXYDE DE BENZOYLE HYDRATE 2,5% GEL APPLIC LOC</v>
          </cell>
        </row>
        <row r="474">
          <cell r="B474" t="str">
            <v>PEROXYDE DE BENZOYLE HYDRATE 5% GEL APPLIC LOC</v>
          </cell>
        </row>
        <row r="475">
          <cell r="B475" t="str">
            <v>PHLOROGLUCINOL 80MG LYOPH ORAL</v>
          </cell>
        </row>
        <row r="476">
          <cell r="B476" t="str">
            <v>PINAVERIUM BROMURE 100MG CPR PELLIC</v>
          </cell>
        </row>
        <row r="477">
          <cell r="B477" t="str">
            <v>PINAVERIUM BROMURE 50MG CPR PELLIC</v>
          </cell>
        </row>
        <row r="478">
          <cell r="B478" t="str">
            <v>PIPERACIL.SOD EQ 2G+TAZOBACT.SOD EQ 250MG PDR PERF</v>
          </cell>
        </row>
        <row r="479">
          <cell r="B479" t="str">
            <v>PIPERACIL.SOD EQ 4G+TAZOBACT.SOD EQ 500MG PDR PERF</v>
          </cell>
        </row>
        <row r="480">
          <cell r="B480" t="str">
            <v>PIRACETAM 20G/100ML SOL BUV</v>
          </cell>
        </row>
        <row r="481">
          <cell r="B481" t="str">
            <v>PIRACETAM 400MG GELU</v>
          </cell>
        </row>
        <row r="482">
          <cell r="B482" t="str">
            <v>PIRACETAM 800MG CPR PELLIC</v>
          </cell>
        </row>
        <row r="483">
          <cell r="B483" t="str">
            <v>PIROXICAM 10MG GELU</v>
          </cell>
        </row>
        <row r="484">
          <cell r="B484" t="str">
            <v>PIROXICAM 20MG CPR SECAB</v>
          </cell>
        </row>
        <row r="485">
          <cell r="B485" t="str">
            <v>PIROXICAM 20MG GELU</v>
          </cell>
        </row>
        <row r="486">
          <cell r="B486" t="str">
            <v>PIROXICAM 20MG SOL INJ AMP IM</v>
          </cell>
        </row>
        <row r="487">
          <cell r="B487" t="str">
            <v>PIROXICAM 20MG SUPPO</v>
          </cell>
        </row>
        <row r="488">
          <cell r="B488" t="str">
            <v>POVIDONE IODEE 10% SOL PR APPLIC LOC</v>
          </cell>
        </row>
        <row r="489">
          <cell r="B489" t="str">
            <v>PRAVASTATINE SODIQUE 10MG CPR SECAB</v>
          </cell>
        </row>
        <row r="490">
          <cell r="B490" t="str">
            <v>PRAVASTATINE SODIQUE 20MG CPR SECAB</v>
          </cell>
        </row>
        <row r="491">
          <cell r="B491" t="str">
            <v>PRAVASTATINE SODIQUE 40MG CPR</v>
          </cell>
        </row>
        <row r="492">
          <cell r="B492" t="str">
            <v>PREDNISOLONE METASULFOBENZO.SODIQ EQ 20MG CPR DISP</v>
          </cell>
        </row>
        <row r="493">
          <cell r="B493" t="str">
            <v>PREDNISOLONE METASULFOBENZO.SODIQ EQ 20MG CPR EFFV</v>
          </cell>
        </row>
        <row r="494">
          <cell r="B494" t="str">
            <v>PREDNISOLONE METASULFOBENZO.SODIQ EQ 5MG CPR DISP</v>
          </cell>
        </row>
        <row r="495">
          <cell r="B495" t="str">
            <v>PREDNISOLONE METASULFOBENZO.SODIQ EQ 5MG CPR EFFV</v>
          </cell>
        </row>
        <row r="496">
          <cell r="B496" t="str">
            <v>PREDNISONE 1MG CPR</v>
          </cell>
        </row>
        <row r="497">
          <cell r="B497" t="str">
            <v>PREDNISONE 20MG CPR SECAB</v>
          </cell>
        </row>
        <row r="498">
          <cell r="B498" t="str">
            <v>PREDNISONE 5MG CPR</v>
          </cell>
        </row>
        <row r="499">
          <cell r="B499" t="str">
            <v>PROGESTERONE 100MG CAPS MOL ORAL OU VAG</v>
          </cell>
        </row>
        <row r="500">
          <cell r="B500" t="str">
            <v>PROGESTERONE 200MG CAPS MOL ORAL OU VAG</v>
          </cell>
        </row>
        <row r="501">
          <cell r="B501" t="str">
            <v>PROPRANOLOL CHLORHYDRATE 40MG CPR SECAB</v>
          </cell>
        </row>
        <row r="502">
          <cell r="B502" t="str">
            <v>PYRANTEL EMBONATE EQ 125MG CPR</v>
          </cell>
        </row>
        <row r="503">
          <cell r="B503" t="str">
            <v>PYRANTEL EMBONATE EQ 125MG/2,5ML SUSP BUV</v>
          </cell>
        </row>
        <row r="504">
          <cell r="B504" t="str">
            <v>QUINAPRIL CHLORHYDRATE EQ 10MG CPR ENROB</v>
          </cell>
        </row>
        <row r="505">
          <cell r="B505" t="str">
            <v>QUINAPRIL CHLORHYDRATE EQ 20MG CPR ENROB</v>
          </cell>
        </row>
        <row r="506">
          <cell r="B506" t="str">
            <v>QUINAPRIL CHLORHYDRATE EQ 5MG CPR ENROB SECAB</v>
          </cell>
        </row>
        <row r="507">
          <cell r="B507" t="str">
            <v>QUINAPRIL EQ20MG+HYDROCHLOROTHIAZ.12,5MG CPR P.SEC</v>
          </cell>
        </row>
        <row r="508">
          <cell r="B508" t="str">
            <v>RAMIPRIL 1,25MG CPR</v>
          </cell>
        </row>
        <row r="509">
          <cell r="B509" t="str">
            <v>RAMIPRIL 1,25MG GELU</v>
          </cell>
        </row>
        <row r="510">
          <cell r="B510" t="str">
            <v>RAMIPRIL 10MG CPR SECAB</v>
          </cell>
        </row>
        <row r="511">
          <cell r="B511" t="str">
            <v>RAMIPRIL 2,5MG CPR SECAB</v>
          </cell>
        </row>
        <row r="512">
          <cell r="B512" t="str">
            <v>RAMIPRIL 2,5MG GELU</v>
          </cell>
        </row>
        <row r="513">
          <cell r="B513" t="str">
            <v>RAMIPRIL 5MG CPR SECAB</v>
          </cell>
        </row>
        <row r="514">
          <cell r="B514" t="str">
            <v>RAMIPRIL 5MG GELU</v>
          </cell>
        </row>
        <row r="515">
          <cell r="B515" t="str">
            <v>RANITIDINE CHLORHYDRATE EQ 150MG CPR EFFV</v>
          </cell>
        </row>
        <row r="516">
          <cell r="B516" t="str">
            <v>RANITIDINE CHLORHYDRATE EQ 150MG CPR PELLIC</v>
          </cell>
        </row>
        <row r="517">
          <cell r="B517" t="str">
            <v>RANITIDINE CHLORHYDRATE EQ 300MG CPR EFFV</v>
          </cell>
        </row>
        <row r="518">
          <cell r="B518" t="str">
            <v>RANITIDINE CHLORHYDRATE EQ 300MG CPR PELLIC</v>
          </cell>
        </row>
        <row r="519">
          <cell r="B519" t="str">
            <v>RANITIDINE CHLORHYDRATE EQ 50MG/2ML SOL INJ AMP</v>
          </cell>
        </row>
        <row r="520">
          <cell r="B520" t="str">
            <v>RANITIDINE CHLORHYDRATE EQ 75MG CPR EFFV</v>
          </cell>
        </row>
        <row r="521">
          <cell r="B521" t="str">
            <v>RILMENIDINE DIHYDROGENOPHOSPHATE EQ 1MG CPR</v>
          </cell>
        </row>
        <row r="522">
          <cell r="B522" t="str">
            <v>RISPERIDONE 0,5MG CPR ORODISP</v>
          </cell>
        </row>
        <row r="523">
          <cell r="B523" t="str">
            <v>RISPERIDONE 1MG CPR ORODISP</v>
          </cell>
        </row>
        <row r="524">
          <cell r="B524" t="str">
            <v>RISPERIDONE 1MG CPR PELLIC SECAB</v>
          </cell>
        </row>
        <row r="525">
          <cell r="B525" t="str">
            <v>RISPERIDONE 1MG/ML SOL BUV</v>
          </cell>
        </row>
        <row r="526">
          <cell r="B526" t="str">
            <v>RISPERIDONE 2MG CPR ORODISP</v>
          </cell>
        </row>
        <row r="527">
          <cell r="B527" t="str">
            <v>RISPERIDONE 2MG CPR PELLIC SECAB</v>
          </cell>
        </row>
        <row r="528">
          <cell r="B528" t="str">
            <v>RISPERIDONE 3MG CPR ORODISP</v>
          </cell>
        </row>
        <row r="529">
          <cell r="B529" t="str">
            <v>RISPERIDONE 4MG CPR ORODISP</v>
          </cell>
        </row>
        <row r="530">
          <cell r="B530" t="str">
            <v>RISPERIDONE 4MG CPR PELLIC SECAB</v>
          </cell>
        </row>
        <row r="531">
          <cell r="B531" t="str">
            <v>ROPINIROLE CHLOR.EQ 0,25MG CPR PELLIC - REQUIP</v>
          </cell>
        </row>
        <row r="532">
          <cell r="B532" t="str">
            <v>ROPINIROLE CHLOR.EQ 0,50MG CPR PELLIC - REQUIP</v>
          </cell>
        </row>
        <row r="533">
          <cell r="B533" t="str">
            <v>ROPINIROLE CHLOR.EQ 1MG CPR PELLIC - REQUIP</v>
          </cell>
        </row>
        <row r="534">
          <cell r="B534" t="str">
            <v>ROPINIROLE CHLOR.EQ 2MG CPR PELLIC - REQUIP</v>
          </cell>
        </row>
        <row r="535">
          <cell r="B535" t="str">
            <v>ROPINIROLE CHLOR.EQ 5MG CPR PELLIC - REQUIP</v>
          </cell>
        </row>
        <row r="536">
          <cell r="B536" t="str">
            <v>ROXITHROMYCINE 100MG CPR PELLIC</v>
          </cell>
        </row>
        <row r="537">
          <cell r="B537" t="str">
            <v>ROXITHROMYCINE 150MG CPR PELLIC</v>
          </cell>
        </row>
        <row r="538">
          <cell r="B538" t="str">
            <v>SALBUTAMOL SULF.EQ 0,5MG/1ML INJ SC AMP-VENTOLINE</v>
          </cell>
        </row>
        <row r="539">
          <cell r="B539" t="str">
            <v>SALBUTAMOL SULF.EQ 2,5MG SOL INHAL DOS - VENTOLINE</v>
          </cell>
        </row>
        <row r="540">
          <cell r="B540" t="str">
            <v>SALBUTAMOL SULF.EQ 5MG SOL INHAL DOS - VENTOLINE</v>
          </cell>
        </row>
        <row r="541">
          <cell r="B541" t="str">
            <v>SELEGILINE CHLORHYDRATE 5MG CPR SECAB</v>
          </cell>
        </row>
        <row r="542">
          <cell r="B542" t="str">
            <v>SERTRALINE CHLORHYDRATE EQ 25MG GELU</v>
          </cell>
        </row>
        <row r="543">
          <cell r="B543" t="str">
            <v>SERTRALINE CHLORHYDRATE EQ 50MG GELU</v>
          </cell>
        </row>
        <row r="544">
          <cell r="B544" t="str">
            <v>SIMVASTATINE 10MG CPR ENROB</v>
          </cell>
        </row>
        <row r="545">
          <cell r="B545" t="str">
            <v>SIMVASTATINE 20MG CPR ENROB SECAB</v>
          </cell>
        </row>
        <row r="546">
          <cell r="B546" t="str">
            <v>SIMVASTATINE 40MG CPR PELLIC</v>
          </cell>
        </row>
        <row r="547">
          <cell r="B547" t="str">
            <v>SIMVASTATINE 5MG CPR ENROB</v>
          </cell>
        </row>
        <row r="548">
          <cell r="B548" t="str">
            <v>SODIUM FUSIDATE 2% POM</v>
          </cell>
        </row>
        <row r="549">
          <cell r="B549" t="str">
            <v>SOTALOL CHLORHYDRATE 160MG CPR SECAB</v>
          </cell>
        </row>
        <row r="550">
          <cell r="B550" t="str">
            <v>SOTALOL CHLORHYDRATE 80MG CPR SECAB</v>
          </cell>
        </row>
        <row r="551">
          <cell r="B551" t="str">
            <v>SPIRAMYCINE 0,75MUI + METRONIDAZOLE 125MG CPR PELL</v>
          </cell>
        </row>
        <row r="552">
          <cell r="B552" t="str">
            <v>SPIRAMYCINE 1,5MUI + METRONIDAZOLE 250MG CPR PELL</v>
          </cell>
        </row>
        <row r="553">
          <cell r="B553" t="str">
            <v>SPIRAMYCINE 3MUI CPR PELLIC</v>
          </cell>
        </row>
        <row r="554">
          <cell r="B554" t="str">
            <v>SPIRONOLACTONE 25MG + ALTIZIDE 15MG CPR PELLIC SEC</v>
          </cell>
        </row>
        <row r="555">
          <cell r="B555" t="str">
            <v>SPIRONOLACTONE 50MG CPR PELLIC SECAB</v>
          </cell>
        </row>
        <row r="556">
          <cell r="B556" t="str">
            <v>SPIRONOLACTONE 75MG CPR PELLIC SECAB</v>
          </cell>
        </row>
        <row r="557">
          <cell r="B557" t="str">
            <v>SUCRALFATE 1G CPR</v>
          </cell>
        </row>
        <row r="558">
          <cell r="B558" t="str">
            <v>SUCRALFATE 1G SUSP BUV SACH</v>
          </cell>
        </row>
        <row r="559">
          <cell r="B559" t="str">
            <v>SULFAMETHOXAZOLE 800MG +TRIMETHOPRIME 160MG CPR</v>
          </cell>
        </row>
        <row r="560">
          <cell r="B560" t="str">
            <v>SULPIRIDE 0,5G/100ML SOL BUV</v>
          </cell>
        </row>
        <row r="561">
          <cell r="B561" t="str">
            <v>SULPIRIDE 100MG/2ML SOL INJ IM</v>
          </cell>
        </row>
        <row r="562">
          <cell r="B562" t="str">
            <v>SULPIRIDE 200MG CPR SECAB</v>
          </cell>
        </row>
        <row r="563">
          <cell r="B563" t="str">
            <v>SULPIRIDE 50MG GELU</v>
          </cell>
        </row>
        <row r="564">
          <cell r="B564" t="str">
            <v>SUMATRIPTAN SUCCINATE EQ 50MG CPR PELLIC</v>
          </cell>
        </row>
        <row r="565">
          <cell r="B565" t="str">
            <v>SUMATRIPTAN SUCCINATE EQ 6MG/0,5ML SOL INJ SRG</v>
          </cell>
        </row>
        <row r="566">
          <cell r="B566" t="str">
            <v>TAMOXIFENE CITRATE EQ 10MG CPR PELLIC</v>
          </cell>
        </row>
        <row r="567">
          <cell r="B567" t="str">
            <v>TAMOXIFENE CITRATE EQ 20MG CPR ENROB</v>
          </cell>
        </row>
        <row r="568">
          <cell r="B568" t="str">
            <v>TAMSULOSINE CHLORHYDRATE EQ 0,4MG GELU LP</v>
          </cell>
        </row>
        <row r="569">
          <cell r="B569" t="str">
            <v>TERAZOSINE CHLORHYDRATE EQ 5MG CPR</v>
          </cell>
        </row>
        <row r="570">
          <cell r="B570" t="str">
            <v>TERBINAFINE CHLORHYDRATE 1% CR</v>
          </cell>
        </row>
        <row r="571">
          <cell r="B571" t="str">
            <v>TERBINAFINE CHLORHYDRATE 250MG CPR SECAB</v>
          </cell>
        </row>
        <row r="572">
          <cell r="B572" t="str">
            <v>TERBUTALINE SULFATE 5MG/2ML SOL INHAL NEB UNIDOS</v>
          </cell>
        </row>
        <row r="573">
          <cell r="B573" t="str">
            <v>TETRAZEPAM 50MG CPR PELLIC SECAB</v>
          </cell>
        </row>
        <row r="574">
          <cell r="B574" t="str">
            <v>THIOCOLCHICOSIDE 4MG CPR</v>
          </cell>
        </row>
        <row r="575">
          <cell r="B575" t="str">
            <v>THIOCOLCHICOSIDE 4MG/2ML SOL INJ IM AMP</v>
          </cell>
        </row>
        <row r="576">
          <cell r="B576" t="str">
            <v>TIAPRIDE CHLORHYDRATE EQ 100MG CPR SECAB</v>
          </cell>
        </row>
        <row r="577">
          <cell r="B577" t="str">
            <v>TIAPRIDE CHLORHYDRATE EQ 100MG/2ML SOL INJ</v>
          </cell>
        </row>
        <row r="578">
          <cell r="B578" t="str">
            <v>TIBOLONE 2,5MG CPR</v>
          </cell>
        </row>
        <row r="579">
          <cell r="B579" t="str">
            <v>TICLOPIDINE CHLORHYDRATE 250MG CPR PELLIC</v>
          </cell>
        </row>
        <row r="580">
          <cell r="B580" t="str">
            <v>TIMOLOL MALEATE EQ 0,10% COLLY</v>
          </cell>
        </row>
        <row r="581">
          <cell r="B581" t="str">
            <v>TIMOLOL MALEATE EQ 0,25% COLLY</v>
          </cell>
        </row>
        <row r="582">
          <cell r="B582" t="str">
            <v>TIMOLOL MALEATE EQ 0,5% COLLY</v>
          </cell>
        </row>
        <row r="583">
          <cell r="B583" t="str">
            <v>TOLTERODINE TARTRATE 1MG CPR PELLIC</v>
          </cell>
        </row>
        <row r="584">
          <cell r="B584" t="str">
            <v>TOLTERODINE TARTRATE 2MG CPR PELLIC</v>
          </cell>
        </row>
        <row r="585">
          <cell r="B585" t="str">
            <v>TOPIRAMATE 100MG CPR PELLIC</v>
          </cell>
        </row>
        <row r="586">
          <cell r="B586" t="str">
            <v>TOPIRAMATE 200MG CPR PELLIC</v>
          </cell>
        </row>
        <row r="587">
          <cell r="B587" t="str">
            <v>TOPIRAMATE 25MG GELU</v>
          </cell>
        </row>
        <row r="588">
          <cell r="B588" t="str">
            <v>TOPIRAMATE 50MG CPR PELLIC</v>
          </cell>
        </row>
        <row r="589">
          <cell r="B589" t="str">
            <v>TRAMADOL CHLORHYDRATE 100MG CPR LIB PROL</v>
          </cell>
        </row>
        <row r="590">
          <cell r="B590" t="str">
            <v>TRAMADOL CHLORHYDRATE 150MG CPR LIB PROL</v>
          </cell>
        </row>
        <row r="591">
          <cell r="B591" t="str">
            <v>TRAMADOL CHLORHYDRATE 200MG CPR LIB PROL</v>
          </cell>
        </row>
        <row r="592">
          <cell r="B592" t="str">
            <v>TRAMADOL CHLORHYDRATE 50MG GELU</v>
          </cell>
        </row>
        <row r="593">
          <cell r="B593" t="str">
            <v>TRANDOLAPRIL 0,5MG GELU</v>
          </cell>
        </row>
        <row r="594">
          <cell r="B594" t="str">
            <v>TRANDOLAPRIL 2MG GELU</v>
          </cell>
        </row>
        <row r="595">
          <cell r="B595" t="str">
            <v>TRANDOLAPRIL 4MG GELU</v>
          </cell>
        </row>
        <row r="596">
          <cell r="B596" t="str">
            <v>TRIMEBUTINE MALEATE 100MG CPR PELLIC</v>
          </cell>
        </row>
        <row r="597">
          <cell r="B597" t="str">
            <v>TRIMEBUTINE MALEATE 200MG CPR PELLIC</v>
          </cell>
        </row>
        <row r="598">
          <cell r="B598" t="str">
            <v>TRIMETAZIDINE DICHLORHYDRATE 20MG CPR PELLIC</v>
          </cell>
        </row>
        <row r="599">
          <cell r="B599" t="str">
            <v>TRIMETAZIDINE DICHLORHYDRATE 20MG/ML SOL BUV GTT</v>
          </cell>
        </row>
        <row r="600">
          <cell r="B600" t="str">
            <v>TRIMETAZIDINE DICHLORHYDRATE 35MG CPR PELL LIB MOD</v>
          </cell>
        </row>
        <row r="601">
          <cell r="B601" t="str">
            <v>TROLAMINE 0,67% EMUL PR APPLIC CUTA</v>
          </cell>
        </row>
        <row r="602">
          <cell r="B602" t="str">
            <v>TROXERUTINE 3500MG PDR PR SOL BUV SACH</v>
          </cell>
        </row>
        <row r="603">
          <cell r="B603" t="str">
            <v>TROXERUTINE 3500MG/7ML SOL BUV AMP</v>
          </cell>
        </row>
        <row r="604">
          <cell r="B604" t="str">
            <v>VALACICLOVIR CHLORHYDRATE EQ 500MG CPR ENROB</v>
          </cell>
        </row>
        <row r="605">
          <cell r="B605" t="str">
            <v>VALPROATE DE SODIUM 200MG CPR GASTRORES</v>
          </cell>
        </row>
        <row r="606">
          <cell r="B606" t="str">
            <v>VALPROATE DE SODIUM 200MG/ML SOL BUV</v>
          </cell>
        </row>
        <row r="607">
          <cell r="B607" t="str">
            <v>VALPROATE DE SODIUM 500MG CPR GASTRORES</v>
          </cell>
        </row>
        <row r="608">
          <cell r="B608" t="str">
            <v>VALPROATE DE SODIUM 500MG CPR PELLIC SECAB LP</v>
          </cell>
        </row>
        <row r="609">
          <cell r="B609" t="str">
            <v>VENLAFAXINE CHLORHYDRATE EQ 25MG CPR</v>
          </cell>
        </row>
        <row r="610">
          <cell r="B610" t="str">
            <v>VENLAFAXINE CHLORHYDRATE EQ 37,5MG GELU LIB PROL</v>
          </cell>
        </row>
        <row r="611">
          <cell r="B611" t="str">
            <v>VENLAFAXINE CHLORHYDRATE EQ 50MG CPR</v>
          </cell>
        </row>
        <row r="612">
          <cell r="B612" t="str">
            <v>VENLAFAXINE CHLORHYDRATE EQ 75MG GELU LIB PROL</v>
          </cell>
        </row>
        <row r="613">
          <cell r="B613" t="str">
            <v>VERAPAMIL CHLORHYDRATE 120MG GELU</v>
          </cell>
        </row>
        <row r="614">
          <cell r="B614" t="str">
            <v>VERAPAMIL CHLORHYDRATE 240MG CPR PELLIC SECAB LP</v>
          </cell>
        </row>
        <row r="615">
          <cell r="B615" t="str">
            <v>VINCRISTINE SULFATE 1MG/ML SOL INJ</v>
          </cell>
        </row>
        <row r="616">
          <cell r="B616" t="str">
            <v>XIPAMIDE 20MG CPR SECAB</v>
          </cell>
        </row>
        <row r="617">
          <cell r="B617" t="str">
            <v>ZIDOVUDINE 100MG GELU</v>
          </cell>
        </row>
        <row r="618">
          <cell r="B618" t="str">
            <v>ZIDOVUDINE 250MG GELU</v>
          </cell>
        </row>
        <row r="619">
          <cell r="B619" t="str">
            <v>ZOLPIDEM TARTRATE 10MG CPR PELLIC SECAB</v>
          </cell>
        </row>
        <row r="620">
          <cell r="B620" t="str">
            <v>ZOPICLONE 3,75MG CPR PELLIC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ÇÕES"/>
      <sheetName val="DEBUG"/>
      <sheetName val="1-Riscos"/>
      <sheetName val="2-Ocorrências"/>
      <sheetName val="APOIO"/>
      <sheetName val="TRACBEL-Planilha de Carga Risc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Principles"/>
      <sheetName val="Input"/>
      <sheetName val="Assumptions"/>
      <sheetName val="Summary"/>
      <sheetName val="Definitions and comments"/>
      <sheetName val="Template"/>
      <sheetName val="France"/>
      <sheetName val="Spain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318">
          <cell r="J318">
            <v>2004</v>
          </cell>
          <cell r="K318">
            <v>2005</v>
          </cell>
          <cell r="L318">
            <v>2006</v>
          </cell>
          <cell r="M318">
            <v>2007</v>
          </cell>
          <cell r="N318">
            <v>2008</v>
          </cell>
          <cell r="O318">
            <v>2009</v>
          </cell>
          <cell r="P318">
            <v>2010</v>
          </cell>
          <cell r="Q318">
            <v>2011</v>
          </cell>
          <cell r="R318">
            <v>2012</v>
          </cell>
          <cell r="S318">
            <v>2013</v>
          </cell>
          <cell r="T318">
            <v>2014</v>
          </cell>
          <cell r="U318">
            <v>2015</v>
          </cell>
          <cell r="V318">
            <v>2016</v>
          </cell>
          <cell r="W318">
            <v>2017</v>
          </cell>
          <cell r="X318">
            <v>2018</v>
          </cell>
          <cell r="Y318">
            <v>2019</v>
          </cell>
          <cell r="Z318">
            <v>2020</v>
          </cell>
          <cell r="AA318">
            <v>2021</v>
          </cell>
        </row>
        <row r="319">
          <cell r="I319" t="str">
            <v>MoleculeA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AA319">
            <v>0</v>
          </cell>
        </row>
        <row r="320">
          <cell r="I320" t="str">
            <v>Sum of other products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AA320">
            <v>0</v>
          </cell>
        </row>
        <row r="321">
          <cell r="I321" t="str">
            <v>Winthrop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1</v>
          </cell>
          <cell r="Q321">
            <v>3</v>
          </cell>
          <cell r="R321">
            <v>5</v>
          </cell>
          <cell r="S321">
            <v>7</v>
          </cell>
          <cell r="T321" t="e">
            <v>#N/A</v>
          </cell>
          <cell r="U321" t="e">
            <v>#N/A</v>
          </cell>
          <cell r="V321" t="e">
            <v>#N/A</v>
          </cell>
          <cell r="AA321" t="e">
            <v>#N/A</v>
          </cell>
        </row>
        <row r="322">
          <cell r="I322">
            <v>4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AA322">
            <v>0</v>
          </cell>
        </row>
        <row r="323">
          <cell r="I323">
            <v>5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AA323">
            <v>0</v>
          </cell>
        </row>
        <row r="324">
          <cell r="I324">
            <v>6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AA324">
            <v>0</v>
          </cell>
        </row>
        <row r="325">
          <cell r="I325">
            <v>7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AA325">
            <v>0</v>
          </cell>
        </row>
        <row r="326">
          <cell r="I326">
            <v>8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AA326">
            <v>0</v>
          </cell>
        </row>
        <row r="327">
          <cell r="I327">
            <v>9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AA327">
            <v>0</v>
          </cell>
        </row>
        <row r="328">
          <cell r="I328">
            <v>10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AA328">
            <v>0</v>
          </cell>
        </row>
      </sheetData>
      <sheetData sheetId="7"/>
      <sheetData sheetId="8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  <sheetName val="Feuil1 (2)"/>
      <sheetName val="ALFUZOSINE 10MG"/>
      <sheetName val="AMIODARONE"/>
      <sheetName val="AMISULPRIDE 100MG"/>
      <sheetName val="AMISULPRIDE 200MG"/>
      <sheetName val="AMISULPRIDE 400MG"/>
      <sheetName val="CARBO2%TOT"/>
      <sheetName val="CARBO2%SSUCRE"/>
      <sheetName val="CARBO5%TOT"/>
      <sheetName val="CARBO5%SIR"/>
      <sheetName val="CIPROFIBRATE"/>
      <sheetName val="CIPROFLOXACINE250"/>
      <sheetName val="CIPROFLOXACINE500"/>
      <sheetName val="CITALOPRAM"/>
      <sheetName val="DEXTRO-PARA"/>
      <sheetName val="DIALGIREX"/>
      <sheetName val="DEXTRO CAF"/>
      <sheetName val="FENO 100MG"/>
      <sheetName val="FENO 160MG"/>
      <sheetName val="FENO 200MG"/>
      <sheetName val="FENO 300MG "/>
      <sheetName val="FENO 67MG"/>
      <sheetName val="FLUOXETINE"/>
      <sheetName val="GABAPENTINE 100MG"/>
      <sheetName val="GABAPENTINE 300MG "/>
      <sheetName val="GABAPENTINE 400MG "/>
      <sheetName val="GABAPENTINE 600MG"/>
      <sheetName val="GABAPENTINE 800MG"/>
      <sheetName val="GLIMEPIRIDE1MG"/>
      <sheetName val="GLIMEPIRIDE2MG "/>
      <sheetName val="GLIMEPIRIDE3MG"/>
      <sheetName val="GLIMEPIRIDE4MG"/>
      <sheetName val="LISINOPRIL"/>
      <sheetName val="NIFUROXAZIDE200"/>
      <sheetName val="NIFUROXZIDE4%"/>
      <sheetName val="OMEPRAZOLE10"/>
      <sheetName val="OMEPRAZOLE20"/>
      <sheetName val="PAROXETINE"/>
      <sheetName val="PRAVASTATINE10"/>
      <sheetName val="PRAVASTATINE20"/>
      <sheetName val="PRAVASTATINE40"/>
      <sheetName val="PREDNISONE1"/>
      <sheetName val="PREDNISONE5"/>
      <sheetName val="PREDNISONE20"/>
      <sheetName val="RAMIPRIL1-25"/>
      <sheetName val="RAMIPRIL2-5"/>
      <sheetName val="RAMIPRIL5"/>
      <sheetName val="RAMIPRIL10"/>
      <sheetName val="SERTRALINE25"/>
      <sheetName val="SERTRALINE50"/>
      <sheetName val="SIMVASTATINE10"/>
      <sheetName val="SIMVASTATINE20"/>
      <sheetName val="SIMVASTATINE40"/>
      <sheetName val="SPIRAMYCINE METRO"/>
      <sheetName val="TAMSULOSINE"/>
      <sheetName val="TETRAZEPAM"/>
      <sheetName val="VALPROATE200-CPR"/>
      <sheetName val="VALPROATE200-BUV"/>
      <sheetName val="VALPROATE500-CPR"/>
      <sheetName val="VALPROATE500-CPRSEC"/>
      <sheetName val="ZOLPIDEM"/>
      <sheetName val="wtop15wthmarché000000"/>
      <sheetName val="wtop30-2007000000"/>
      <sheetName val="histoUN"/>
      <sheetName val="wtop30-2007000000 (3)"/>
    </sheetNames>
    <sheetDataSet>
      <sheetData sheetId="0" refreshError="1"/>
      <sheetData sheetId="1" refreshError="1"/>
      <sheetData sheetId="2" refreshError="1">
        <row r="5">
          <cell r="B5">
            <v>141871</v>
          </cell>
        </row>
        <row r="6">
          <cell r="B6">
            <v>132383</v>
          </cell>
        </row>
        <row r="7">
          <cell r="B7">
            <v>153193</v>
          </cell>
        </row>
        <row r="8">
          <cell r="B8">
            <v>150032</v>
          </cell>
        </row>
        <row r="9">
          <cell r="B9">
            <v>140130</v>
          </cell>
        </row>
        <row r="10">
          <cell r="B10">
            <v>160972</v>
          </cell>
        </row>
        <row r="11">
          <cell r="B11">
            <v>158526</v>
          </cell>
        </row>
        <row r="12">
          <cell r="B12">
            <v>139343</v>
          </cell>
        </row>
        <row r="13">
          <cell r="B13">
            <v>154838</v>
          </cell>
        </row>
        <row r="14">
          <cell r="B14">
            <v>163203</v>
          </cell>
        </row>
        <row r="15">
          <cell r="B15">
            <v>172740</v>
          </cell>
        </row>
        <row r="16">
          <cell r="B16">
            <v>183296</v>
          </cell>
        </row>
        <row r="17">
          <cell r="B17">
            <v>181706</v>
          </cell>
        </row>
        <row r="18">
          <cell r="B18">
            <v>175777</v>
          </cell>
        </row>
        <row r="19">
          <cell r="B19">
            <v>206496</v>
          </cell>
        </row>
        <row r="20">
          <cell r="B20">
            <v>212803</v>
          </cell>
        </row>
        <row r="21">
          <cell r="B21">
            <v>220647</v>
          </cell>
        </row>
        <row r="22">
          <cell r="B22">
            <v>229204</v>
          </cell>
        </row>
        <row r="23">
          <cell r="B23">
            <v>223484</v>
          </cell>
        </row>
        <row r="24">
          <cell r="B24">
            <v>213530</v>
          </cell>
        </row>
        <row r="25">
          <cell r="B25">
            <v>264905</v>
          </cell>
        </row>
        <row r="26">
          <cell r="B26">
            <v>261724</v>
          </cell>
        </row>
        <row r="27">
          <cell r="B27">
            <v>223989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ES MOIS "/>
      <sheetName val="ACTES MOIS HISTO"/>
      <sheetName val="CA MOIS "/>
      <sheetName val="CA MOIS HISTO"/>
      <sheetName val="JT MOIS "/>
      <sheetName val="JT MOIS HISTO"/>
      <sheetName val="UN MOIS "/>
      <sheetName val="UN MOIS HISTO"/>
    </sheetNames>
    <sheetDataSet>
      <sheetData sheetId="0"/>
      <sheetData sheetId="1" refreshError="1">
        <row r="5">
          <cell r="A5" t="str">
            <v>ACTES</v>
          </cell>
          <cell r="B5" t="str">
            <v>MARCHE ANTALGIE - NIV 1</v>
          </cell>
          <cell r="C5">
            <v>15366.448</v>
          </cell>
          <cell r="D5">
            <v>10979.201999999999</v>
          </cell>
          <cell r="E5">
            <v>9516.7759999999998</v>
          </cell>
          <cell r="F5">
            <v>10130.548000000001</v>
          </cell>
          <cell r="G5">
            <v>8860.473</v>
          </cell>
          <cell r="H5">
            <v>8192.1959999999999</v>
          </cell>
          <cell r="I5">
            <v>8937.7549999999992</v>
          </cell>
          <cell r="J5">
            <v>8333.11</v>
          </cell>
          <cell r="K5">
            <v>6497.8109999999997</v>
          </cell>
          <cell r="L5">
            <v>9201.6589999999997</v>
          </cell>
          <cell r="M5">
            <v>9781.0470000000005</v>
          </cell>
          <cell r="N5">
            <v>9273.5380000000005</v>
          </cell>
          <cell r="O5">
            <v>10854.06</v>
          </cell>
          <cell r="P5">
            <v>11784.879000000001</v>
          </cell>
          <cell r="Q5">
            <v>13248.672</v>
          </cell>
          <cell r="R5">
            <v>11847.508</v>
          </cell>
          <cell r="S5">
            <v>9648.857</v>
          </cell>
          <cell r="T5">
            <v>8917.0519999999997</v>
          </cell>
          <cell r="U5">
            <v>9139.9269999999997</v>
          </cell>
          <cell r="V5">
            <v>8218.8310000000001</v>
          </cell>
          <cell r="W5">
            <v>6932.0929999999998</v>
          </cell>
          <cell r="X5">
            <v>9642.9519999999993</v>
          </cell>
          <cell r="Y5">
            <v>10254.050999999999</v>
          </cell>
          <cell r="Z5">
            <v>10053.541999999999</v>
          </cell>
          <cell r="AA5">
            <v>11357.493</v>
          </cell>
          <cell r="AB5">
            <v>11757.757</v>
          </cell>
          <cell r="AC5">
            <v>12132</v>
          </cell>
          <cell r="AD5">
            <v>12031.644</v>
          </cell>
          <cell r="AE5">
            <v>9197.9629999999997</v>
          </cell>
          <cell r="AF5">
            <v>9042.0310000000009</v>
          </cell>
          <cell r="AG5">
            <v>9318.5040000000008</v>
          </cell>
          <cell r="AH5">
            <v>8699.8670000000002</v>
          </cell>
          <cell r="AI5">
            <v>7400.2389999999996</v>
          </cell>
          <cell r="AJ5">
            <v>9345.3259999999991</v>
          </cell>
          <cell r="AK5">
            <v>10660.543</v>
          </cell>
          <cell r="AL5">
            <v>10322.581</v>
          </cell>
          <cell r="AM5">
            <v>11743.48</v>
          </cell>
        </row>
        <row r="6">
          <cell r="B6" t="str">
            <v>PARACETAMOL</v>
          </cell>
          <cell r="C6">
            <v>10900.832</v>
          </cell>
          <cell r="D6">
            <v>8155.5259999999998</v>
          </cell>
          <cell r="E6">
            <v>7079.1279999999997</v>
          </cell>
          <cell r="F6">
            <v>7544.0749999999998</v>
          </cell>
          <cell r="G6">
            <v>6617.8770000000004</v>
          </cell>
          <cell r="H6">
            <v>6088.165</v>
          </cell>
          <cell r="I6">
            <v>6603.2479999999996</v>
          </cell>
          <cell r="J6">
            <v>6224.0550000000003</v>
          </cell>
          <cell r="K6">
            <v>4888.8429999999998</v>
          </cell>
          <cell r="L6">
            <v>7079.6980000000003</v>
          </cell>
          <cell r="M6">
            <v>7590.3140000000003</v>
          </cell>
          <cell r="N6">
            <v>7163.1440000000002</v>
          </cell>
          <cell r="O6">
            <v>8418.2890000000007</v>
          </cell>
          <cell r="P6">
            <v>9102.6939999999995</v>
          </cell>
          <cell r="Q6">
            <v>10124.279</v>
          </cell>
          <cell r="R6">
            <v>9166.1749999999993</v>
          </cell>
          <cell r="S6">
            <v>7505.0730000000003</v>
          </cell>
          <cell r="T6">
            <v>6930.1779999999999</v>
          </cell>
          <cell r="U6">
            <v>7056.8050000000003</v>
          </cell>
          <cell r="V6">
            <v>6359.7209999999995</v>
          </cell>
          <cell r="W6">
            <v>5428.3810000000003</v>
          </cell>
          <cell r="X6">
            <v>7503.6940000000004</v>
          </cell>
          <cell r="Y6">
            <v>8004.2139999999999</v>
          </cell>
          <cell r="Z6">
            <v>7841.3670000000002</v>
          </cell>
          <cell r="AA6">
            <v>8902.9130000000005</v>
          </cell>
          <cell r="AB6">
            <v>9220.8880000000008</v>
          </cell>
          <cell r="AC6">
            <v>9339.8040000000001</v>
          </cell>
          <cell r="AD6">
            <v>9211.6710000000003</v>
          </cell>
          <cell r="AE6">
            <v>7137.0529999999999</v>
          </cell>
          <cell r="AF6">
            <v>7046.482</v>
          </cell>
          <cell r="AG6">
            <v>7232.7749999999996</v>
          </cell>
          <cell r="AH6">
            <v>6713.4589999999998</v>
          </cell>
          <cell r="AI6">
            <v>5799.625</v>
          </cell>
          <cell r="AJ6">
            <v>7374.6620000000003</v>
          </cell>
          <cell r="AK6">
            <v>8415.9930000000004</v>
          </cell>
          <cell r="AL6">
            <v>8053.982</v>
          </cell>
          <cell r="AM6">
            <v>9152.9549999999999</v>
          </cell>
        </row>
        <row r="7">
          <cell r="B7" t="str">
            <v>GAMME DOLIPRANE</v>
          </cell>
          <cell r="C7">
            <v>4870.7529999999997</v>
          </cell>
          <cell r="D7">
            <v>3559.9969999999998</v>
          </cell>
          <cell r="E7">
            <v>3101.4830000000002</v>
          </cell>
          <cell r="F7">
            <v>3295.0439999999999</v>
          </cell>
          <cell r="G7">
            <v>2897.913</v>
          </cell>
          <cell r="H7">
            <v>2708.558</v>
          </cell>
          <cell r="I7">
            <v>2994.9279999999999</v>
          </cell>
          <cell r="J7">
            <v>2773.8139999999999</v>
          </cell>
          <cell r="K7">
            <v>2113.6320000000001</v>
          </cell>
          <cell r="L7">
            <v>3159.69</v>
          </cell>
          <cell r="M7">
            <v>3357.904</v>
          </cell>
          <cell r="N7">
            <v>3174.779</v>
          </cell>
          <cell r="O7">
            <v>3780.3290000000002</v>
          </cell>
          <cell r="P7">
            <v>4107.2700000000004</v>
          </cell>
          <cell r="Q7">
            <v>4517.8519999999999</v>
          </cell>
          <cell r="R7">
            <v>4080.5250000000001</v>
          </cell>
          <cell r="S7">
            <v>3360.7130000000002</v>
          </cell>
          <cell r="T7">
            <v>3057.91</v>
          </cell>
          <cell r="U7">
            <v>3224.0920000000001</v>
          </cell>
          <cell r="V7">
            <v>2894.44</v>
          </cell>
          <cell r="W7">
            <v>2318.4740000000002</v>
          </cell>
          <cell r="X7">
            <v>3336.4009999999998</v>
          </cell>
          <cell r="Y7">
            <v>3546.87</v>
          </cell>
          <cell r="Z7">
            <v>3522.0039999999999</v>
          </cell>
          <cell r="AA7">
            <v>4046.96</v>
          </cell>
          <cell r="AB7">
            <v>4145.7790000000005</v>
          </cell>
          <cell r="AC7">
            <v>4281.1819999999998</v>
          </cell>
          <cell r="AD7">
            <v>4314.8990000000003</v>
          </cell>
          <cell r="AE7">
            <v>3274.1109999999999</v>
          </cell>
          <cell r="AF7">
            <v>3200.944</v>
          </cell>
          <cell r="AG7">
            <v>3406.779</v>
          </cell>
          <cell r="AH7">
            <v>3195.8919999999998</v>
          </cell>
          <cell r="AI7">
            <v>2573.6170000000002</v>
          </cell>
          <cell r="AJ7">
            <v>3444.4349999999999</v>
          </cell>
          <cell r="AK7">
            <v>3951.0459999999998</v>
          </cell>
          <cell r="AL7">
            <v>3775.1120000000001</v>
          </cell>
          <cell r="AM7">
            <v>4442.9639999999999</v>
          </cell>
        </row>
        <row r="8">
          <cell r="B8" t="str">
            <v>DOLIPRANE</v>
          </cell>
          <cell r="C8">
            <v>4792.4690000000001</v>
          </cell>
          <cell r="D8">
            <v>3491.6619999999998</v>
          </cell>
          <cell r="E8">
            <v>3042.49</v>
          </cell>
          <cell r="F8">
            <v>3232.3829999999998</v>
          </cell>
          <cell r="G8">
            <v>2841.8780000000002</v>
          </cell>
          <cell r="H8">
            <v>2657.22</v>
          </cell>
          <cell r="I8">
            <v>2940.7069999999999</v>
          </cell>
          <cell r="J8">
            <v>2720.0819999999999</v>
          </cell>
          <cell r="K8">
            <v>2068.444</v>
          </cell>
          <cell r="L8">
            <v>3103.3470000000002</v>
          </cell>
          <cell r="M8">
            <v>3299.9520000000002</v>
          </cell>
          <cell r="N8">
            <v>3119.8420000000001</v>
          </cell>
          <cell r="O8">
            <v>3721.2559999999999</v>
          </cell>
          <cell r="P8">
            <v>4045.6849999999999</v>
          </cell>
          <cell r="Q8">
            <v>4456.1880000000001</v>
          </cell>
          <cell r="R8">
            <v>4020.31</v>
          </cell>
          <cell r="S8">
            <v>3307.1460000000002</v>
          </cell>
          <cell r="T8">
            <v>3007.0039999999999</v>
          </cell>
          <cell r="U8">
            <v>3174.442</v>
          </cell>
          <cell r="V8">
            <v>2846.9920000000002</v>
          </cell>
          <cell r="W8">
            <v>2275.6990000000001</v>
          </cell>
          <cell r="X8">
            <v>3285.5070000000001</v>
          </cell>
          <cell r="Y8">
            <v>3495.8409999999999</v>
          </cell>
          <cell r="Z8">
            <v>3471.2289999999998</v>
          </cell>
          <cell r="AA8">
            <v>3992.4969999999998</v>
          </cell>
          <cell r="AB8">
            <v>4089.056</v>
          </cell>
          <cell r="AC8">
            <v>4228.0950000000003</v>
          </cell>
          <cell r="AD8">
            <v>4259.0630000000001</v>
          </cell>
          <cell r="AE8">
            <v>3228.5520000000001</v>
          </cell>
          <cell r="AF8">
            <v>3154.7890000000002</v>
          </cell>
          <cell r="AG8">
            <v>3361.5120000000002</v>
          </cell>
          <cell r="AH8">
            <v>3153.3220000000001</v>
          </cell>
          <cell r="AI8">
            <v>2533.38</v>
          </cell>
          <cell r="AJ8">
            <v>3398.989</v>
          </cell>
          <cell r="AK8">
            <v>3901.3139999999999</v>
          </cell>
          <cell r="AL8">
            <v>3727.41</v>
          </cell>
          <cell r="AM8">
            <v>4393.1940000000004</v>
          </cell>
        </row>
        <row r="9">
          <cell r="B9" t="str">
            <v>1000MG AD. SUP BT 8</v>
          </cell>
          <cell r="C9">
            <v>16.698</v>
          </cell>
          <cell r="D9">
            <v>11.843999999999999</v>
          </cell>
          <cell r="E9">
            <v>10.035</v>
          </cell>
          <cell r="F9">
            <v>10.635</v>
          </cell>
          <cell r="G9">
            <v>9.5790000000000006</v>
          </cell>
          <cell r="H9">
            <v>8.3290000000000006</v>
          </cell>
          <cell r="I9">
            <v>9.15</v>
          </cell>
          <cell r="J9">
            <v>8.6890000000000001</v>
          </cell>
          <cell r="K9">
            <v>7.2690000000000001</v>
          </cell>
          <cell r="L9">
            <v>9.3659999999999997</v>
          </cell>
          <cell r="M9">
            <v>9.9190000000000005</v>
          </cell>
          <cell r="N9">
            <v>10.036</v>
          </cell>
          <cell r="O9">
            <v>10.875999999999999</v>
          </cell>
          <cell r="P9">
            <v>12.138</v>
          </cell>
          <cell r="Q9">
            <v>13.622</v>
          </cell>
          <cell r="R9">
            <v>12.561999999999999</v>
          </cell>
          <cell r="S9">
            <v>9.875</v>
          </cell>
          <cell r="T9">
            <v>9.2949999999999999</v>
          </cell>
          <cell r="U9">
            <v>9.2539999999999996</v>
          </cell>
          <cell r="V9">
            <v>9.0340000000000007</v>
          </cell>
          <cell r="W9">
            <v>7.97</v>
          </cell>
          <cell r="X9">
            <v>9.0869999999999997</v>
          </cell>
          <cell r="Y9">
            <v>10.316000000000001</v>
          </cell>
          <cell r="Z9">
            <v>9.8810000000000002</v>
          </cell>
          <cell r="AA9">
            <v>10.964</v>
          </cell>
          <cell r="AB9">
            <v>11.532</v>
          </cell>
          <cell r="AC9">
            <v>11.321</v>
          </cell>
          <cell r="AD9">
            <v>11.86</v>
          </cell>
          <cell r="AE9">
            <v>8.9250000000000007</v>
          </cell>
          <cell r="AF9">
            <v>9.2119999999999997</v>
          </cell>
          <cell r="AG9">
            <v>9.2279999999999998</v>
          </cell>
          <cell r="AH9">
            <v>8.6690000000000005</v>
          </cell>
          <cell r="AI9">
            <v>8.16</v>
          </cell>
          <cell r="AJ9">
            <v>9.4139999999999997</v>
          </cell>
          <cell r="AK9">
            <v>10.35</v>
          </cell>
          <cell r="AL9">
            <v>10.090999999999999</v>
          </cell>
          <cell r="AM9">
            <v>10.577999999999999</v>
          </cell>
        </row>
        <row r="10">
          <cell r="B10" t="str">
            <v>1000MG BUV SACH BT 8</v>
          </cell>
          <cell r="P10">
            <v>15.487</v>
          </cell>
          <cell r="Q10">
            <v>32.476999999999997</v>
          </cell>
          <cell r="R10">
            <v>31.495000000000001</v>
          </cell>
          <cell r="S10">
            <v>26.044</v>
          </cell>
          <cell r="T10">
            <v>24.853999999999999</v>
          </cell>
          <cell r="U10">
            <v>25.143999999999998</v>
          </cell>
          <cell r="V10">
            <v>23.917000000000002</v>
          </cell>
          <cell r="W10">
            <v>21.542999999999999</v>
          </cell>
          <cell r="X10">
            <v>27.471</v>
          </cell>
          <cell r="Y10">
            <v>30.57</v>
          </cell>
          <cell r="Z10">
            <v>31.850999999999999</v>
          </cell>
          <cell r="AA10">
            <v>36.381</v>
          </cell>
          <cell r="AB10">
            <v>39.454999999999998</v>
          </cell>
          <cell r="AC10">
            <v>41.353000000000002</v>
          </cell>
          <cell r="AD10">
            <v>43.35</v>
          </cell>
          <cell r="AE10">
            <v>34.795000000000002</v>
          </cell>
          <cell r="AF10">
            <v>35.368000000000002</v>
          </cell>
          <cell r="AG10">
            <v>35.484000000000002</v>
          </cell>
          <cell r="AH10">
            <v>33.994</v>
          </cell>
          <cell r="AI10">
            <v>32.106999999999999</v>
          </cell>
          <cell r="AJ10">
            <v>37.252000000000002</v>
          </cell>
          <cell r="AK10">
            <v>42.959000000000003</v>
          </cell>
          <cell r="AL10">
            <v>42.296999999999997</v>
          </cell>
          <cell r="AM10">
            <v>45.875999999999998</v>
          </cell>
        </row>
        <row r="11">
          <cell r="B11" t="str">
            <v>1000MG CPR BT 8</v>
          </cell>
          <cell r="C11">
            <v>491.40899999999999</v>
          </cell>
          <cell r="D11">
            <v>375.33699999999999</v>
          </cell>
          <cell r="E11">
            <v>342.13</v>
          </cell>
          <cell r="F11">
            <v>372.80399999999997</v>
          </cell>
          <cell r="G11">
            <v>341.41</v>
          </cell>
          <cell r="H11">
            <v>315.79399999999998</v>
          </cell>
          <cell r="I11">
            <v>350.42599999999999</v>
          </cell>
          <cell r="J11">
            <v>357.10199999999998</v>
          </cell>
          <cell r="K11">
            <v>308.60399999999998</v>
          </cell>
          <cell r="L11">
            <v>418.02499999999998</v>
          </cell>
          <cell r="M11">
            <v>457.81200000000001</v>
          </cell>
          <cell r="N11">
            <v>440.41300000000001</v>
          </cell>
          <cell r="O11">
            <v>527.17999999999995</v>
          </cell>
          <cell r="P11">
            <v>590.96799999999996</v>
          </cell>
          <cell r="Q11">
            <v>724.41499999999996</v>
          </cell>
          <cell r="R11">
            <v>634.84500000000003</v>
          </cell>
          <cell r="S11">
            <v>525.06700000000001</v>
          </cell>
          <cell r="T11">
            <v>489.096</v>
          </cell>
          <cell r="U11">
            <v>486.95100000000002</v>
          </cell>
          <cell r="V11">
            <v>468.23500000000001</v>
          </cell>
          <cell r="W11">
            <v>432.68599999999998</v>
          </cell>
          <cell r="X11">
            <v>547.774</v>
          </cell>
          <cell r="Y11">
            <v>593.16200000000003</v>
          </cell>
          <cell r="Z11">
            <v>596.62800000000004</v>
          </cell>
          <cell r="AA11">
            <v>687.64</v>
          </cell>
          <cell r="AB11">
            <v>726.02300000000002</v>
          </cell>
          <cell r="AC11">
            <v>727.34</v>
          </cell>
          <cell r="AD11">
            <v>749.173</v>
          </cell>
          <cell r="AE11">
            <v>616.93499999999995</v>
          </cell>
          <cell r="AF11">
            <v>626.87300000000005</v>
          </cell>
          <cell r="AG11">
            <v>636.43700000000001</v>
          </cell>
          <cell r="AH11">
            <v>622.97299999999996</v>
          </cell>
          <cell r="AI11">
            <v>585.78300000000002</v>
          </cell>
          <cell r="AJ11">
            <v>707.55399999999997</v>
          </cell>
          <cell r="AK11">
            <v>800.19799999999998</v>
          </cell>
          <cell r="AL11">
            <v>778.10900000000004</v>
          </cell>
          <cell r="AM11">
            <v>871.24800000000005</v>
          </cell>
        </row>
        <row r="12">
          <cell r="B12" t="str">
            <v>1000MG CPR EFFV TB 8</v>
          </cell>
          <cell r="C12">
            <v>716.71100000000001</v>
          </cell>
          <cell r="D12">
            <v>523.59500000000003</v>
          </cell>
          <cell r="E12">
            <v>446.41899999999998</v>
          </cell>
          <cell r="F12">
            <v>468.73200000000003</v>
          </cell>
          <cell r="G12">
            <v>410.51900000000001</v>
          </cell>
          <cell r="H12">
            <v>366.48899999999998</v>
          </cell>
          <cell r="I12">
            <v>393.72899999999998</v>
          </cell>
          <cell r="J12">
            <v>381.71699999999998</v>
          </cell>
          <cell r="K12">
            <v>325.66300000000001</v>
          </cell>
          <cell r="L12">
            <v>421.45699999999999</v>
          </cell>
          <cell r="M12">
            <v>452.67500000000001</v>
          </cell>
          <cell r="N12">
            <v>426.63900000000001</v>
          </cell>
          <cell r="O12">
            <v>492.23599999999999</v>
          </cell>
          <cell r="P12">
            <v>536.56899999999996</v>
          </cell>
          <cell r="Q12">
            <v>638.01</v>
          </cell>
          <cell r="R12">
            <v>549.92399999999998</v>
          </cell>
          <cell r="S12">
            <v>434.524</v>
          </cell>
          <cell r="T12">
            <v>402.959</v>
          </cell>
          <cell r="U12">
            <v>392.48700000000002</v>
          </cell>
          <cell r="V12">
            <v>372.97199999999998</v>
          </cell>
          <cell r="W12">
            <v>337.67899999999997</v>
          </cell>
          <cell r="X12">
            <v>412.803</v>
          </cell>
          <cell r="Y12">
            <v>432.90600000000001</v>
          </cell>
          <cell r="Z12">
            <v>428.9</v>
          </cell>
          <cell r="AA12">
            <v>481.94600000000003</v>
          </cell>
          <cell r="AB12">
            <v>498.51400000000001</v>
          </cell>
          <cell r="AC12">
            <v>492.666</v>
          </cell>
          <cell r="AD12">
            <v>494.95299999999997</v>
          </cell>
          <cell r="AE12">
            <v>403.68200000000002</v>
          </cell>
          <cell r="AF12">
            <v>406.10899999999998</v>
          </cell>
          <cell r="AG12">
            <v>404.572</v>
          </cell>
          <cell r="AH12">
            <v>383.94499999999999</v>
          </cell>
          <cell r="AI12">
            <v>356.91199999999998</v>
          </cell>
          <cell r="AJ12">
            <v>423.16800000000001</v>
          </cell>
          <cell r="AK12">
            <v>469.72</v>
          </cell>
          <cell r="AL12">
            <v>454.16500000000002</v>
          </cell>
          <cell r="AM12">
            <v>489.90300000000002</v>
          </cell>
        </row>
        <row r="13">
          <cell r="B13" t="str">
            <v>100MG PDR SACH BT 12</v>
          </cell>
          <cell r="C13">
            <v>1.5169999999999999</v>
          </cell>
          <cell r="D13">
            <v>1.111</v>
          </cell>
          <cell r="E13">
            <v>0.94799999999999995</v>
          </cell>
          <cell r="F13">
            <v>1.002</v>
          </cell>
          <cell r="G13">
            <v>0.77300000000000002</v>
          </cell>
          <cell r="H13">
            <v>0.71199999999999997</v>
          </cell>
          <cell r="I13">
            <v>0.78600000000000003</v>
          </cell>
          <cell r="J13">
            <v>1.006</v>
          </cell>
          <cell r="K13">
            <v>0.52900000000000003</v>
          </cell>
          <cell r="L13">
            <v>0.79400000000000004</v>
          </cell>
          <cell r="M13">
            <v>0.77900000000000003</v>
          </cell>
          <cell r="N13">
            <v>0.68400000000000005</v>
          </cell>
          <cell r="O13">
            <v>0.89100000000000001</v>
          </cell>
          <cell r="P13">
            <v>0.77800000000000002</v>
          </cell>
          <cell r="Q13">
            <v>0.86399999999999999</v>
          </cell>
          <cell r="R13">
            <v>0.73599999999999999</v>
          </cell>
          <cell r="S13">
            <v>0.6</v>
          </cell>
          <cell r="T13">
            <v>0.61299999999999999</v>
          </cell>
          <cell r="U13">
            <v>0.73099999999999998</v>
          </cell>
          <cell r="V13">
            <v>0.84899999999999998</v>
          </cell>
          <cell r="W13">
            <v>0.55000000000000004</v>
          </cell>
          <cell r="X13">
            <v>0.65300000000000002</v>
          </cell>
          <cell r="Y13">
            <v>0.55100000000000005</v>
          </cell>
          <cell r="Z13">
            <v>0.52400000000000002</v>
          </cell>
          <cell r="AA13">
            <v>0.755</v>
          </cell>
          <cell r="AB13">
            <v>0.68100000000000005</v>
          </cell>
          <cell r="AC13">
            <v>0.58799999999999997</v>
          </cell>
          <cell r="AD13">
            <v>0.61299999999999999</v>
          </cell>
          <cell r="AE13">
            <v>0.51</v>
          </cell>
          <cell r="AF13">
            <v>0.48799999999999999</v>
          </cell>
          <cell r="AG13">
            <v>0.51300000000000001</v>
          </cell>
          <cell r="AH13">
            <v>0.63300000000000001</v>
          </cell>
          <cell r="AI13">
            <v>0.45</v>
          </cell>
          <cell r="AJ13">
            <v>0.46300000000000002</v>
          </cell>
          <cell r="AK13">
            <v>0.46300000000000002</v>
          </cell>
          <cell r="AL13">
            <v>0.44700000000000001</v>
          </cell>
          <cell r="AM13">
            <v>0.497</v>
          </cell>
        </row>
        <row r="14">
          <cell r="B14" t="str">
            <v>100MG SUP BT 10</v>
          </cell>
          <cell r="C14">
            <v>143.19300000000001</v>
          </cell>
          <cell r="D14">
            <v>122.816</v>
          </cell>
          <cell r="E14">
            <v>109.001</v>
          </cell>
          <cell r="F14">
            <v>117.583</v>
          </cell>
          <cell r="G14">
            <v>104.845</v>
          </cell>
          <cell r="H14">
            <v>98.853999999999999</v>
          </cell>
          <cell r="I14">
            <v>103.762</v>
          </cell>
          <cell r="J14">
            <v>101.051</v>
          </cell>
          <cell r="K14">
            <v>82.033000000000001</v>
          </cell>
          <cell r="L14">
            <v>114.27500000000001</v>
          </cell>
          <cell r="M14">
            <v>110.621</v>
          </cell>
          <cell r="N14">
            <v>108.81100000000001</v>
          </cell>
          <cell r="O14">
            <v>121.21299999999999</v>
          </cell>
          <cell r="P14">
            <v>120.26600000000001</v>
          </cell>
          <cell r="Q14">
            <v>115.45099999999999</v>
          </cell>
          <cell r="R14">
            <v>118.77800000000001</v>
          </cell>
          <cell r="S14">
            <v>110.182</v>
          </cell>
          <cell r="T14">
            <v>102.101</v>
          </cell>
          <cell r="U14">
            <v>98.852000000000004</v>
          </cell>
          <cell r="V14">
            <v>95.686000000000007</v>
          </cell>
          <cell r="W14">
            <v>82.953000000000003</v>
          </cell>
          <cell r="X14">
            <v>114.871</v>
          </cell>
          <cell r="Y14">
            <v>109.253</v>
          </cell>
          <cell r="Z14">
            <v>112.378</v>
          </cell>
          <cell r="AA14">
            <v>123.74</v>
          </cell>
          <cell r="AB14">
            <v>119.53</v>
          </cell>
          <cell r="AC14">
            <v>109.64</v>
          </cell>
          <cell r="AD14">
            <v>117.253</v>
          </cell>
          <cell r="AE14">
            <v>100.404</v>
          </cell>
          <cell r="AF14">
            <v>101.864</v>
          </cell>
          <cell r="AG14">
            <v>102.938</v>
          </cell>
          <cell r="AH14">
            <v>98.216999999999999</v>
          </cell>
          <cell r="AI14">
            <v>89.078999999999994</v>
          </cell>
          <cell r="AJ14">
            <v>112.871</v>
          </cell>
          <cell r="AK14">
            <v>116.60899999999999</v>
          </cell>
          <cell r="AL14">
            <v>113.438</v>
          </cell>
          <cell r="AM14">
            <v>124.392</v>
          </cell>
        </row>
        <row r="15">
          <cell r="B15" t="str">
            <v>150MG PDR SACH BT 12</v>
          </cell>
          <cell r="C15">
            <v>7.65</v>
          </cell>
          <cell r="D15">
            <v>4.9169999999999998</v>
          </cell>
          <cell r="E15">
            <v>4.3099999999999996</v>
          </cell>
          <cell r="F15">
            <v>4.2679999999999998</v>
          </cell>
          <cell r="G15">
            <v>3.762</v>
          </cell>
          <cell r="H15">
            <v>3.5289999999999999</v>
          </cell>
          <cell r="I15">
            <v>4.38</v>
          </cell>
          <cell r="J15">
            <v>4.4509999999999996</v>
          </cell>
          <cell r="K15">
            <v>2.5289999999999999</v>
          </cell>
          <cell r="L15">
            <v>3.5019999999999998</v>
          </cell>
          <cell r="M15">
            <v>3.3969999999999998</v>
          </cell>
          <cell r="N15">
            <v>2.9609999999999999</v>
          </cell>
          <cell r="O15">
            <v>3.6890000000000001</v>
          </cell>
          <cell r="P15">
            <v>3.7120000000000002</v>
          </cell>
          <cell r="Q15">
            <v>3.7589999999999999</v>
          </cell>
          <cell r="R15">
            <v>3.629</v>
          </cell>
          <cell r="S15">
            <v>2.8479999999999999</v>
          </cell>
          <cell r="T15">
            <v>2.5720000000000001</v>
          </cell>
          <cell r="U15">
            <v>3.6030000000000002</v>
          </cell>
          <cell r="V15">
            <v>3.516</v>
          </cell>
          <cell r="W15">
            <v>2.0760000000000001</v>
          </cell>
          <cell r="X15">
            <v>2.7650000000000001</v>
          </cell>
          <cell r="Y15">
            <v>2.8610000000000002</v>
          </cell>
          <cell r="Z15">
            <v>2.5459999999999998</v>
          </cell>
          <cell r="AA15">
            <v>3.2240000000000002</v>
          </cell>
          <cell r="AB15">
            <v>2.9329999999999998</v>
          </cell>
          <cell r="AC15">
            <v>3.056</v>
          </cell>
          <cell r="AD15">
            <v>2.867</v>
          </cell>
          <cell r="AE15">
            <v>2.2229999999999999</v>
          </cell>
          <cell r="AF15">
            <v>2.2519999999999998</v>
          </cell>
          <cell r="AG15">
            <v>3.202</v>
          </cell>
          <cell r="AH15">
            <v>3.302</v>
          </cell>
          <cell r="AI15">
            <v>1.641</v>
          </cell>
          <cell r="AJ15">
            <v>2.2759999999999998</v>
          </cell>
          <cell r="AK15">
            <v>2.4500000000000002</v>
          </cell>
          <cell r="AL15">
            <v>2.173</v>
          </cell>
          <cell r="AM15">
            <v>2.8690000000000002</v>
          </cell>
        </row>
        <row r="16">
          <cell r="B16" t="str">
            <v>150MG SUP BT 10</v>
          </cell>
          <cell r="C16">
            <v>263.15699999999998</v>
          </cell>
          <cell r="D16">
            <v>193.672</v>
          </cell>
          <cell r="E16">
            <v>168.78</v>
          </cell>
          <cell r="F16">
            <v>175.79400000000001</v>
          </cell>
          <cell r="G16">
            <v>157.142</v>
          </cell>
          <cell r="H16">
            <v>151.10900000000001</v>
          </cell>
          <cell r="I16">
            <v>164.61500000000001</v>
          </cell>
          <cell r="J16">
            <v>144.09700000000001</v>
          </cell>
          <cell r="K16">
            <v>98.289000000000001</v>
          </cell>
          <cell r="L16">
            <v>171.14</v>
          </cell>
          <cell r="M16">
            <v>170.29499999999999</v>
          </cell>
          <cell r="N16">
            <v>163.81200000000001</v>
          </cell>
          <cell r="O16">
            <v>195.03700000000001</v>
          </cell>
          <cell r="P16">
            <v>189.46</v>
          </cell>
          <cell r="Q16">
            <v>190.09800000000001</v>
          </cell>
          <cell r="R16">
            <v>181.541</v>
          </cell>
          <cell r="S16">
            <v>164.44300000000001</v>
          </cell>
          <cell r="T16">
            <v>148.47300000000001</v>
          </cell>
          <cell r="U16">
            <v>155.416</v>
          </cell>
          <cell r="V16">
            <v>135.84700000000001</v>
          </cell>
          <cell r="W16">
            <v>98.893000000000001</v>
          </cell>
          <cell r="X16">
            <v>171.44200000000001</v>
          </cell>
          <cell r="Y16">
            <v>174.80699999999999</v>
          </cell>
          <cell r="Z16">
            <v>170.76400000000001</v>
          </cell>
          <cell r="AA16">
            <v>198.22200000000001</v>
          </cell>
          <cell r="AB16">
            <v>177.95699999999999</v>
          </cell>
          <cell r="AC16">
            <v>169.14400000000001</v>
          </cell>
          <cell r="AD16">
            <v>171.03100000000001</v>
          </cell>
          <cell r="AE16">
            <v>142.97</v>
          </cell>
          <cell r="AF16">
            <v>143.286</v>
          </cell>
          <cell r="AG16">
            <v>155.01</v>
          </cell>
          <cell r="AH16">
            <v>139.93899999999999</v>
          </cell>
          <cell r="AI16">
            <v>99.852000000000004</v>
          </cell>
          <cell r="AJ16">
            <v>156.48099999999999</v>
          </cell>
          <cell r="AK16">
            <v>174.63200000000001</v>
          </cell>
          <cell r="AL16">
            <v>163.07300000000001</v>
          </cell>
          <cell r="AM16">
            <v>195.38499999999999</v>
          </cell>
        </row>
        <row r="17">
          <cell r="B17" t="str">
            <v>200MG PDR SACH BT 12</v>
          </cell>
          <cell r="C17">
            <v>40.911999999999999</v>
          </cell>
          <cell r="D17">
            <v>23.210999999999999</v>
          </cell>
          <cell r="E17">
            <v>20.401</v>
          </cell>
          <cell r="F17">
            <v>19.710999999999999</v>
          </cell>
          <cell r="G17">
            <v>16.887</v>
          </cell>
          <cell r="H17">
            <v>16.350999999999999</v>
          </cell>
          <cell r="I17">
            <v>20.965</v>
          </cell>
          <cell r="J17">
            <v>17.061</v>
          </cell>
          <cell r="K17">
            <v>9.6980000000000004</v>
          </cell>
          <cell r="L17">
            <v>18.861000000000001</v>
          </cell>
          <cell r="M17">
            <v>20.648</v>
          </cell>
          <cell r="N17">
            <v>17.93</v>
          </cell>
          <cell r="O17">
            <v>23.928000000000001</v>
          </cell>
          <cell r="P17">
            <v>25.193000000000001</v>
          </cell>
          <cell r="Q17">
            <v>26.39</v>
          </cell>
          <cell r="R17">
            <v>23.244</v>
          </cell>
          <cell r="S17">
            <v>17.338999999999999</v>
          </cell>
          <cell r="T17">
            <v>14.928000000000001</v>
          </cell>
          <cell r="U17">
            <v>19.969000000000001</v>
          </cell>
          <cell r="V17">
            <v>16.029</v>
          </cell>
          <cell r="W17">
            <v>8.5</v>
          </cell>
          <cell r="X17">
            <v>17.451000000000001</v>
          </cell>
          <cell r="Y17">
            <v>19.870999999999999</v>
          </cell>
          <cell r="Z17">
            <v>17.356000000000002</v>
          </cell>
          <cell r="AA17">
            <v>21.367000000000001</v>
          </cell>
          <cell r="AB17">
            <v>19.754999999999999</v>
          </cell>
          <cell r="AC17">
            <v>22.029</v>
          </cell>
          <cell r="AD17">
            <v>20.771999999999998</v>
          </cell>
          <cell r="AE17">
            <v>14.558999999999999</v>
          </cell>
          <cell r="AF17">
            <v>12.459</v>
          </cell>
          <cell r="AG17">
            <v>16.481000000000002</v>
          </cell>
          <cell r="AH17">
            <v>15.634</v>
          </cell>
          <cell r="AI17">
            <v>7.9089999999999998</v>
          </cell>
          <cell r="AJ17">
            <v>13.476000000000001</v>
          </cell>
          <cell r="AK17">
            <v>16.756</v>
          </cell>
          <cell r="AL17">
            <v>14.454000000000001</v>
          </cell>
          <cell r="AM17">
            <v>20.399000000000001</v>
          </cell>
        </row>
        <row r="18">
          <cell r="B18" t="str">
            <v>200MG SUP BT 10</v>
          </cell>
          <cell r="C18">
            <v>238.54300000000001</v>
          </cell>
          <cell r="D18">
            <v>140.625</v>
          </cell>
          <cell r="E18">
            <v>121.279</v>
          </cell>
          <cell r="F18">
            <v>119.916</v>
          </cell>
          <cell r="G18">
            <v>105.526</v>
          </cell>
          <cell r="H18">
            <v>103.717</v>
          </cell>
          <cell r="I18">
            <v>118.396</v>
          </cell>
          <cell r="J18">
            <v>91.94</v>
          </cell>
          <cell r="K18">
            <v>55.975000000000001</v>
          </cell>
          <cell r="L18">
            <v>111.22499999999999</v>
          </cell>
          <cell r="M18">
            <v>122.398</v>
          </cell>
          <cell r="N18">
            <v>108.934</v>
          </cell>
          <cell r="O18">
            <v>139.80600000000001</v>
          </cell>
          <cell r="P18">
            <v>137.102</v>
          </cell>
          <cell r="Q18">
            <v>137.94499999999999</v>
          </cell>
          <cell r="R18">
            <v>125.446</v>
          </cell>
          <cell r="S18">
            <v>103.361</v>
          </cell>
          <cell r="T18">
            <v>92.731999999999999</v>
          </cell>
          <cell r="U18">
            <v>108.878</v>
          </cell>
          <cell r="V18">
            <v>84.558000000000007</v>
          </cell>
          <cell r="W18">
            <v>51.566000000000003</v>
          </cell>
          <cell r="X18">
            <v>109.94799999999999</v>
          </cell>
          <cell r="Y18">
            <v>119.85599999999999</v>
          </cell>
          <cell r="Z18">
            <v>108.91800000000001</v>
          </cell>
          <cell r="AA18">
            <v>130.56700000000001</v>
          </cell>
          <cell r="AB18">
            <v>111.71</v>
          </cell>
          <cell r="AC18">
            <v>111.93</v>
          </cell>
          <cell r="AD18">
            <v>110.637</v>
          </cell>
          <cell r="AE18">
            <v>84.582999999999998</v>
          </cell>
          <cell r="AF18">
            <v>79.998000000000005</v>
          </cell>
          <cell r="AG18">
            <v>95.18</v>
          </cell>
          <cell r="AH18">
            <v>82.268000000000001</v>
          </cell>
          <cell r="AI18">
            <v>48.088999999999999</v>
          </cell>
          <cell r="AJ18">
            <v>89.108000000000004</v>
          </cell>
          <cell r="AK18">
            <v>108.64</v>
          </cell>
          <cell r="AL18">
            <v>96.906000000000006</v>
          </cell>
          <cell r="AM18">
            <v>126.03</v>
          </cell>
        </row>
        <row r="19">
          <cell r="B19" t="str">
            <v>24MG/ML S/SUC BUV 100ML BT 1</v>
          </cell>
          <cell r="C19">
            <v>565.37699999999995</v>
          </cell>
          <cell r="D19">
            <v>346.71499999999997</v>
          </cell>
          <cell r="E19">
            <v>315.68700000000001</v>
          </cell>
          <cell r="F19">
            <v>329.92099999999999</v>
          </cell>
          <cell r="G19">
            <v>297.16399999999999</v>
          </cell>
          <cell r="H19">
            <v>290.15800000000002</v>
          </cell>
          <cell r="I19">
            <v>338.95</v>
          </cell>
          <cell r="J19">
            <v>278.59500000000003</v>
          </cell>
          <cell r="K19">
            <v>176.77699999999999</v>
          </cell>
          <cell r="L19">
            <v>364.209</v>
          </cell>
          <cell r="M19">
            <v>435.67899999999997</v>
          </cell>
          <cell r="N19">
            <v>399.601</v>
          </cell>
          <cell r="O19">
            <v>544.95000000000005</v>
          </cell>
          <cell r="P19">
            <v>556.29700000000003</v>
          </cell>
          <cell r="Q19">
            <v>612.85799999999995</v>
          </cell>
          <cell r="R19">
            <v>556.71100000000001</v>
          </cell>
          <cell r="S19">
            <v>451.44799999999998</v>
          </cell>
          <cell r="T19">
            <v>381.99099999999999</v>
          </cell>
          <cell r="U19">
            <v>455.6</v>
          </cell>
          <cell r="V19">
            <v>371.22199999999998</v>
          </cell>
          <cell r="W19">
            <v>235.72800000000001</v>
          </cell>
          <cell r="X19">
            <v>467.95299999999997</v>
          </cell>
          <cell r="Y19">
            <v>558.67100000000005</v>
          </cell>
          <cell r="Z19">
            <v>539.91800000000001</v>
          </cell>
          <cell r="AA19">
            <v>682.11699999999996</v>
          </cell>
          <cell r="AB19">
            <v>638.54399999999998</v>
          </cell>
          <cell r="AC19">
            <v>708.678</v>
          </cell>
          <cell r="AD19">
            <v>707.404</v>
          </cell>
          <cell r="AE19">
            <v>514.84100000000001</v>
          </cell>
          <cell r="AF19">
            <v>463.53699999999998</v>
          </cell>
          <cell r="AG19">
            <v>557.93200000000002</v>
          </cell>
          <cell r="AH19">
            <v>502.99</v>
          </cell>
          <cell r="AI19">
            <v>300.46699999999998</v>
          </cell>
          <cell r="AJ19">
            <v>511.80200000000002</v>
          </cell>
          <cell r="AK19">
            <v>676.30899999999997</v>
          </cell>
          <cell r="AL19">
            <v>634.83399999999995</v>
          </cell>
          <cell r="AM19">
            <v>883.40300000000002</v>
          </cell>
        </row>
        <row r="20">
          <cell r="B20" t="str">
            <v>300MG PDR SACH BT 12</v>
          </cell>
          <cell r="C20">
            <v>281.41300000000001</v>
          </cell>
          <cell r="D20">
            <v>166.02799999999999</v>
          </cell>
          <cell r="E20">
            <v>148.089</v>
          </cell>
          <cell r="F20">
            <v>151.99799999999999</v>
          </cell>
          <cell r="G20">
            <v>123.71299999999999</v>
          </cell>
          <cell r="H20">
            <v>123.518</v>
          </cell>
          <cell r="I20">
            <v>150.29499999999999</v>
          </cell>
          <cell r="J20">
            <v>118.128</v>
          </cell>
          <cell r="K20">
            <v>69.343000000000004</v>
          </cell>
          <cell r="L20">
            <v>134.976</v>
          </cell>
          <cell r="M20">
            <v>149.15100000000001</v>
          </cell>
          <cell r="N20">
            <v>140.721</v>
          </cell>
          <cell r="O20">
            <v>181.81899999999999</v>
          </cell>
          <cell r="P20">
            <v>224.05799999999999</v>
          </cell>
          <cell r="Q20">
            <v>254.66900000000001</v>
          </cell>
          <cell r="R20">
            <v>216.774</v>
          </cell>
          <cell r="S20">
            <v>149.53</v>
          </cell>
          <cell r="T20">
            <v>125.02500000000001</v>
          </cell>
          <cell r="U20">
            <v>165.03899999999999</v>
          </cell>
          <cell r="V20">
            <v>130.33600000000001</v>
          </cell>
          <cell r="W20">
            <v>73.652000000000001</v>
          </cell>
          <cell r="X20">
            <v>140.31899999999999</v>
          </cell>
          <cell r="Y20">
            <v>161.34</v>
          </cell>
          <cell r="Z20">
            <v>158.149</v>
          </cell>
          <cell r="AA20">
            <v>191.74199999999999</v>
          </cell>
          <cell r="AB20">
            <v>211.43600000000001</v>
          </cell>
          <cell r="AC20">
            <v>270.14400000000001</v>
          </cell>
          <cell r="AD20">
            <v>256.81400000000002</v>
          </cell>
          <cell r="AE20">
            <v>146.05000000000001</v>
          </cell>
          <cell r="AF20">
            <v>116.06100000000001</v>
          </cell>
          <cell r="AG20">
            <v>149.30699999999999</v>
          </cell>
          <cell r="AH20">
            <v>141.196</v>
          </cell>
          <cell r="AI20">
            <v>76.984999999999999</v>
          </cell>
          <cell r="AJ20">
            <v>126.47799999999999</v>
          </cell>
          <cell r="AK20">
            <v>159.86699999999999</v>
          </cell>
          <cell r="AL20">
            <v>146.708</v>
          </cell>
          <cell r="AM20">
            <v>204.77099999999999</v>
          </cell>
        </row>
        <row r="21">
          <cell r="B21" t="str">
            <v>300MG SUP BT 10</v>
          </cell>
          <cell r="C21">
            <v>175.11699999999999</v>
          </cell>
          <cell r="D21">
            <v>94.415999999999997</v>
          </cell>
          <cell r="E21">
            <v>80.933999999999997</v>
          </cell>
          <cell r="F21">
            <v>80.584999999999994</v>
          </cell>
          <cell r="G21">
            <v>68.718999999999994</v>
          </cell>
          <cell r="H21">
            <v>68.022999999999996</v>
          </cell>
          <cell r="I21">
            <v>85.698999999999998</v>
          </cell>
          <cell r="J21">
            <v>59.445999999999998</v>
          </cell>
          <cell r="K21">
            <v>33.344000000000001</v>
          </cell>
          <cell r="L21">
            <v>67.768000000000001</v>
          </cell>
          <cell r="M21">
            <v>81.795000000000002</v>
          </cell>
          <cell r="N21">
            <v>71.278000000000006</v>
          </cell>
          <cell r="O21">
            <v>92.686000000000007</v>
          </cell>
          <cell r="P21">
            <v>102.20699999999999</v>
          </cell>
          <cell r="Q21">
            <v>108.54</v>
          </cell>
          <cell r="R21">
            <v>96.644000000000005</v>
          </cell>
          <cell r="S21">
            <v>68.216999999999999</v>
          </cell>
          <cell r="T21">
            <v>61.563000000000002</v>
          </cell>
          <cell r="U21">
            <v>83.135000000000005</v>
          </cell>
          <cell r="V21">
            <v>62.279000000000003</v>
          </cell>
          <cell r="W21">
            <v>32.517000000000003</v>
          </cell>
          <cell r="X21">
            <v>70.41</v>
          </cell>
          <cell r="Y21">
            <v>82.679000000000002</v>
          </cell>
          <cell r="Z21">
            <v>74.123000000000005</v>
          </cell>
          <cell r="AA21">
            <v>87</v>
          </cell>
          <cell r="AB21">
            <v>84.183000000000007</v>
          </cell>
          <cell r="AC21">
            <v>98.683000000000007</v>
          </cell>
          <cell r="AD21">
            <v>98.977000000000004</v>
          </cell>
          <cell r="AE21">
            <v>60.348999999999997</v>
          </cell>
          <cell r="AF21">
            <v>49.082999999999998</v>
          </cell>
          <cell r="AG21">
            <v>65.301000000000002</v>
          </cell>
          <cell r="AH21">
            <v>54.551000000000002</v>
          </cell>
          <cell r="AI21">
            <v>28.966999999999999</v>
          </cell>
          <cell r="AJ21">
            <v>53.048999999999999</v>
          </cell>
          <cell r="AK21">
            <v>71.963999999999999</v>
          </cell>
          <cell r="AL21">
            <v>62.323999999999998</v>
          </cell>
          <cell r="AM21">
            <v>84.617000000000004</v>
          </cell>
        </row>
        <row r="22">
          <cell r="B22" t="str">
            <v>500MG BUV PDR SACH BT 12</v>
          </cell>
          <cell r="C22">
            <v>316.58300000000003</v>
          </cell>
          <cell r="D22">
            <v>207.28200000000001</v>
          </cell>
          <cell r="E22">
            <v>178.89099999999999</v>
          </cell>
          <cell r="F22">
            <v>194.14099999999999</v>
          </cell>
          <cell r="G22">
            <v>160.47999999999999</v>
          </cell>
          <cell r="H22">
            <v>153.41800000000001</v>
          </cell>
          <cell r="I22">
            <v>167.25299999999999</v>
          </cell>
          <cell r="J22">
            <v>142.90199999999999</v>
          </cell>
          <cell r="K22">
            <v>106.89</v>
          </cell>
          <cell r="L22">
            <v>172.60400000000001</v>
          </cell>
          <cell r="M22">
            <v>172.614</v>
          </cell>
          <cell r="N22">
            <v>174.352</v>
          </cell>
          <cell r="O22">
            <v>206.40799999999999</v>
          </cell>
          <cell r="P22">
            <v>265.255</v>
          </cell>
          <cell r="Q22">
            <v>291.173</v>
          </cell>
          <cell r="R22">
            <v>243.40899999999999</v>
          </cell>
          <cell r="S22">
            <v>177.88</v>
          </cell>
          <cell r="T22">
            <v>157.32300000000001</v>
          </cell>
          <cell r="U22">
            <v>171.89</v>
          </cell>
          <cell r="V22">
            <v>143.61600000000001</v>
          </cell>
          <cell r="W22">
            <v>106.318</v>
          </cell>
          <cell r="X22">
            <v>168.13900000000001</v>
          </cell>
          <cell r="Y22">
            <v>171.947</v>
          </cell>
          <cell r="Z22">
            <v>182.346</v>
          </cell>
          <cell r="AA22">
            <v>208.584</v>
          </cell>
          <cell r="AB22">
            <v>250.202</v>
          </cell>
          <cell r="AC22">
            <v>299.06299999999999</v>
          </cell>
          <cell r="AD22">
            <v>291.60700000000003</v>
          </cell>
          <cell r="AE22">
            <v>168.464</v>
          </cell>
          <cell r="AF22">
            <v>150.53299999999999</v>
          </cell>
          <cell r="AG22">
            <v>161.79</v>
          </cell>
          <cell r="AH22">
            <v>151.77699999999999</v>
          </cell>
          <cell r="AI22">
            <v>109.627</v>
          </cell>
          <cell r="AJ22">
            <v>160.95099999999999</v>
          </cell>
          <cell r="AK22">
            <v>180.07900000000001</v>
          </cell>
          <cell r="AL22">
            <v>178.17099999999999</v>
          </cell>
          <cell r="AM22">
            <v>220.65600000000001</v>
          </cell>
        </row>
        <row r="23">
          <cell r="B23" t="str">
            <v>500MG CPR BT 16</v>
          </cell>
          <cell r="C23">
            <v>1234.0550000000001</v>
          </cell>
          <cell r="D23">
            <v>1026.672</v>
          </cell>
          <cell r="E23">
            <v>876.298</v>
          </cell>
          <cell r="F23">
            <v>948.79899999999998</v>
          </cell>
          <cell r="G23">
            <v>832.87099999999998</v>
          </cell>
          <cell r="H23">
            <v>764.09199999999998</v>
          </cell>
          <cell r="I23">
            <v>824.04</v>
          </cell>
          <cell r="J23">
            <v>811.91099999999994</v>
          </cell>
          <cell r="K23">
            <v>627.83900000000006</v>
          </cell>
          <cell r="L23">
            <v>873.97500000000002</v>
          </cell>
          <cell r="M23">
            <v>884.45100000000002</v>
          </cell>
          <cell r="N23">
            <v>833.71</v>
          </cell>
          <cell r="O23">
            <v>935.97299999999996</v>
          </cell>
          <cell r="P23">
            <v>999.44799999999998</v>
          </cell>
          <cell r="Q23">
            <v>1027.6310000000001</v>
          </cell>
          <cell r="R23">
            <v>962.08199999999999</v>
          </cell>
          <cell r="S23">
            <v>834.32899999999995</v>
          </cell>
          <cell r="T23">
            <v>776.75900000000001</v>
          </cell>
          <cell r="U23">
            <v>780.45100000000002</v>
          </cell>
          <cell r="V23">
            <v>721.95799999999997</v>
          </cell>
          <cell r="W23">
            <v>604.77800000000002</v>
          </cell>
          <cell r="X23">
            <v>798.96699999999998</v>
          </cell>
          <cell r="Y23">
            <v>798.69</v>
          </cell>
          <cell r="Z23">
            <v>803.86699999999996</v>
          </cell>
          <cell r="AA23">
            <v>875.93799999999999</v>
          </cell>
          <cell r="AB23">
            <v>926.28399999999999</v>
          </cell>
          <cell r="AC23">
            <v>888.51199999999994</v>
          </cell>
          <cell r="AD23">
            <v>905.78700000000003</v>
          </cell>
          <cell r="AE23">
            <v>710.43100000000004</v>
          </cell>
          <cell r="AF23">
            <v>733.90700000000004</v>
          </cell>
          <cell r="AG23">
            <v>743.12699999999995</v>
          </cell>
          <cell r="AH23">
            <v>698.476</v>
          </cell>
          <cell r="AI23">
            <v>597.13900000000001</v>
          </cell>
          <cell r="AJ23">
            <v>760.93700000000001</v>
          </cell>
          <cell r="AK23">
            <v>816.48299999999995</v>
          </cell>
          <cell r="AL23">
            <v>783.60699999999997</v>
          </cell>
          <cell r="AM23">
            <v>845.74300000000005</v>
          </cell>
        </row>
        <row r="24">
          <cell r="B24" t="str">
            <v>500MG CPR EFFV TB 16</v>
          </cell>
          <cell r="C24">
            <v>159.655</v>
          </cell>
          <cell r="D24">
            <v>133.50399999999999</v>
          </cell>
          <cell r="E24">
            <v>115.36499999999999</v>
          </cell>
          <cell r="F24">
            <v>123.13500000000001</v>
          </cell>
          <cell r="G24">
            <v>107.727</v>
          </cell>
          <cell r="H24">
            <v>99.215000000000003</v>
          </cell>
          <cell r="I24">
            <v>107.53400000000001</v>
          </cell>
          <cell r="J24">
            <v>104.15300000000001</v>
          </cell>
          <cell r="K24">
            <v>82.575999999999993</v>
          </cell>
          <cell r="L24">
            <v>113.05</v>
          </cell>
          <cell r="M24">
            <v>114.533</v>
          </cell>
          <cell r="N24">
            <v>111.767</v>
          </cell>
          <cell r="O24">
            <v>123.44199999999999</v>
          </cell>
          <cell r="P24">
            <v>135.864</v>
          </cell>
          <cell r="Q24">
            <v>142.55500000000001</v>
          </cell>
          <cell r="R24">
            <v>132.28</v>
          </cell>
          <cell r="S24">
            <v>114.283</v>
          </cell>
          <cell r="T24">
            <v>106.985</v>
          </cell>
          <cell r="U24">
            <v>108.7</v>
          </cell>
          <cell r="V24">
            <v>101.94</v>
          </cell>
          <cell r="W24">
            <v>84.554000000000002</v>
          </cell>
          <cell r="X24">
            <v>110.107</v>
          </cell>
          <cell r="Y24">
            <v>110.93600000000001</v>
          </cell>
          <cell r="Z24">
            <v>113.28100000000001</v>
          </cell>
          <cell r="AA24">
            <v>122.077</v>
          </cell>
          <cell r="AB24">
            <v>131.88499999999999</v>
          </cell>
          <cell r="AC24">
            <v>137.26</v>
          </cell>
          <cell r="AD24">
            <v>133.49600000000001</v>
          </cell>
          <cell r="AE24">
            <v>103.25</v>
          </cell>
          <cell r="AF24">
            <v>104.764</v>
          </cell>
          <cell r="AG24">
            <v>106.027</v>
          </cell>
          <cell r="AH24">
            <v>101.337</v>
          </cell>
          <cell r="AI24">
            <v>85.575999999999993</v>
          </cell>
          <cell r="AJ24">
            <v>108.625</v>
          </cell>
          <cell r="AK24">
            <v>116.187</v>
          </cell>
          <cell r="AL24">
            <v>113.387</v>
          </cell>
          <cell r="AM24">
            <v>122.349</v>
          </cell>
        </row>
        <row r="25">
          <cell r="B25" t="str">
            <v>500MG GELU BT 16</v>
          </cell>
          <cell r="C25">
            <v>140.47900000000001</v>
          </cell>
          <cell r="D25">
            <v>119.917</v>
          </cell>
          <cell r="E25">
            <v>103.923</v>
          </cell>
          <cell r="F25">
            <v>113.35899999999999</v>
          </cell>
          <cell r="G25">
            <v>100.761</v>
          </cell>
          <cell r="H25">
            <v>93.912000000000006</v>
          </cell>
          <cell r="I25">
            <v>100.727</v>
          </cell>
          <cell r="J25">
            <v>97.832999999999998</v>
          </cell>
          <cell r="K25">
            <v>81.085999999999999</v>
          </cell>
          <cell r="L25">
            <v>108.12</v>
          </cell>
          <cell r="M25">
            <v>113.185</v>
          </cell>
          <cell r="N25">
            <v>108.193</v>
          </cell>
          <cell r="O25">
            <v>121.122</v>
          </cell>
          <cell r="P25">
            <v>130.88300000000001</v>
          </cell>
          <cell r="Q25">
            <v>135.73099999999999</v>
          </cell>
          <cell r="R25">
            <v>130.21</v>
          </cell>
          <cell r="S25">
            <v>117.176</v>
          </cell>
          <cell r="T25">
            <v>109.735</v>
          </cell>
          <cell r="U25">
            <v>108.342</v>
          </cell>
          <cell r="V25">
            <v>104.998</v>
          </cell>
          <cell r="W25">
            <v>93.736000000000004</v>
          </cell>
          <cell r="X25">
            <v>115.34699999999999</v>
          </cell>
          <cell r="Y25">
            <v>117.425</v>
          </cell>
          <cell r="Z25">
            <v>119.79900000000001</v>
          </cell>
          <cell r="AA25">
            <v>130.233</v>
          </cell>
          <cell r="AB25">
            <v>138.43199999999999</v>
          </cell>
          <cell r="AC25">
            <v>136.68799999999999</v>
          </cell>
          <cell r="AD25">
            <v>142.46899999999999</v>
          </cell>
          <cell r="AE25">
            <v>115.581</v>
          </cell>
          <cell r="AF25">
            <v>118.995</v>
          </cell>
          <cell r="AG25">
            <v>118.983</v>
          </cell>
          <cell r="AH25">
            <v>113.42100000000001</v>
          </cell>
          <cell r="AI25">
            <v>104.637</v>
          </cell>
          <cell r="AJ25">
            <v>125.084</v>
          </cell>
          <cell r="AK25">
            <v>137.648</v>
          </cell>
          <cell r="AL25">
            <v>133.226</v>
          </cell>
          <cell r="AM25">
            <v>144.47800000000001</v>
          </cell>
        </row>
        <row r="29">
          <cell r="B29" t="str">
            <v>GAMME EFFERALGAN</v>
          </cell>
          <cell r="C29">
            <v>3371.154</v>
          </cell>
          <cell r="D29">
            <v>2438.8739999999998</v>
          </cell>
          <cell r="E29">
            <v>2073.192</v>
          </cell>
          <cell r="F29">
            <v>2173.8249999999998</v>
          </cell>
          <cell r="G29">
            <v>1889.741</v>
          </cell>
          <cell r="H29">
            <v>1696.88</v>
          </cell>
          <cell r="I29">
            <v>1822.2270000000001</v>
          </cell>
          <cell r="J29">
            <v>1711.077</v>
          </cell>
          <cell r="K29">
            <v>1337.97</v>
          </cell>
          <cell r="L29">
            <v>1953.8240000000001</v>
          </cell>
          <cell r="M29">
            <v>2109.0659999999998</v>
          </cell>
          <cell r="N29">
            <v>1969.519</v>
          </cell>
          <cell r="O29">
            <v>2341.607</v>
          </cell>
          <cell r="P29">
            <v>2499.5219999999999</v>
          </cell>
          <cell r="Q29">
            <v>2849.4369999999999</v>
          </cell>
          <cell r="R29">
            <v>2510.3090000000002</v>
          </cell>
          <cell r="S29">
            <v>1965.1969999999999</v>
          </cell>
          <cell r="T29">
            <v>1789.6179999999999</v>
          </cell>
          <cell r="U29">
            <v>1780.338</v>
          </cell>
          <cell r="V29">
            <v>1569.8689999999999</v>
          </cell>
          <cell r="W29">
            <v>1362.123</v>
          </cell>
          <cell r="X29">
            <v>1884.991</v>
          </cell>
          <cell r="Y29">
            <v>1984.1179999999999</v>
          </cell>
          <cell r="Z29">
            <v>1938.691</v>
          </cell>
          <cell r="AA29">
            <v>2203.3789999999999</v>
          </cell>
          <cell r="AB29">
            <v>2237.1660000000002</v>
          </cell>
          <cell r="AC29">
            <v>2255.087</v>
          </cell>
          <cell r="AD29">
            <v>2018.028</v>
          </cell>
          <cell r="AE29">
            <v>1557.3610000000001</v>
          </cell>
          <cell r="AF29">
            <v>1521.3019999999999</v>
          </cell>
          <cell r="AG29">
            <v>1547.87</v>
          </cell>
          <cell r="AH29">
            <v>1414.7650000000001</v>
          </cell>
          <cell r="AI29">
            <v>1240.3630000000001</v>
          </cell>
          <cell r="AJ29">
            <v>1568.761</v>
          </cell>
          <cell r="AK29">
            <v>1794.0609999999999</v>
          </cell>
          <cell r="AL29">
            <v>1710.2919999999999</v>
          </cell>
          <cell r="AM29">
            <v>1930.49</v>
          </cell>
        </row>
        <row r="31">
          <cell r="B31" t="str">
            <v>1000MG CPR EFFV TB 8</v>
          </cell>
          <cell r="C31">
            <v>936.09400000000005</v>
          </cell>
          <cell r="D31">
            <v>688.94399999999996</v>
          </cell>
          <cell r="E31">
            <v>590.08100000000002</v>
          </cell>
          <cell r="F31">
            <v>613.65099999999995</v>
          </cell>
          <cell r="G31">
            <v>538.16200000000003</v>
          </cell>
          <cell r="H31">
            <v>476.952</v>
          </cell>
          <cell r="I31">
            <v>505.911</v>
          </cell>
          <cell r="J31">
            <v>497.142</v>
          </cell>
          <cell r="K31">
            <v>417.33699999999999</v>
          </cell>
          <cell r="L31">
            <v>551.57000000000005</v>
          </cell>
          <cell r="M31">
            <v>598.34199999999998</v>
          </cell>
          <cell r="N31">
            <v>563.40499999999997</v>
          </cell>
          <cell r="O31">
            <v>659.41499999999996</v>
          </cell>
          <cell r="P31">
            <v>726.79700000000003</v>
          </cell>
          <cell r="Q31">
            <v>898.26300000000003</v>
          </cell>
          <cell r="R31">
            <v>774.96400000000006</v>
          </cell>
          <cell r="S31">
            <v>602.94299999999998</v>
          </cell>
          <cell r="T31">
            <v>552.548</v>
          </cell>
          <cell r="U31">
            <v>531.23099999999999</v>
          </cell>
          <cell r="V31">
            <v>489.202</v>
          </cell>
          <cell r="W31">
            <v>459.99200000000002</v>
          </cell>
          <cell r="X31">
            <v>583.13199999999995</v>
          </cell>
          <cell r="Y31">
            <v>620.25</v>
          </cell>
          <cell r="Z31">
            <v>616.63499999999999</v>
          </cell>
          <cell r="AA31">
            <v>701.75300000000004</v>
          </cell>
          <cell r="AB31">
            <v>723.01599999999996</v>
          </cell>
          <cell r="AC31">
            <v>724.745</v>
          </cell>
          <cell r="AD31">
            <v>699.98599999999999</v>
          </cell>
          <cell r="AE31">
            <v>566.71100000000001</v>
          </cell>
          <cell r="AF31">
            <v>567.07299999999998</v>
          </cell>
          <cell r="AG31">
            <v>561.10900000000004</v>
          </cell>
          <cell r="AH31">
            <v>526.39300000000003</v>
          </cell>
          <cell r="AI31">
            <v>499.24200000000002</v>
          </cell>
          <cell r="AJ31">
            <v>603.09400000000005</v>
          </cell>
          <cell r="AK31">
            <v>690.39599999999996</v>
          </cell>
          <cell r="AL31">
            <v>665.64800000000002</v>
          </cell>
          <cell r="AM31">
            <v>735.25300000000004</v>
          </cell>
        </row>
        <row r="32">
          <cell r="B32" t="str">
            <v>150MG BUV SACH BT 12</v>
          </cell>
          <cell r="C32">
            <v>1.014</v>
          </cell>
          <cell r="D32">
            <v>0.69099999999999995</v>
          </cell>
          <cell r="E32">
            <v>0.59</v>
          </cell>
          <cell r="F32">
            <v>0.59899999999999998</v>
          </cell>
          <cell r="G32">
            <v>0.41199999999999998</v>
          </cell>
          <cell r="H32">
            <v>0.44500000000000001</v>
          </cell>
          <cell r="I32">
            <v>0.67200000000000004</v>
          </cell>
          <cell r="J32">
            <v>0.46600000000000003</v>
          </cell>
          <cell r="K32">
            <v>0.26600000000000001</v>
          </cell>
          <cell r="L32">
            <v>0.55000000000000004</v>
          </cell>
          <cell r="M32">
            <v>0.60199999999999998</v>
          </cell>
          <cell r="N32">
            <v>0.61899999999999999</v>
          </cell>
          <cell r="O32">
            <v>0.71499999999999997</v>
          </cell>
          <cell r="P32">
            <v>0.70399999999999996</v>
          </cell>
          <cell r="Q32">
            <v>0.66300000000000003</v>
          </cell>
          <cell r="R32">
            <v>0.57499999999999996</v>
          </cell>
          <cell r="S32">
            <v>0.42299999999999999</v>
          </cell>
          <cell r="T32">
            <v>0.39</v>
          </cell>
          <cell r="U32">
            <v>0.497</v>
          </cell>
          <cell r="V32">
            <v>0.44400000000000001</v>
          </cell>
          <cell r="W32">
            <v>0.214</v>
          </cell>
          <cell r="X32">
            <v>0.40400000000000003</v>
          </cell>
          <cell r="Y32">
            <v>0.49299999999999999</v>
          </cell>
          <cell r="Z32">
            <v>0.433</v>
          </cell>
          <cell r="AA32">
            <v>0.436</v>
          </cell>
          <cell r="AB32">
            <v>0.40100000000000002</v>
          </cell>
          <cell r="AC32">
            <v>0.40400000000000003</v>
          </cell>
          <cell r="AD32">
            <v>0.44900000000000001</v>
          </cell>
          <cell r="AE32">
            <v>0.30099999999999999</v>
          </cell>
          <cell r="AF32">
            <v>0.254</v>
          </cell>
          <cell r="AG32">
            <v>0.34799999999999998</v>
          </cell>
          <cell r="AH32">
            <v>0.34200000000000003</v>
          </cell>
          <cell r="AI32">
            <v>0.17299999999999999</v>
          </cell>
          <cell r="AJ32">
            <v>0.25</v>
          </cell>
          <cell r="AK32">
            <v>0.33800000000000002</v>
          </cell>
          <cell r="AL32">
            <v>0.27500000000000002</v>
          </cell>
          <cell r="AM32">
            <v>0.29399999999999998</v>
          </cell>
        </row>
        <row r="33">
          <cell r="B33" t="str">
            <v>150MG SUP BT 10</v>
          </cell>
          <cell r="C33">
            <v>12.287000000000001</v>
          </cell>
          <cell r="D33">
            <v>8.6850000000000005</v>
          </cell>
          <cell r="E33">
            <v>7.4960000000000004</v>
          </cell>
          <cell r="F33">
            <v>7.33</v>
          </cell>
          <cell r="G33">
            <v>6.3650000000000002</v>
          </cell>
          <cell r="H33">
            <v>6.0289999999999999</v>
          </cell>
          <cell r="I33">
            <v>7.0469999999999997</v>
          </cell>
          <cell r="J33">
            <v>5.5759999999999996</v>
          </cell>
          <cell r="K33">
            <v>3.6619999999999999</v>
          </cell>
          <cell r="L33">
            <v>6.7439999999999998</v>
          </cell>
          <cell r="M33">
            <v>6.2560000000000002</v>
          </cell>
          <cell r="N33">
            <v>5.9550000000000001</v>
          </cell>
          <cell r="O33">
            <v>6.8159999999999998</v>
          </cell>
          <cell r="P33">
            <v>6.8540000000000001</v>
          </cell>
          <cell r="Q33">
            <v>6.3040000000000003</v>
          </cell>
          <cell r="R33">
            <v>6.2770000000000001</v>
          </cell>
          <cell r="S33">
            <v>5.5190000000000001</v>
          </cell>
          <cell r="T33">
            <v>4.9480000000000004</v>
          </cell>
          <cell r="U33">
            <v>5.3630000000000004</v>
          </cell>
          <cell r="V33">
            <v>4.085</v>
          </cell>
          <cell r="W33">
            <v>3.0059999999999998</v>
          </cell>
          <cell r="X33">
            <v>5.2880000000000003</v>
          </cell>
          <cell r="Y33">
            <v>5.0709999999999997</v>
          </cell>
          <cell r="Z33">
            <v>4.9580000000000002</v>
          </cell>
          <cell r="AA33">
            <v>5.7910000000000004</v>
          </cell>
          <cell r="AB33">
            <v>4.7699999999999996</v>
          </cell>
          <cell r="AC33">
            <v>4.6859999999999999</v>
          </cell>
          <cell r="AD33">
            <v>4.5999999999999996</v>
          </cell>
          <cell r="AE33">
            <v>3.827</v>
          </cell>
          <cell r="AF33">
            <v>3.6930000000000001</v>
          </cell>
          <cell r="AG33">
            <v>3.9969999999999999</v>
          </cell>
          <cell r="AH33">
            <v>3.3879999999999999</v>
          </cell>
          <cell r="AI33">
            <v>2.367</v>
          </cell>
          <cell r="AJ33">
            <v>3.7450000000000001</v>
          </cell>
          <cell r="AK33">
            <v>4.16</v>
          </cell>
          <cell r="AL33">
            <v>3.93</v>
          </cell>
          <cell r="AM33">
            <v>4.4619999999999997</v>
          </cell>
        </row>
        <row r="34">
          <cell r="B34" t="str">
            <v>250MG BUV SACH BT 12</v>
          </cell>
          <cell r="C34">
            <v>21.334</v>
          </cell>
          <cell r="D34">
            <v>13.503</v>
          </cell>
          <cell r="E34">
            <v>12.098000000000001</v>
          </cell>
          <cell r="F34">
            <v>11.132999999999999</v>
          </cell>
          <cell r="G34">
            <v>9.1319999999999997</v>
          </cell>
          <cell r="H34">
            <v>7.71</v>
          </cell>
          <cell r="I34">
            <v>10.103</v>
          </cell>
          <cell r="J34">
            <v>7.53</v>
          </cell>
          <cell r="K34">
            <v>4.5659999999999998</v>
          </cell>
          <cell r="L34">
            <v>10.111000000000001</v>
          </cell>
          <cell r="M34">
            <v>10.769</v>
          </cell>
          <cell r="N34">
            <v>10.131</v>
          </cell>
          <cell r="O34">
            <v>12.819000000000001</v>
          </cell>
          <cell r="P34">
            <v>14.920999999999999</v>
          </cell>
          <cell r="Q34">
            <v>15.926</v>
          </cell>
          <cell r="R34">
            <v>14.818</v>
          </cell>
          <cell r="S34">
            <v>9.1519999999999992</v>
          </cell>
          <cell r="T34">
            <v>8.0890000000000004</v>
          </cell>
          <cell r="U34">
            <v>9.9280000000000008</v>
          </cell>
          <cell r="V34">
            <v>7.0350000000000001</v>
          </cell>
          <cell r="W34">
            <v>4.2060000000000004</v>
          </cell>
          <cell r="X34">
            <v>8.5869999999999997</v>
          </cell>
          <cell r="Y34">
            <v>9.9160000000000004</v>
          </cell>
          <cell r="Z34">
            <v>9.8170000000000002</v>
          </cell>
          <cell r="AA34">
            <v>11.48</v>
          </cell>
          <cell r="AB34">
            <v>12.677</v>
          </cell>
          <cell r="AC34">
            <v>15.167999999999999</v>
          </cell>
          <cell r="AD34">
            <v>14.558999999999999</v>
          </cell>
          <cell r="AE34">
            <v>8.19</v>
          </cell>
          <cell r="AF34">
            <v>6.6790000000000003</v>
          </cell>
          <cell r="AG34">
            <v>7.97</v>
          </cell>
          <cell r="AH34">
            <v>6.6740000000000004</v>
          </cell>
          <cell r="AI34">
            <v>3.7930000000000001</v>
          </cell>
          <cell r="AJ34">
            <v>6.7229999999999999</v>
          </cell>
          <cell r="AK34">
            <v>9.0020000000000007</v>
          </cell>
          <cell r="AL34">
            <v>8.2330000000000005</v>
          </cell>
          <cell r="AM34">
            <v>11.295999999999999</v>
          </cell>
        </row>
        <row r="35">
          <cell r="B35" t="str">
            <v>300MG SUP BT 10</v>
          </cell>
          <cell r="C35">
            <v>6.6929999999999996</v>
          </cell>
          <cell r="D35">
            <v>3.87</v>
          </cell>
          <cell r="E35">
            <v>3.351</v>
          </cell>
          <cell r="F35">
            <v>2.9</v>
          </cell>
          <cell r="G35">
            <v>2.742</v>
          </cell>
          <cell r="H35">
            <v>2.5990000000000002</v>
          </cell>
          <cell r="I35">
            <v>3.2480000000000002</v>
          </cell>
          <cell r="J35">
            <v>2.0939999999999999</v>
          </cell>
          <cell r="K35">
            <v>1.274</v>
          </cell>
          <cell r="L35">
            <v>2.488</v>
          </cell>
          <cell r="M35">
            <v>2.923</v>
          </cell>
          <cell r="N35">
            <v>2.625</v>
          </cell>
          <cell r="O35">
            <v>3.1269999999999998</v>
          </cell>
          <cell r="P35">
            <v>3.544</v>
          </cell>
          <cell r="Q35">
            <v>3.5339999999999998</v>
          </cell>
          <cell r="R35">
            <v>3.0169999999999999</v>
          </cell>
          <cell r="S35">
            <v>2.1339999999999999</v>
          </cell>
          <cell r="T35">
            <v>1.9510000000000001</v>
          </cell>
          <cell r="U35">
            <v>2.5880000000000001</v>
          </cell>
          <cell r="V35">
            <v>1.921</v>
          </cell>
          <cell r="W35">
            <v>1.0309999999999999</v>
          </cell>
          <cell r="X35">
            <v>1.9039999999999999</v>
          </cell>
          <cell r="Y35">
            <v>2.3610000000000002</v>
          </cell>
          <cell r="Z35">
            <v>1.9239999999999999</v>
          </cell>
          <cell r="AA35">
            <v>2.1320000000000001</v>
          </cell>
          <cell r="AB35">
            <v>2.0449999999999999</v>
          </cell>
          <cell r="AC35">
            <v>2.4569999999999999</v>
          </cell>
          <cell r="AD35">
            <v>2.5819999999999999</v>
          </cell>
          <cell r="AE35">
            <v>1.5740000000000001</v>
          </cell>
          <cell r="AF35">
            <v>1.355</v>
          </cell>
          <cell r="AG35">
            <v>1.5</v>
          </cell>
          <cell r="AH35">
            <v>1.3049999999999999</v>
          </cell>
          <cell r="AI35">
            <v>0.72</v>
          </cell>
          <cell r="AJ35">
            <v>1.2889999999999999</v>
          </cell>
          <cell r="AK35">
            <v>1.7509999999999999</v>
          </cell>
          <cell r="AL35">
            <v>1.4139999999999999</v>
          </cell>
          <cell r="AM35">
            <v>1.9239999999999999</v>
          </cell>
        </row>
        <row r="36">
          <cell r="B36" t="str">
            <v>3G/100ML PEDIA BUV FP90ML BT 1</v>
          </cell>
          <cell r="C36">
            <v>564.02300000000002</v>
          </cell>
          <cell r="D36">
            <v>328.40600000000001</v>
          </cell>
          <cell r="E36">
            <v>291.30700000000002</v>
          </cell>
          <cell r="F36">
            <v>290.21300000000002</v>
          </cell>
          <cell r="G36">
            <v>249.56299999999999</v>
          </cell>
          <cell r="H36">
            <v>236.482</v>
          </cell>
          <cell r="I36">
            <v>273.149</v>
          </cell>
          <cell r="J36">
            <v>205.92599999999999</v>
          </cell>
          <cell r="K36">
            <v>122.095</v>
          </cell>
          <cell r="L36">
            <v>268.00400000000002</v>
          </cell>
          <cell r="M36">
            <v>311.101</v>
          </cell>
          <cell r="N36">
            <v>277.24400000000003</v>
          </cell>
          <cell r="O36">
            <v>371.43400000000003</v>
          </cell>
          <cell r="P36">
            <v>383.952</v>
          </cell>
          <cell r="Q36">
            <v>400.35599999999999</v>
          </cell>
          <cell r="R36">
            <v>367.35199999999998</v>
          </cell>
          <cell r="S36">
            <v>272.125</v>
          </cell>
          <cell r="T36">
            <v>226.83699999999999</v>
          </cell>
          <cell r="U36">
            <v>266.87400000000002</v>
          </cell>
          <cell r="V36">
            <v>200.815</v>
          </cell>
          <cell r="W36">
            <v>119.474</v>
          </cell>
          <cell r="X36">
            <v>253.57499999999999</v>
          </cell>
          <cell r="Y36">
            <v>299.411</v>
          </cell>
          <cell r="Z36">
            <v>282.274</v>
          </cell>
          <cell r="AA36">
            <v>345.99299999999999</v>
          </cell>
          <cell r="AB36">
            <v>325.81599999999997</v>
          </cell>
          <cell r="AC36">
            <v>358.21600000000001</v>
          </cell>
          <cell r="AD36">
            <v>348.92500000000001</v>
          </cell>
          <cell r="AE36">
            <v>230.80600000000001</v>
          </cell>
          <cell r="AF36">
            <v>196.584</v>
          </cell>
          <cell r="AG36">
            <v>233.35400000000001</v>
          </cell>
          <cell r="AH36">
            <v>194.495</v>
          </cell>
          <cell r="AI36">
            <v>110.529</v>
          </cell>
          <cell r="AJ36">
            <v>198.471</v>
          </cell>
          <cell r="AK36">
            <v>260.73599999999999</v>
          </cell>
          <cell r="AL36">
            <v>237.714</v>
          </cell>
          <cell r="AM36">
            <v>328.28300000000002</v>
          </cell>
        </row>
        <row r="37">
          <cell r="B37" t="str">
            <v>500MG CPR BT 16</v>
          </cell>
          <cell r="C37">
            <v>184.95699999999999</v>
          </cell>
          <cell r="D37">
            <v>150.60499999999999</v>
          </cell>
          <cell r="E37">
            <v>127.748</v>
          </cell>
          <cell r="F37">
            <v>127.899</v>
          </cell>
          <cell r="G37">
            <v>112.233</v>
          </cell>
          <cell r="H37">
            <v>101.42</v>
          </cell>
          <cell r="I37">
            <v>106.932</v>
          </cell>
          <cell r="J37">
            <v>103.617</v>
          </cell>
          <cell r="K37">
            <v>82.117000000000004</v>
          </cell>
          <cell r="L37">
            <v>116.788</v>
          </cell>
          <cell r="M37">
            <v>120.79600000000001</v>
          </cell>
          <cell r="N37">
            <v>113.476</v>
          </cell>
          <cell r="O37">
            <v>127.062</v>
          </cell>
          <cell r="P37">
            <v>136.767</v>
          </cell>
          <cell r="Q37">
            <v>146.08799999999999</v>
          </cell>
          <cell r="R37">
            <v>136.24700000000001</v>
          </cell>
          <cell r="S37">
            <v>112.988</v>
          </cell>
          <cell r="T37">
            <v>105.992</v>
          </cell>
          <cell r="U37">
            <v>103.196</v>
          </cell>
          <cell r="V37">
            <v>96.381</v>
          </cell>
          <cell r="W37">
            <v>84.77</v>
          </cell>
          <cell r="X37">
            <v>111.783</v>
          </cell>
          <cell r="Y37">
            <v>113.643</v>
          </cell>
          <cell r="Z37">
            <v>113.547</v>
          </cell>
          <cell r="AA37">
            <v>123.15900000000001</v>
          </cell>
          <cell r="AB37">
            <v>129.376</v>
          </cell>
          <cell r="AC37">
            <v>126.51</v>
          </cell>
          <cell r="AD37">
            <v>124.39700000000001</v>
          </cell>
          <cell r="AE37">
            <v>99.792000000000002</v>
          </cell>
          <cell r="AF37">
            <v>99.545000000000002</v>
          </cell>
          <cell r="AG37">
            <v>97.213999999999999</v>
          </cell>
          <cell r="AH37">
            <v>89.236000000000004</v>
          </cell>
          <cell r="AI37">
            <v>82.191999999999993</v>
          </cell>
          <cell r="AJ37">
            <v>102.288</v>
          </cell>
          <cell r="AK37">
            <v>113.70699999999999</v>
          </cell>
          <cell r="AL37">
            <v>106.986</v>
          </cell>
          <cell r="AM37">
            <v>116.15600000000001</v>
          </cell>
        </row>
        <row r="38">
          <cell r="B38" t="str">
            <v>500MG CPR EFFV BT 16</v>
          </cell>
          <cell r="C38">
            <v>1158.404</v>
          </cell>
          <cell r="D38">
            <v>926.529</v>
          </cell>
          <cell r="E38">
            <v>778.74699999999996</v>
          </cell>
          <cell r="F38">
            <v>851.71299999999997</v>
          </cell>
          <cell r="G38">
            <v>751.31700000000001</v>
          </cell>
          <cell r="H38">
            <v>679.35299999999995</v>
          </cell>
          <cell r="I38">
            <v>731.44899999999996</v>
          </cell>
          <cell r="J38">
            <v>706.74699999999996</v>
          </cell>
          <cell r="K38">
            <v>567.21600000000001</v>
          </cell>
          <cell r="L38">
            <v>746.99599999999998</v>
          </cell>
          <cell r="M38">
            <v>778.01300000000003</v>
          </cell>
          <cell r="N38">
            <v>744.25199999999995</v>
          </cell>
          <cell r="O38">
            <v>831.78700000000003</v>
          </cell>
          <cell r="P38">
            <v>869.96100000000001</v>
          </cell>
          <cell r="Q38">
            <v>949.03099999999995</v>
          </cell>
          <cell r="R38">
            <v>867.22199999999998</v>
          </cell>
          <cell r="S38">
            <v>725.82600000000002</v>
          </cell>
          <cell r="T38">
            <v>685.57100000000003</v>
          </cell>
          <cell r="U38">
            <v>672.625</v>
          </cell>
          <cell r="V38">
            <v>611.91600000000005</v>
          </cell>
          <cell r="W38">
            <v>549.85199999999998</v>
          </cell>
          <cell r="X38">
            <v>700.08399999999995</v>
          </cell>
          <cell r="Y38">
            <v>720.97900000000004</v>
          </cell>
          <cell r="Z38">
            <v>710.59400000000005</v>
          </cell>
          <cell r="AA38">
            <v>770.46799999999996</v>
          </cell>
          <cell r="AB38">
            <v>799.03800000000001</v>
          </cell>
          <cell r="AC38">
            <v>776.47199999999998</v>
          </cell>
          <cell r="AD38">
            <v>779.39</v>
          </cell>
          <cell r="AE38">
            <v>622.505</v>
          </cell>
          <cell r="AF38">
            <v>625.93600000000004</v>
          </cell>
          <cell r="AG38">
            <v>623.36400000000003</v>
          </cell>
          <cell r="AH38">
            <v>576.07399999999996</v>
          </cell>
          <cell r="AI38">
            <v>525.13300000000004</v>
          </cell>
          <cell r="AJ38">
            <v>631.63699999999994</v>
          </cell>
          <cell r="AK38">
            <v>690.30399999999997</v>
          </cell>
          <cell r="AL38">
            <v>664.16499999999996</v>
          </cell>
          <cell r="AM38">
            <v>706.04300000000001</v>
          </cell>
        </row>
        <row r="39">
          <cell r="B39" t="str">
            <v>80MG BUV SACH BT 12</v>
          </cell>
          <cell r="C39">
            <v>5.8999999999999997E-2</v>
          </cell>
          <cell r="D39">
            <v>5.8999999999999997E-2</v>
          </cell>
          <cell r="E39">
            <v>3.5000000000000003E-2</v>
          </cell>
          <cell r="F39">
            <v>3.9E-2</v>
          </cell>
          <cell r="G39">
            <v>2.5999999999999999E-2</v>
          </cell>
          <cell r="H39">
            <v>1.2999999999999999E-2</v>
          </cell>
          <cell r="I39">
            <v>2.1999999999999999E-2</v>
          </cell>
          <cell r="J39">
            <v>2.5000000000000001E-2</v>
          </cell>
          <cell r="K39">
            <v>5.0999999999999997E-2</v>
          </cell>
          <cell r="L39">
            <v>3.5999999999999997E-2</v>
          </cell>
          <cell r="M39">
            <v>3.1E-2</v>
          </cell>
          <cell r="N39">
            <v>2.3E-2</v>
          </cell>
          <cell r="O39">
            <v>3.4000000000000002E-2</v>
          </cell>
          <cell r="P39">
            <v>1.6E-2</v>
          </cell>
          <cell r="Q39">
            <v>4.5999999999999999E-2</v>
          </cell>
          <cell r="R39">
            <v>1.7999999999999999E-2</v>
          </cell>
          <cell r="S39">
            <v>1.2999999999999999E-2</v>
          </cell>
          <cell r="T39">
            <v>2.8000000000000001E-2</v>
          </cell>
          <cell r="U39">
            <v>2.9000000000000001E-2</v>
          </cell>
          <cell r="V39">
            <v>1.9E-2</v>
          </cell>
          <cell r="W39">
            <v>1.7000000000000001E-2</v>
          </cell>
          <cell r="X39">
            <v>2.1000000000000001E-2</v>
          </cell>
          <cell r="Y39">
            <v>2.4E-2</v>
          </cell>
          <cell r="Z39">
            <v>1.4999999999999999E-2</v>
          </cell>
          <cell r="AA39">
            <v>1.7000000000000001E-2</v>
          </cell>
          <cell r="AB39">
            <v>2.7E-2</v>
          </cell>
          <cell r="AC39">
            <v>3.2000000000000001E-2</v>
          </cell>
          <cell r="AD39">
            <v>1.4E-2</v>
          </cell>
          <cell r="AE39">
            <v>1.9E-2</v>
          </cell>
          <cell r="AF39">
            <v>1.4999999999999999E-2</v>
          </cell>
          <cell r="AG39">
            <v>2.5999999999999999E-2</v>
          </cell>
          <cell r="AH39">
            <v>1.2E-2</v>
          </cell>
          <cell r="AI39">
            <v>1.7999999999999999E-2</v>
          </cell>
          <cell r="AJ39">
            <v>0.01</v>
          </cell>
          <cell r="AK39">
            <v>2.1000000000000001E-2</v>
          </cell>
          <cell r="AL39">
            <v>0.03</v>
          </cell>
          <cell r="AM39">
            <v>2.1000000000000001E-2</v>
          </cell>
        </row>
        <row r="40">
          <cell r="B40" t="str">
            <v>80MG SUP BT 10</v>
          </cell>
          <cell r="C40">
            <v>4.9669999999999996</v>
          </cell>
          <cell r="D40">
            <v>4.3490000000000002</v>
          </cell>
          <cell r="E40">
            <v>3.6829999999999998</v>
          </cell>
          <cell r="F40">
            <v>4.0119999999999996</v>
          </cell>
          <cell r="G40">
            <v>3.5430000000000001</v>
          </cell>
          <cell r="H40">
            <v>3.5049999999999999</v>
          </cell>
          <cell r="I40">
            <v>3.81</v>
          </cell>
          <cell r="J40">
            <v>3.5640000000000001</v>
          </cell>
          <cell r="K40">
            <v>2.8559999999999999</v>
          </cell>
          <cell r="L40">
            <v>3.8889999999999998</v>
          </cell>
          <cell r="M40">
            <v>3.7149999999999999</v>
          </cell>
          <cell r="N40">
            <v>3.4089999999999998</v>
          </cell>
          <cell r="O40">
            <v>3.8239999999999998</v>
          </cell>
          <cell r="P40">
            <v>3.77</v>
          </cell>
          <cell r="Q40">
            <v>3.6429999999999998</v>
          </cell>
          <cell r="R40">
            <v>3.7509999999999999</v>
          </cell>
          <cell r="S40">
            <v>3.4940000000000002</v>
          </cell>
          <cell r="T40">
            <v>3.2770000000000001</v>
          </cell>
          <cell r="U40">
            <v>3.0739999999999998</v>
          </cell>
          <cell r="V40">
            <v>3.0030000000000001</v>
          </cell>
          <cell r="W40">
            <v>2.5859999999999999</v>
          </cell>
          <cell r="X40">
            <v>3.298</v>
          </cell>
          <cell r="Y40">
            <v>3.1859999999999999</v>
          </cell>
          <cell r="Z40">
            <v>3.1629999999999998</v>
          </cell>
          <cell r="AA40">
            <v>3.1379999999999999</v>
          </cell>
          <cell r="AB40">
            <v>3.012</v>
          </cell>
          <cell r="AC40">
            <v>2.9009999999999998</v>
          </cell>
          <cell r="AD40">
            <v>3.0630000000000002</v>
          </cell>
          <cell r="AE40">
            <v>2.597</v>
          </cell>
          <cell r="AF40">
            <v>2.6909999999999998</v>
          </cell>
          <cell r="AG40">
            <v>2.677</v>
          </cell>
          <cell r="AH40">
            <v>2.4990000000000001</v>
          </cell>
          <cell r="AI40">
            <v>2.2200000000000002</v>
          </cell>
          <cell r="AJ40">
            <v>2.7850000000000001</v>
          </cell>
          <cell r="AK40">
            <v>2.8450000000000002</v>
          </cell>
          <cell r="AL40">
            <v>2.9159999999999999</v>
          </cell>
          <cell r="AM40">
            <v>2.94</v>
          </cell>
        </row>
        <row r="44">
          <cell r="B44" t="str">
            <v>1G CPR BT 8</v>
          </cell>
          <cell r="C44">
            <v>287.07299999999998</v>
          </cell>
          <cell r="D44">
            <v>238.54599999999999</v>
          </cell>
          <cell r="E44">
            <v>249.97200000000001</v>
          </cell>
          <cell r="F44">
            <v>308.09500000000003</v>
          </cell>
          <cell r="G44">
            <v>290.94099999999997</v>
          </cell>
          <cell r="H44">
            <v>271.69099999999997</v>
          </cell>
          <cell r="I44">
            <v>281.05799999999999</v>
          </cell>
          <cell r="J44">
            <v>285.90800000000002</v>
          </cell>
          <cell r="K44">
            <v>237.232</v>
          </cell>
          <cell r="L44">
            <v>315.37299999999999</v>
          </cell>
          <cell r="M44">
            <v>334.77199999999999</v>
          </cell>
          <cell r="N44">
            <v>315.755</v>
          </cell>
          <cell r="O44">
            <v>341.86</v>
          </cell>
          <cell r="P44">
            <v>375.06400000000002</v>
          </cell>
          <cell r="Q44">
            <v>425.60500000000002</v>
          </cell>
          <cell r="R44">
            <v>407.14499999999998</v>
          </cell>
          <cell r="S44">
            <v>349.80500000000001</v>
          </cell>
          <cell r="T44">
            <v>335.11799999999999</v>
          </cell>
          <cell r="U44">
            <v>336.57900000000001</v>
          </cell>
          <cell r="V44">
            <v>313.96899999999999</v>
          </cell>
          <cell r="W44">
            <v>291.81799999999998</v>
          </cell>
          <cell r="X44">
            <v>361.31900000000002</v>
          </cell>
          <cell r="Y44">
            <v>382.49400000000003</v>
          </cell>
          <cell r="Z44">
            <v>380.66800000000001</v>
          </cell>
          <cell r="AA44">
            <v>409.76</v>
          </cell>
          <cell r="AB44">
            <v>438.86200000000002</v>
          </cell>
          <cell r="AC44">
            <v>431.44</v>
          </cell>
          <cell r="AD44">
            <v>455.83800000000002</v>
          </cell>
          <cell r="AE44">
            <v>380.642</v>
          </cell>
          <cell r="AF44">
            <v>395.47500000000002</v>
          </cell>
          <cell r="AG44">
            <v>387.82</v>
          </cell>
          <cell r="AH44">
            <v>364.79700000000003</v>
          </cell>
          <cell r="AI44">
            <v>350.37900000000002</v>
          </cell>
          <cell r="AJ44">
            <v>411.072</v>
          </cell>
          <cell r="AK44">
            <v>457.83499999999998</v>
          </cell>
          <cell r="AL44">
            <v>441.88200000000001</v>
          </cell>
          <cell r="AM44">
            <v>466.21499999999997</v>
          </cell>
        </row>
        <row r="45">
          <cell r="B45" t="str">
            <v>500MG GELU BT 16</v>
          </cell>
          <cell r="C45">
            <v>948.67700000000002</v>
          </cell>
          <cell r="D45">
            <v>839.20799999999997</v>
          </cell>
          <cell r="E45">
            <v>738.87400000000002</v>
          </cell>
          <cell r="F45">
            <v>817.77599999999995</v>
          </cell>
          <cell r="G45">
            <v>732.44200000000001</v>
          </cell>
          <cell r="H45">
            <v>674.21799999999996</v>
          </cell>
          <cell r="I45">
            <v>720.45899999999995</v>
          </cell>
          <cell r="J45">
            <v>706.77700000000004</v>
          </cell>
          <cell r="K45">
            <v>589.351</v>
          </cell>
          <cell r="L45">
            <v>728.78599999999994</v>
          </cell>
          <cell r="M45">
            <v>758.83299999999997</v>
          </cell>
          <cell r="N45">
            <v>720.11699999999996</v>
          </cell>
          <cell r="O45">
            <v>778.87199999999996</v>
          </cell>
          <cell r="P45">
            <v>799.78099999999995</v>
          </cell>
          <cell r="Q45">
            <v>810.88800000000003</v>
          </cell>
          <cell r="R45">
            <v>825.86900000000003</v>
          </cell>
          <cell r="S45">
            <v>736.84699999999998</v>
          </cell>
          <cell r="T45">
            <v>708.04499999999996</v>
          </cell>
          <cell r="U45">
            <v>695.66099999999994</v>
          </cell>
          <cell r="V45">
            <v>645.99699999999996</v>
          </cell>
          <cell r="W45">
            <v>598.72400000000005</v>
          </cell>
          <cell r="X45">
            <v>706.10900000000004</v>
          </cell>
          <cell r="Y45">
            <v>723.69899999999996</v>
          </cell>
          <cell r="Z45">
            <v>711.33600000000001</v>
          </cell>
          <cell r="AA45">
            <v>751.346</v>
          </cell>
          <cell r="AB45">
            <v>777.46199999999999</v>
          </cell>
          <cell r="AC45">
            <v>736.01599999999996</v>
          </cell>
          <cell r="AD45">
            <v>779.86099999999999</v>
          </cell>
          <cell r="AE45">
            <v>661.82399999999996</v>
          </cell>
          <cell r="AF45">
            <v>691.09799999999996</v>
          </cell>
          <cell r="AG45">
            <v>683.87400000000002</v>
          </cell>
          <cell r="AH45">
            <v>639.57100000000003</v>
          </cell>
          <cell r="AI45">
            <v>597.06700000000001</v>
          </cell>
          <cell r="AJ45">
            <v>687.08</v>
          </cell>
          <cell r="AK45">
            <v>745.26900000000001</v>
          </cell>
          <cell r="AL45">
            <v>713.46500000000003</v>
          </cell>
          <cell r="AM45">
            <v>737.18299999999999</v>
          </cell>
        </row>
        <row r="46">
          <cell r="B46" t="str">
            <v>600MG AD. SUP BT 10</v>
          </cell>
          <cell r="C46">
            <v>4.71</v>
          </cell>
          <cell r="D46">
            <v>3.2530000000000001</v>
          </cell>
          <cell r="E46">
            <v>2.9129999999999998</v>
          </cell>
          <cell r="F46">
            <v>3.0379999999999998</v>
          </cell>
          <cell r="G46">
            <v>2.613</v>
          </cell>
          <cell r="H46">
            <v>2.3639999999999999</v>
          </cell>
          <cell r="I46">
            <v>2.76</v>
          </cell>
          <cell r="J46">
            <v>2.6560000000000001</v>
          </cell>
          <cell r="K46">
            <v>1.849</v>
          </cell>
          <cell r="L46">
            <v>2.552</v>
          </cell>
          <cell r="M46">
            <v>2.6949999999999998</v>
          </cell>
          <cell r="N46">
            <v>2.6139999999999999</v>
          </cell>
          <cell r="O46">
            <v>2.9940000000000002</v>
          </cell>
          <cell r="P46">
            <v>3.1819999999999999</v>
          </cell>
          <cell r="Q46">
            <v>3.581</v>
          </cell>
          <cell r="R46">
            <v>3.3180000000000001</v>
          </cell>
          <cell r="S46">
            <v>2.6659999999999999</v>
          </cell>
          <cell r="T46">
            <v>2.3279999999999998</v>
          </cell>
          <cell r="U46">
            <v>2.4140000000000001</v>
          </cell>
          <cell r="V46">
            <v>2.371</v>
          </cell>
          <cell r="W46">
            <v>1.9419999999999999</v>
          </cell>
          <cell r="X46">
            <v>2.2639999999999998</v>
          </cell>
          <cell r="Y46">
            <v>2.456</v>
          </cell>
          <cell r="Z46">
            <v>2.282</v>
          </cell>
          <cell r="AA46">
            <v>2.7170000000000001</v>
          </cell>
          <cell r="AB46">
            <v>2.758</v>
          </cell>
          <cell r="AC46">
            <v>2.8980000000000001</v>
          </cell>
          <cell r="AD46">
            <v>3.081</v>
          </cell>
          <cell r="AE46">
            <v>2.2799999999999998</v>
          </cell>
          <cell r="AF46">
            <v>1.9610000000000001</v>
          </cell>
          <cell r="AG46">
            <v>2.1219999999999999</v>
          </cell>
          <cell r="AH46">
            <v>1.9350000000000001</v>
          </cell>
          <cell r="AI46">
            <v>1.6759999999999999</v>
          </cell>
          <cell r="AJ46">
            <v>1.9079999999999999</v>
          </cell>
          <cell r="AK46">
            <v>2.1269999999999998</v>
          </cell>
          <cell r="AL46">
            <v>2.145</v>
          </cell>
          <cell r="AM46">
            <v>2.254</v>
          </cell>
        </row>
        <row r="49">
          <cell r="B49" t="str">
            <v>AINS fd</v>
          </cell>
          <cell r="C49">
            <v>3136.71</v>
          </cell>
          <cell r="D49">
            <v>1954.9269999999999</v>
          </cell>
          <cell r="E49">
            <v>1696.655</v>
          </cell>
          <cell r="F49">
            <v>1792.09</v>
          </cell>
          <cell r="G49">
            <v>1527.932</v>
          </cell>
          <cell r="H49">
            <v>1445.652</v>
          </cell>
          <cell r="I49">
            <v>1607.8869999999999</v>
          </cell>
          <cell r="J49">
            <v>1399.79</v>
          </cell>
          <cell r="K49">
            <v>1044.3820000000001</v>
          </cell>
          <cell r="L49">
            <v>1406.8869999999999</v>
          </cell>
          <cell r="M49">
            <v>1444.6949999999999</v>
          </cell>
          <cell r="N49">
            <v>1409.299</v>
          </cell>
          <cell r="O49">
            <v>1649.3589999999999</v>
          </cell>
          <cell r="P49">
            <v>1832.3430000000001</v>
          </cell>
          <cell r="Q49">
            <v>2135.502</v>
          </cell>
          <cell r="R49">
            <v>1830.4880000000001</v>
          </cell>
          <cell r="S49">
            <v>1463.7539999999999</v>
          </cell>
          <cell r="T49">
            <v>1349.866</v>
          </cell>
          <cell r="U49">
            <v>1415.4010000000001</v>
          </cell>
          <cell r="V49">
            <v>1236.0119999999999</v>
          </cell>
          <cell r="W49">
            <v>976.43499999999995</v>
          </cell>
          <cell r="X49">
            <v>1497.0219999999999</v>
          </cell>
          <cell r="Y49">
            <v>1585.509</v>
          </cell>
          <cell r="Z49">
            <v>1561.2270000000001</v>
          </cell>
          <cell r="AA49">
            <v>1753.0309999999999</v>
          </cell>
          <cell r="AB49">
            <v>1822.123</v>
          </cell>
          <cell r="AC49">
            <v>2010.88</v>
          </cell>
          <cell r="AD49">
            <v>2042.5530000000001</v>
          </cell>
          <cell r="AE49">
            <v>1472.3430000000001</v>
          </cell>
          <cell r="AF49">
            <v>1412.7260000000001</v>
          </cell>
          <cell r="AG49">
            <v>1487.28</v>
          </cell>
          <cell r="AH49">
            <v>1400.2850000000001</v>
          </cell>
          <cell r="AI49">
            <v>1101.356</v>
          </cell>
          <cell r="AJ49">
            <v>1399.7190000000001</v>
          </cell>
          <cell r="AK49">
            <v>1628.0070000000001</v>
          </cell>
          <cell r="AL49">
            <v>1678.9860000000001</v>
          </cell>
          <cell r="AM49">
            <v>1947.5129999999999</v>
          </cell>
        </row>
        <row r="60">
          <cell r="B60" t="str">
            <v>ASPIRINES</v>
          </cell>
          <cell r="C60">
            <v>1313.7750000000001</v>
          </cell>
          <cell r="D60">
            <v>853.59900000000005</v>
          </cell>
          <cell r="E60">
            <v>727.17</v>
          </cell>
          <cell r="F60">
            <v>778.97500000000002</v>
          </cell>
          <cell r="G60">
            <v>700.31700000000001</v>
          </cell>
          <cell r="H60">
            <v>644.59400000000005</v>
          </cell>
          <cell r="I60">
            <v>711.49199999999996</v>
          </cell>
          <cell r="J60">
            <v>694.70500000000004</v>
          </cell>
          <cell r="K60">
            <v>552.25900000000001</v>
          </cell>
          <cell r="L60">
            <v>701.05700000000002</v>
          </cell>
          <cell r="M60">
            <v>731.92200000000003</v>
          </cell>
          <cell r="N60">
            <v>687.61199999999997</v>
          </cell>
          <cell r="O60">
            <v>772.94200000000001</v>
          </cell>
          <cell r="P60">
            <v>836.28899999999999</v>
          </cell>
          <cell r="Q60">
            <v>976.66899999999998</v>
          </cell>
          <cell r="R60">
            <v>836.98299999999995</v>
          </cell>
          <cell r="S60">
            <v>666.69600000000003</v>
          </cell>
          <cell r="T60">
            <v>624.10799999999995</v>
          </cell>
          <cell r="U60">
            <v>654.69100000000003</v>
          </cell>
          <cell r="V60">
            <v>610.73400000000004</v>
          </cell>
          <cell r="W60">
            <v>515.49699999999996</v>
          </cell>
          <cell r="X60">
            <v>629.51800000000003</v>
          </cell>
          <cell r="Y60">
            <v>652.08299999999997</v>
          </cell>
          <cell r="Z60">
            <v>638.69000000000005</v>
          </cell>
          <cell r="AA60">
            <v>689.83199999999999</v>
          </cell>
          <cell r="AB60">
            <v>702.84799999999996</v>
          </cell>
          <cell r="AC60">
            <v>770.08100000000002</v>
          </cell>
          <cell r="AD60">
            <v>764.44200000000001</v>
          </cell>
          <cell r="AE60">
            <v>577.07899999999995</v>
          </cell>
          <cell r="AF60">
            <v>570.99599999999998</v>
          </cell>
          <cell r="AG60">
            <v>586.64400000000001</v>
          </cell>
          <cell r="AH60">
            <v>575.12</v>
          </cell>
          <cell r="AI60">
            <v>488.39499999999998</v>
          </cell>
          <cell r="AJ60">
            <v>558.89</v>
          </cell>
          <cell r="AK60">
            <v>604.65200000000004</v>
          </cell>
          <cell r="AL60">
            <v>578.08299999999997</v>
          </cell>
          <cell r="AM60">
            <v>632.077</v>
          </cell>
        </row>
        <row r="61">
          <cell r="B61" t="str">
            <v>ASPEGIC</v>
          </cell>
          <cell r="C61">
            <v>1066.6420000000001</v>
          </cell>
          <cell r="D61">
            <v>674.62400000000002</v>
          </cell>
          <cell r="E61">
            <v>575.80899999999997</v>
          </cell>
          <cell r="F61">
            <v>616.96100000000001</v>
          </cell>
          <cell r="G61">
            <v>553.024</v>
          </cell>
          <cell r="H61">
            <v>511.25799999999998</v>
          </cell>
          <cell r="I61">
            <v>565.93899999999996</v>
          </cell>
          <cell r="J61">
            <v>547.38300000000004</v>
          </cell>
          <cell r="K61">
            <v>433.03</v>
          </cell>
          <cell r="L61">
            <v>557.15499999999997</v>
          </cell>
          <cell r="M61">
            <v>580.66200000000003</v>
          </cell>
          <cell r="N61">
            <v>546.28300000000002</v>
          </cell>
          <cell r="O61">
            <v>615.97900000000004</v>
          </cell>
          <cell r="P61">
            <v>672.97299999999996</v>
          </cell>
          <cell r="Q61">
            <v>790.60199999999998</v>
          </cell>
          <cell r="R61">
            <v>673.55200000000002</v>
          </cell>
          <cell r="S61">
            <v>529.75900000000001</v>
          </cell>
          <cell r="T61">
            <v>494.74</v>
          </cell>
          <cell r="U61">
            <v>523.37599999999998</v>
          </cell>
          <cell r="V61">
            <v>485.72399999999999</v>
          </cell>
          <cell r="W61">
            <v>406.40899999999999</v>
          </cell>
          <cell r="X61">
            <v>499.21100000000001</v>
          </cell>
          <cell r="Y61">
            <v>518.41200000000003</v>
          </cell>
          <cell r="Z61">
            <v>508.87900000000002</v>
          </cell>
          <cell r="AA61">
            <v>549.23699999999997</v>
          </cell>
          <cell r="AB61">
            <v>563.20899999999995</v>
          </cell>
          <cell r="AC61">
            <v>628.80499999999995</v>
          </cell>
          <cell r="AD61">
            <v>625.09699999999998</v>
          </cell>
          <cell r="AE61">
            <v>464.04300000000001</v>
          </cell>
          <cell r="AF61">
            <v>456.08499999999998</v>
          </cell>
          <cell r="AG61">
            <v>470.05200000000002</v>
          </cell>
          <cell r="AH61">
            <v>461.88200000000001</v>
          </cell>
          <cell r="AI61">
            <v>386.81400000000002</v>
          </cell>
          <cell r="AJ61">
            <v>443.30200000000002</v>
          </cell>
          <cell r="AK61">
            <v>482.06200000000001</v>
          </cell>
          <cell r="AL61">
            <v>460.74599999999998</v>
          </cell>
          <cell r="AM61">
            <v>506.37</v>
          </cell>
        </row>
        <row r="62">
          <cell r="B62" t="str">
            <v>1000MG AD. BUV SACH BT 15</v>
          </cell>
          <cell r="C62">
            <v>2.0939999999999999</v>
          </cell>
          <cell r="D62">
            <v>1.2529999999999999</v>
          </cell>
          <cell r="E62">
            <v>0.97</v>
          </cell>
          <cell r="F62">
            <v>0.99199999999999999</v>
          </cell>
          <cell r="G62">
            <v>0.98099999999999998</v>
          </cell>
          <cell r="H62">
            <v>0.87</v>
          </cell>
          <cell r="I62">
            <v>0.98799999999999999</v>
          </cell>
          <cell r="J62">
            <v>1.329</v>
          </cell>
          <cell r="K62">
            <v>0.89800000000000002</v>
          </cell>
          <cell r="L62">
            <v>1.161</v>
          </cell>
          <cell r="M62">
            <v>1.1359999999999999</v>
          </cell>
          <cell r="N62">
            <v>0.98899999999999999</v>
          </cell>
          <cell r="O62">
            <v>1.2869999999999999</v>
          </cell>
          <cell r="P62">
            <v>1.113</v>
          </cell>
          <cell r="Q62">
            <v>1.3620000000000001</v>
          </cell>
          <cell r="R62">
            <v>0.98199999999999998</v>
          </cell>
          <cell r="S62">
            <v>0.85399999999999998</v>
          </cell>
          <cell r="T62">
            <v>0.877</v>
          </cell>
          <cell r="U62">
            <v>0.78500000000000003</v>
          </cell>
          <cell r="V62">
            <v>0.751</v>
          </cell>
          <cell r="W62">
            <v>0.73499999999999999</v>
          </cell>
          <cell r="X62">
            <v>0.74199999999999999</v>
          </cell>
          <cell r="Y62">
            <v>0.82599999999999996</v>
          </cell>
          <cell r="Z62">
            <v>0.89</v>
          </cell>
          <cell r="AA62">
            <v>1.069</v>
          </cell>
          <cell r="AB62">
            <v>1.1339999999999999</v>
          </cell>
          <cell r="AC62">
            <v>1.0980000000000001</v>
          </cell>
          <cell r="AD62">
            <v>1.234</v>
          </cell>
          <cell r="AE62">
            <v>0.84399999999999997</v>
          </cell>
          <cell r="AF62">
            <v>0.91</v>
          </cell>
          <cell r="AG62">
            <v>0.7</v>
          </cell>
          <cell r="AH62">
            <v>0.82</v>
          </cell>
          <cell r="AI62">
            <v>0.70099999999999996</v>
          </cell>
          <cell r="AJ62">
            <v>0.84499999999999997</v>
          </cell>
          <cell r="AK62">
            <v>0.95399999999999996</v>
          </cell>
          <cell r="AL62">
            <v>0.79600000000000004</v>
          </cell>
          <cell r="AM62">
            <v>0.94099999999999995</v>
          </cell>
        </row>
        <row r="63">
          <cell r="B63" t="str">
            <v>1000MG AD. BUV SACH BT 20</v>
          </cell>
          <cell r="C63">
            <v>342.52199999999999</v>
          </cell>
          <cell r="D63">
            <v>169.69300000000001</v>
          </cell>
          <cell r="E63">
            <v>135.05600000000001</v>
          </cell>
          <cell r="F63">
            <v>137.09700000000001</v>
          </cell>
          <cell r="G63">
            <v>115.74299999999999</v>
          </cell>
          <cell r="H63">
            <v>102.044</v>
          </cell>
          <cell r="I63">
            <v>109.178</v>
          </cell>
          <cell r="J63">
            <v>105.283</v>
          </cell>
          <cell r="K63">
            <v>81.843999999999994</v>
          </cell>
          <cell r="L63">
            <v>120.358</v>
          </cell>
          <cell r="M63">
            <v>132.44200000000001</v>
          </cell>
          <cell r="N63">
            <v>124.291</v>
          </cell>
          <cell r="O63">
            <v>152.721</v>
          </cell>
          <cell r="P63">
            <v>188.16200000000001</v>
          </cell>
          <cell r="Q63">
            <v>276.75</v>
          </cell>
          <cell r="R63">
            <v>187.12</v>
          </cell>
          <cell r="S63">
            <v>120.461</v>
          </cell>
          <cell r="T63">
            <v>104.386</v>
          </cell>
          <cell r="U63">
            <v>107.60899999999999</v>
          </cell>
          <cell r="V63">
            <v>96.013999999999996</v>
          </cell>
          <cell r="W63">
            <v>81.245999999999995</v>
          </cell>
          <cell r="X63">
            <v>113.369</v>
          </cell>
          <cell r="Y63">
            <v>126.185</v>
          </cell>
          <cell r="Z63">
            <v>123.196</v>
          </cell>
          <cell r="AA63">
            <v>143.83000000000001</v>
          </cell>
          <cell r="AB63">
            <v>147.892</v>
          </cell>
          <cell r="AC63">
            <v>177.00800000000001</v>
          </cell>
          <cell r="AD63">
            <v>155.886</v>
          </cell>
          <cell r="AE63">
            <v>106.654</v>
          </cell>
          <cell r="AF63">
            <v>98.775000000000006</v>
          </cell>
          <cell r="AG63">
            <v>98.894000000000005</v>
          </cell>
          <cell r="AH63">
            <v>94.174000000000007</v>
          </cell>
          <cell r="AI63">
            <v>80.52</v>
          </cell>
          <cell r="AJ63">
            <v>103.538</v>
          </cell>
          <cell r="AK63">
            <v>119.65900000000001</v>
          </cell>
          <cell r="AL63">
            <v>116.131</v>
          </cell>
          <cell r="AM63">
            <v>134.672</v>
          </cell>
        </row>
        <row r="64">
          <cell r="B64" t="str">
            <v>1000MG AD. BUV SACH BT 30</v>
          </cell>
          <cell r="C64">
            <v>0.18</v>
          </cell>
          <cell r="D64">
            <v>0.28199999999999997</v>
          </cell>
          <cell r="E64">
            <v>0.35599999999999998</v>
          </cell>
          <cell r="F64">
            <v>0.25700000000000001</v>
          </cell>
          <cell r="G64">
            <v>0.318</v>
          </cell>
          <cell r="H64">
            <v>0.30299999999999999</v>
          </cell>
          <cell r="I64">
            <v>0.40500000000000003</v>
          </cell>
          <cell r="J64">
            <v>0.436</v>
          </cell>
          <cell r="K64">
            <v>0.32500000000000001</v>
          </cell>
          <cell r="L64">
            <v>0.38800000000000001</v>
          </cell>
          <cell r="M64">
            <v>0.38200000000000001</v>
          </cell>
          <cell r="N64">
            <v>0.309</v>
          </cell>
          <cell r="O64">
            <v>0.41499999999999998</v>
          </cell>
          <cell r="P64">
            <v>0.38200000000000001</v>
          </cell>
          <cell r="Q64">
            <v>0.53900000000000003</v>
          </cell>
          <cell r="R64">
            <v>0.44700000000000001</v>
          </cell>
          <cell r="S64">
            <v>0.40600000000000003</v>
          </cell>
          <cell r="T64">
            <v>0.436</v>
          </cell>
          <cell r="U64">
            <v>0.38600000000000001</v>
          </cell>
          <cell r="V64">
            <v>0.44500000000000001</v>
          </cell>
          <cell r="W64">
            <v>0.44900000000000001</v>
          </cell>
          <cell r="X64">
            <v>0.44500000000000001</v>
          </cell>
          <cell r="Y64">
            <v>0.50900000000000001</v>
          </cell>
          <cell r="Z64">
            <v>0.497</v>
          </cell>
          <cell r="AA64">
            <v>0.62</v>
          </cell>
          <cell r="AB64">
            <v>0.505</v>
          </cell>
          <cell r="AC64">
            <v>0.438</v>
          </cell>
          <cell r="AD64">
            <v>0.49</v>
          </cell>
          <cell r="AE64">
            <v>0.46600000000000003</v>
          </cell>
          <cell r="AF64">
            <v>0.51400000000000001</v>
          </cell>
          <cell r="AG64">
            <v>0.64300000000000002</v>
          </cell>
          <cell r="AH64">
            <v>0.59</v>
          </cell>
          <cell r="AI64">
            <v>0.67800000000000005</v>
          </cell>
          <cell r="AJ64">
            <v>0.72699999999999998</v>
          </cell>
          <cell r="AK64">
            <v>0.66900000000000004</v>
          </cell>
          <cell r="AL64">
            <v>0.48099999999999998</v>
          </cell>
          <cell r="AM64">
            <v>0.94599999999999995</v>
          </cell>
        </row>
        <row r="65">
          <cell r="B65" t="str">
            <v>100MG BB. BUV SACH BT 20</v>
          </cell>
          <cell r="C65">
            <v>213.934</v>
          </cell>
          <cell r="D65">
            <v>185.036</v>
          </cell>
          <cell r="E65">
            <v>166.452</v>
          </cell>
          <cell r="F65">
            <v>186.001</v>
          </cell>
          <cell r="G65">
            <v>176.11500000000001</v>
          </cell>
          <cell r="H65">
            <v>165.245</v>
          </cell>
          <cell r="I65">
            <v>184.066</v>
          </cell>
          <cell r="J65">
            <v>186.31399999999999</v>
          </cell>
          <cell r="K65">
            <v>151.54599999999999</v>
          </cell>
          <cell r="L65">
            <v>177.73400000000001</v>
          </cell>
          <cell r="M65">
            <v>182.60900000000001</v>
          </cell>
          <cell r="N65">
            <v>172.96</v>
          </cell>
          <cell r="O65">
            <v>185.02500000000001</v>
          </cell>
          <cell r="P65">
            <v>176.80099999999999</v>
          </cell>
          <cell r="Q65">
            <v>169.20099999999999</v>
          </cell>
          <cell r="R65">
            <v>183.43100000000001</v>
          </cell>
          <cell r="S65">
            <v>173.54300000000001</v>
          </cell>
          <cell r="T65">
            <v>169.51599999999999</v>
          </cell>
          <cell r="U65">
            <v>176.99</v>
          </cell>
          <cell r="V65">
            <v>174.60400000000001</v>
          </cell>
          <cell r="W65">
            <v>149.786</v>
          </cell>
          <cell r="X65">
            <v>167.255</v>
          </cell>
          <cell r="Y65">
            <v>167.73099999999999</v>
          </cell>
          <cell r="Z65">
            <v>164.06200000000001</v>
          </cell>
          <cell r="AA65">
            <v>170.43100000000001</v>
          </cell>
          <cell r="AB65">
            <v>166.92500000000001</v>
          </cell>
          <cell r="AC65">
            <v>157.88399999999999</v>
          </cell>
          <cell r="AD65">
            <v>176.25</v>
          </cell>
          <cell r="AE65">
            <v>158.44399999999999</v>
          </cell>
          <cell r="AF65">
            <v>165.99</v>
          </cell>
          <cell r="AG65">
            <v>169.96100000000001</v>
          </cell>
          <cell r="AH65">
            <v>171.24100000000001</v>
          </cell>
          <cell r="AI65">
            <v>147.91300000000001</v>
          </cell>
          <cell r="AJ65">
            <v>156.922</v>
          </cell>
          <cell r="AK65">
            <v>164.452</v>
          </cell>
          <cell r="AL65">
            <v>156.72</v>
          </cell>
          <cell r="AM65">
            <v>162.94800000000001</v>
          </cell>
        </row>
        <row r="66">
          <cell r="B66" t="str">
            <v>250MG PDR SACH BT 20</v>
          </cell>
          <cell r="C66">
            <v>276.33199999999999</v>
          </cell>
          <cell r="D66">
            <v>205.03399999999999</v>
          </cell>
          <cell r="E66">
            <v>181.74299999999999</v>
          </cell>
          <cell r="F66">
            <v>197.94399999999999</v>
          </cell>
          <cell r="G66">
            <v>181.64400000000001</v>
          </cell>
          <cell r="H66">
            <v>170.22399999999999</v>
          </cell>
          <cell r="I66">
            <v>191.91300000000001</v>
          </cell>
          <cell r="J66">
            <v>183.40199999999999</v>
          </cell>
          <cell r="K66">
            <v>146.01400000000001</v>
          </cell>
          <cell r="L66">
            <v>176.149</v>
          </cell>
          <cell r="M66">
            <v>181.5</v>
          </cell>
          <cell r="N66">
            <v>168.31800000000001</v>
          </cell>
          <cell r="O66">
            <v>183.02</v>
          </cell>
          <cell r="P66">
            <v>185.10900000000001</v>
          </cell>
          <cell r="Q66">
            <v>190.04400000000001</v>
          </cell>
          <cell r="R66">
            <v>187.667</v>
          </cell>
          <cell r="S66">
            <v>158.08699999999999</v>
          </cell>
          <cell r="T66">
            <v>151.488</v>
          </cell>
          <cell r="U66">
            <v>165.084</v>
          </cell>
          <cell r="V66">
            <v>152.20500000000001</v>
          </cell>
          <cell r="W66">
            <v>127.044</v>
          </cell>
          <cell r="X66">
            <v>146.316</v>
          </cell>
          <cell r="Y66">
            <v>149.64699999999999</v>
          </cell>
          <cell r="Z66">
            <v>145.70500000000001</v>
          </cell>
          <cell r="AA66">
            <v>150.60499999999999</v>
          </cell>
          <cell r="AB66">
            <v>152.38399999999999</v>
          </cell>
          <cell r="AC66">
            <v>165.006</v>
          </cell>
          <cell r="AD66">
            <v>175.94300000000001</v>
          </cell>
          <cell r="AE66">
            <v>132.446</v>
          </cell>
          <cell r="AF66">
            <v>130.68199999999999</v>
          </cell>
          <cell r="AG66">
            <v>138.46799999999999</v>
          </cell>
          <cell r="AH66">
            <v>136.50899999999999</v>
          </cell>
          <cell r="AI66">
            <v>111.845</v>
          </cell>
          <cell r="AJ66">
            <v>120.961</v>
          </cell>
          <cell r="AK66">
            <v>129.64099999999999</v>
          </cell>
          <cell r="AL66">
            <v>121.748</v>
          </cell>
          <cell r="AM66">
            <v>131.44499999999999</v>
          </cell>
        </row>
        <row r="67">
          <cell r="B67" t="str">
            <v>500MG BUV SACH BT 20</v>
          </cell>
          <cell r="C67">
            <v>230.52799999999999</v>
          </cell>
          <cell r="D67">
            <v>112.792</v>
          </cell>
          <cell r="E67">
            <v>90.772999999999996</v>
          </cell>
          <cell r="F67">
            <v>94.126000000000005</v>
          </cell>
          <cell r="G67">
            <v>77.744</v>
          </cell>
          <cell r="H67">
            <v>72.070999999999998</v>
          </cell>
          <cell r="I67">
            <v>78.84</v>
          </cell>
          <cell r="J67">
            <v>69.873999999999995</v>
          </cell>
          <cell r="K67">
            <v>51.966000000000001</v>
          </cell>
          <cell r="L67">
            <v>80.838999999999999</v>
          </cell>
          <cell r="M67">
            <v>82.045000000000002</v>
          </cell>
          <cell r="N67">
            <v>78.971000000000004</v>
          </cell>
          <cell r="O67">
            <v>92.905000000000001</v>
          </cell>
          <cell r="P67">
            <v>120.83199999999999</v>
          </cell>
          <cell r="Q67">
            <v>152.05500000000001</v>
          </cell>
          <cell r="R67">
            <v>113.402</v>
          </cell>
          <cell r="S67">
            <v>75.933999999999997</v>
          </cell>
          <cell r="T67">
            <v>67.635999999999996</v>
          </cell>
          <cell r="U67">
            <v>72.116</v>
          </cell>
          <cell r="V67">
            <v>61.213000000000001</v>
          </cell>
          <cell r="W67">
            <v>46.777000000000001</v>
          </cell>
          <cell r="X67">
            <v>70.683999999999997</v>
          </cell>
          <cell r="Y67">
            <v>73.054000000000002</v>
          </cell>
          <cell r="Z67">
            <v>74.028000000000006</v>
          </cell>
          <cell r="AA67">
            <v>82.144000000000005</v>
          </cell>
          <cell r="AB67">
            <v>93.722999999999999</v>
          </cell>
          <cell r="AC67">
            <v>126.765</v>
          </cell>
          <cell r="AD67">
            <v>114.68899999999999</v>
          </cell>
          <cell r="AE67">
            <v>64.632999999999996</v>
          </cell>
          <cell r="AF67">
            <v>58.823</v>
          </cell>
          <cell r="AG67">
            <v>60.924999999999997</v>
          </cell>
          <cell r="AH67">
            <v>57.976999999999997</v>
          </cell>
          <cell r="AI67">
            <v>44.61</v>
          </cell>
          <cell r="AJ67">
            <v>59.795000000000002</v>
          </cell>
          <cell r="AK67">
            <v>66.17</v>
          </cell>
          <cell r="AL67">
            <v>64.471999999999994</v>
          </cell>
          <cell r="AM67">
            <v>74.78</v>
          </cell>
        </row>
        <row r="68">
          <cell r="B68" t="str">
            <v>500MG BUV SACH BT 30</v>
          </cell>
          <cell r="C68">
            <v>1.052</v>
          </cell>
          <cell r="D68">
            <v>0.53400000000000003</v>
          </cell>
          <cell r="E68">
            <v>0.45900000000000002</v>
          </cell>
          <cell r="F68">
            <v>0.54400000000000004</v>
          </cell>
          <cell r="G68">
            <v>0.47899999999999998</v>
          </cell>
          <cell r="H68">
            <v>0.501</v>
          </cell>
          <cell r="I68">
            <v>0.54900000000000004</v>
          </cell>
          <cell r="J68">
            <v>0.745</v>
          </cell>
          <cell r="K68">
            <v>0.437</v>
          </cell>
          <cell r="L68">
            <v>0.52600000000000002</v>
          </cell>
          <cell r="M68">
            <v>0.54800000000000004</v>
          </cell>
          <cell r="N68">
            <v>0.44500000000000001</v>
          </cell>
          <cell r="O68">
            <v>0.60599999999999998</v>
          </cell>
          <cell r="P68">
            <v>0.57399999999999995</v>
          </cell>
          <cell r="Q68">
            <v>0.65100000000000002</v>
          </cell>
          <cell r="R68">
            <v>0.503</v>
          </cell>
          <cell r="S68">
            <v>0.47399999999999998</v>
          </cell>
          <cell r="T68">
            <v>0.40100000000000002</v>
          </cell>
          <cell r="U68">
            <v>0.40600000000000003</v>
          </cell>
          <cell r="V68">
            <v>0.49199999999999999</v>
          </cell>
          <cell r="W68">
            <v>0.372</v>
          </cell>
          <cell r="X68">
            <v>0.4</v>
          </cell>
          <cell r="Y68">
            <v>0.46</v>
          </cell>
          <cell r="Z68">
            <v>0.501</v>
          </cell>
          <cell r="AA68">
            <v>0.53800000000000003</v>
          </cell>
          <cell r="AB68">
            <v>0.64600000000000002</v>
          </cell>
          <cell r="AC68">
            <v>0.60599999999999998</v>
          </cell>
          <cell r="AD68">
            <v>0.60499999999999998</v>
          </cell>
          <cell r="AE68">
            <v>0.55600000000000005</v>
          </cell>
          <cell r="AF68">
            <v>0.39100000000000001</v>
          </cell>
          <cell r="AG68">
            <v>0.46100000000000002</v>
          </cell>
          <cell r="AH68">
            <v>0.57099999999999995</v>
          </cell>
          <cell r="AI68">
            <v>0.54700000000000004</v>
          </cell>
          <cell r="AJ68">
            <v>0.51400000000000001</v>
          </cell>
          <cell r="AK68">
            <v>0.51700000000000002</v>
          </cell>
          <cell r="AL68">
            <v>0.39800000000000002</v>
          </cell>
          <cell r="AM68">
            <v>0.63800000000000001</v>
          </cell>
        </row>
        <row r="74">
          <cell r="B74" t="str">
            <v>AUTRES ANTALGIQUES NIV1</v>
          </cell>
          <cell r="C74">
            <v>15.131</v>
          </cell>
          <cell r="D74">
            <v>15.15</v>
          </cell>
          <cell r="E74">
            <v>13.823</v>
          </cell>
          <cell r="F74">
            <v>15.407999999999999</v>
          </cell>
          <cell r="G74">
            <v>14.347</v>
          </cell>
          <cell r="H74">
            <v>13.785</v>
          </cell>
          <cell r="I74">
            <v>15.128</v>
          </cell>
          <cell r="J74">
            <v>14.56</v>
          </cell>
          <cell r="K74">
            <v>12.327</v>
          </cell>
          <cell r="L74">
            <v>14.016999999999999</v>
          </cell>
          <cell r="M74">
            <v>14.116</v>
          </cell>
          <cell r="N74">
            <v>13.483000000000001</v>
          </cell>
          <cell r="O74">
            <v>13.47</v>
          </cell>
          <cell r="P74">
            <v>13.553000000000001</v>
          </cell>
          <cell r="Q74">
            <v>12.222</v>
          </cell>
          <cell r="R74">
            <v>13.862</v>
          </cell>
          <cell r="S74">
            <v>13.334</v>
          </cell>
          <cell r="T74">
            <v>12.9</v>
          </cell>
          <cell r="U74">
            <v>13.03</v>
          </cell>
          <cell r="V74">
            <v>12.364000000000001</v>
          </cell>
          <cell r="W74">
            <v>11.78</v>
          </cell>
          <cell r="X74">
            <v>12.718</v>
          </cell>
          <cell r="Y74">
            <v>12.244999999999999</v>
          </cell>
          <cell r="Z74">
            <v>12.257999999999999</v>
          </cell>
          <cell r="AA74">
            <v>11.717000000000001</v>
          </cell>
          <cell r="AB74">
            <v>11.898</v>
          </cell>
          <cell r="AC74">
            <v>11.234999999999999</v>
          </cell>
          <cell r="AD74">
            <v>12.978</v>
          </cell>
          <cell r="AE74">
            <v>11.488</v>
          </cell>
          <cell r="AF74">
            <v>11.827</v>
          </cell>
          <cell r="AG74">
            <v>11.805</v>
          </cell>
          <cell r="AH74">
            <v>11.003</v>
          </cell>
          <cell r="AI74">
            <v>10.863</v>
          </cell>
          <cell r="AJ74">
            <v>12.055</v>
          </cell>
          <cell r="AK74">
            <v>11.891</v>
          </cell>
          <cell r="AL74">
            <v>11.53</v>
          </cell>
          <cell r="AM74">
            <v>10.935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2060"/>
  </sheetPr>
  <dimension ref="A1:K70"/>
  <sheetViews>
    <sheetView showGridLines="0" tabSelected="1" zoomScale="85" zoomScaleNormal="85" workbookViewId="0"/>
  </sheetViews>
  <sheetFormatPr defaultColWidth="0" defaultRowHeight="15"/>
  <cols>
    <col min="1" max="1" width="9.140625" customWidth="1"/>
    <col min="2" max="2" width="6.7109375" customWidth="1"/>
    <col min="3" max="3" width="21" bestFit="1" customWidth="1"/>
    <col min="4" max="4" width="47.5703125" bestFit="1" customWidth="1"/>
    <col min="5" max="5" width="13.42578125" customWidth="1"/>
    <col min="6" max="6" width="12.7109375" customWidth="1"/>
    <col min="7" max="7" width="5.140625" customWidth="1"/>
    <col min="8" max="10" width="12.7109375" hidden="1" customWidth="1"/>
    <col min="11" max="11" width="0" hidden="1" customWidth="1"/>
    <col min="12" max="16384" width="9.140625" hidden="1"/>
  </cols>
  <sheetData>
    <row r="1" spans="1:11">
      <c r="A1" s="39"/>
      <c r="B1" s="16"/>
      <c r="C1" s="16"/>
      <c r="D1" s="16"/>
      <c r="E1" s="16"/>
      <c r="H1" s="16"/>
      <c r="I1" s="16"/>
      <c r="J1" s="16"/>
      <c r="K1" s="16"/>
    </row>
    <row r="2" spans="1:11" ht="18.75">
      <c r="A2" s="16"/>
      <c r="B2" s="2"/>
      <c r="C2" s="3"/>
      <c r="D2" s="4"/>
      <c r="E2" s="4"/>
      <c r="H2" s="16"/>
      <c r="I2" s="16"/>
      <c r="J2" s="16"/>
      <c r="K2" s="16"/>
    </row>
    <row r="3" spans="1:11" ht="18.75">
      <c r="A3" s="16"/>
      <c r="B3" s="5"/>
      <c r="C3" s="6"/>
      <c r="D3" s="7"/>
      <c r="E3" s="7"/>
      <c r="F3" s="8"/>
      <c r="G3" s="16"/>
      <c r="H3" s="16"/>
      <c r="I3" s="16"/>
      <c r="J3" s="16"/>
      <c r="K3" s="16"/>
    </row>
    <row r="4" spans="1:11">
      <c r="A4" s="16"/>
      <c r="B4" s="5"/>
      <c r="C4" s="9"/>
      <c r="D4" s="7"/>
      <c r="E4" s="7"/>
      <c r="F4" s="8"/>
      <c r="G4" s="16"/>
      <c r="H4" s="16"/>
      <c r="I4" s="16"/>
      <c r="J4" s="16"/>
      <c r="K4" s="16"/>
    </row>
    <row r="5" spans="1:11">
      <c r="A5" s="16"/>
      <c r="B5" s="5"/>
      <c r="C5" s="56" t="s">
        <v>0</v>
      </c>
      <c r="D5" s="11" t="s">
        <v>5038</v>
      </c>
      <c r="E5" s="47"/>
      <c r="F5" s="8"/>
      <c r="G5" s="16"/>
      <c r="H5" s="16"/>
      <c r="I5" s="16"/>
      <c r="J5" s="16"/>
      <c r="K5" s="16"/>
    </row>
    <row r="6" spans="1:11">
      <c r="A6" s="16"/>
      <c r="B6" s="5"/>
      <c r="C6" s="56" t="s">
        <v>2885</v>
      </c>
      <c r="D6" s="10"/>
      <c r="E6" s="15"/>
      <c r="F6" s="8"/>
      <c r="G6" s="16"/>
      <c r="H6" s="16"/>
      <c r="I6" s="16"/>
      <c r="J6" s="16"/>
      <c r="K6" s="16"/>
    </row>
    <row r="7" spans="1:11">
      <c r="A7" s="16"/>
      <c r="B7" s="5"/>
      <c r="C7" s="56" t="s">
        <v>1</v>
      </c>
      <c r="D7" s="11"/>
      <c r="E7" s="47"/>
      <c r="F7" s="8"/>
      <c r="G7" s="16"/>
      <c r="H7" s="16"/>
      <c r="I7" s="16"/>
      <c r="J7" s="16"/>
      <c r="K7" s="16"/>
    </row>
    <row r="8" spans="1:11">
      <c r="A8" s="16"/>
      <c r="B8" s="5"/>
      <c r="C8" s="56" t="s">
        <v>2883</v>
      </c>
      <c r="D8" s="10"/>
      <c r="E8" s="15"/>
      <c r="F8" s="8"/>
      <c r="G8" s="16"/>
      <c r="H8" s="16"/>
      <c r="I8" s="16"/>
      <c r="J8" s="16"/>
      <c r="K8" s="16"/>
    </row>
    <row r="9" spans="1:11">
      <c r="A9" s="16"/>
      <c r="B9" s="5"/>
      <c r="C9" s="56" t="s">
        <v>2884</v>
      </c>
      <c r="D9" s="65"/>
      <c r="E9" s="48"/>
      <c r="F9" s="8"/>
      <c r="G9" s="16"/>
      <c r="H9" s="16"/>
      <c r="I9" s="16"/>
      <c r="J9" s="16"/>
      <c r="K9" s="16"/>
    </row>
    <row r="10" spans="1:11" ht="12.75" customHeight="1">
      <c r="D10" s="19"/>
      <c r="E10" s="19"/>
      <c r="F10" s="8"/>
      <c r="G10" s="16"/>
      <c r="H10" s="16"/>
      <c r="I10" s="16"/>
      <c r="J10" s="16"/>
      <c r="K10" s="16"/>
    </row>
    <row r="11" spans="1:11">
      <c r="A11" s="16"/>
      <c r="B11" s="5"/>
      <c r="C11" s="7"/>
      <c r="D11" s="15"/>
      <c r="E11" s="15"/>
      <c r="F11" s="8"/>
      <c r="G11" s="16"/>
      <c r="H11" s="16"/>
      <c r="I11" s="16"/>
      <c r="J11" s="16"/>
      <c r="K11" s="16"/>
    </row>
    <row r="12" spans="1:11">
      <c r="A12" s="16"/>
      <c r="B12" s="5"/>
      <c r="C12" s="9"/>
      <c r="D12" s="15"/>
      <c r="E12" s="15"/>
      <c r="F12" s="8"/>
      <c r="G12" s="16"/>
      <c r="H12" s="16"/>
      <c r="I12" s="16"/>
      <c r="J12" s="16"/>
      <c r="K12" s="16"/>
    </row>
    <row r="13" spans="1:11">
      <c r="A13" s="16"/>
      <c r="B13" s="5"/>
      <c r="C13" s="9"/>
      <c r="D13" s="15"/>
      <c r="E13" s="15"/>
      <c r="F13" s="8"/>
      <c r="G13" s="16"/>
      <c r="H13" s="16"/>
      <c r="I13" s="16"/>
      <c r="J13" s="16"/>
      <c r="K13" s="16"/>
    </row>
    <row r="14" spans="1:11">
      <c r="A14" s="16"/>
      <c r="B14" s="5"/>
      <c r="C14" s="9"/>
      <c r="D14" s="15"/>
      <c r="E14" s="15"/>
      <c r="F14" s="8"/>
      <c r="G14" s="16"/>
      <c r="H14" s="16"/>
      <c r="I14" s="16"/>
      <c r="J14" s="16"/>
      <c r="K14" s="16"/>
    </row>
    <row r="15" spans="1:11">
      <c r="A15" s="16"/>
      <c r="B15" s="5"/>
      <c r="C15" s="56" t="s">
        <v>2882</v>
      </c>
      <c r="D15" s="11"/>
      <c r="E15" s="47"/>
      <c r="F15" s="8"/>
      <c r="G15" s="16"/>
      <c r="H15" s="16"/>
      <c r="I15" s="16"/>
      <c r="J15" s="16"/>
      <c r="K15" s="16"/>
    </row>
    <row r="16" spans="1:11">
      <c r="A16" s="16"/>
      <c r="B16" s="5"/>
      <c r="C16" s="56" t="s">
        <v>2883</v>
      </c>
      <c r="D16" s="44"/>
      <c r="E16" s="44"/>
      <c r="F16" s="8"/>
      <c r="G16" s="16"/>
      <c r="H16" s="16"/>
      <c r="I16" s="16"/>
      <c r="J16" s="16"/>
      <c r="K16" s="16"/>
    </row>
    <row r="17" spans="1:11">
      <c r="A17" s="16"/>
      <c r="B17" s="5"/>
      <c r="C17" s="56" t="s">
        <v>2884</v>
      </c>
      <c r="D17" s="45"/>
      <c r="E17" s="49"/>
      <c r="F17" s="8"/>
      <c r="G17" s="16"/>
      <c r="H17" s="16"/>
      <c r="I17" s="16"/>
      <c r="J17" s="16"/>
      <c r="K17" s="16"/>
    </row>
    <row r="18" spans="1:11">
      <c r="A18" s="16"/>
      <c r="B18" s="5"/>
      <c r="C18" s="56" t="s">
        <v>2885</v>
      </c>
      <c r="D18" s="46" t="str">
        <f>IF($D$15="","",((VLOOKUP($D$15,$C$49:$G$66,2,FALSE))&amp;"/niku/xog"))</f>
        <v/>
      </c>
      <c r="E18" s="50"/>
      <c r="F18" s="8"/>
      <c r="G18" s="16"/>
      <c r="H18" s="16"/>
      <c r="I18" s="16"/>
      <c r="J18" s="16"/>
      <c r="K18" s="16"/>
    </row>
    <row r="19" spans="1:11">
      <c r="A19" s="16"/>
      <c r="B19" s="5"/>
      <c r="C19" s="56" t="s">
        <v>2886</v>
      </c>
      <c r="D19" s="46" t="str">
        <f>IF($D$15="","",(VLOOKUP($D$15,$C$49:$G$66,3,FALSE)))</f>
        <v/>
      </c>
      <c r="E19" s="50"/>
      <c r="F19" s="8"/>
      <c r="G19" s="16"/>
      <c r="H19" s="16"/>
      <c r="I19" s="16"/>
      <c r="J19" s="16"/>
      <c r="K19" s="16"/>
    </row>
    <row r="20" spans="1:11">
      <c r="A20" s="16"/>
      <c r="B20" s="5"/>
      <c r="C20" s="7"/>
      <c r="D20" s="15"/>
      <c r="E20" s="15"/>
      <c r="F20" s="8"/>
      <c r="G20" s="16"/>
      <c r="H20" s="16"/>
      <c r="I20" s="16"/>
      <c r="J20" s="16"/>
      <c r="K20" s="16"/>
    </row>
    <row r="21" spans="1:11">
      <c r="A21" s="16"/>
      <c r="B21" s="5"/>
      <c r="C21" s="9" t="s">
        <v>2</v>
      </c>
      <c r="D21" s="15"/>
      <c r="E21" s="15"/>
      <c r="F21" s="8"/>
      <c r="G21" s="16"/>
      <c r="H21" s="16"/>
      <c r="I21" s="16"/>
      <c r="J21" s="16"/>
      <c r="K21" s="16"/>
    </row>
    <row r="22" spans="1:11">
      <c r="A22" s="16"/>
      <c r="B22" s="5"/>
      <c r="C22" s="12" t="s">
        <v>3631</v>
      </c>
      <c r="D22" s="20" t="s">
        <v>3730</v>
      </c>
      <c r="E22" s="47"/>
      <c r="F22" s="8"/>
      <c r="G22" s="16"/>
      <c r="H22" s="16"/>
      <c r="I22" s="16"/>
      <c r="J22" s="16"/>
      <c r="K22" s="16"/>
    </row>
    <row r="23" spans="1:11">
      <c r="A23" s="16"/>
      <c r="B23" s="5"/>
      <c r="C23" s="7"/>
      <c r="D23" s="7"/>
      <c r="E23" s="7"/>
      <c r="F23" s="8"/>
      <c r="G23" s="16"/>
      <c r="H23" s="16"/>
      <c r="I23" s="16"/>
      <c r="J23" s="16"/>
      <c r="K23" s="16"/>
    </row>
    <row r="24" spans="1:11">
      <c r="A24" s="16"/>
      <c r="B24" s="5"/>
      <c r="C24" s="13"/>
      <c r="D24" s="13"/>
      <c r="E24" s="13"/>
      <c r="F24" s="14"/>
      <c r="G24" s="16"/>
      <c r="H24" s="16"/>
      <c r="I24" s="16"/>
      <c r="J24" s="16"/>
      <c r="K24" s="16"/>
    </row>
    <row r="25" spans="1:11">
      <c r="D25" s="7"/>
      <c r="E25" s="7"/>
      <c r="F25" s="7"/>
      <c r="G25" s="16"/>
      <c r="H25" s="16"/>
      <c r="I25" s="16"/>
      <c r="J25" s="16"/>
      <c r="K25" s="16"/>
    </row>
    <row r="26" spans="1:11">
      <c r="D26" s="16"/>
      <c r="E26" s="16"/>
      <c r="F26" s="16"/>
      <c r="G26" s="16"/>
      <c r="H26" s="16"/>
      <c r="I26" s="16"/>
      <c r="J26" s="16"/>
      <c r="K26" s="16"/>
    </row>
    <row r="27" spans="1:11">
      <c r="D27" s="18"/>
      <c r="E27" s="18"/>
      <c r="F27" s="18"/>
      <c r="G27" s="18"/>
      <c r="H27" s="16"/>
      <c r="I27" s="16"/>
      <c r="J27" s="25"/>
      <c r="K27" s="16"/>
    </row>
    <row r="28" spans="1:11">
      <c r="A28" s="16"/>
      <c r="B28" s="5"/>
      <c r="C28" s="22"/>
      <c r="D28" s="22"/>
      <c r="E28" s="22"/>
      <c r="F28" s="23"/>
      <c r="G28" s="18"/>
      <c r="H28" s="16"/>
      <c r="I28" s="16"/>
      <c r="J28" s="16"/>
      <c r="K28" s="16"/>
    </row>
    <row r="29" spans="1:11" s="16" customFormat="1">
      <c r="B29" s="5"/>
      <c r="C29" s="7"/>
      <c r="D29" s="7"/>
      <c r="E29" s="7"/>
      <c r="F29" s="8"/>
    </row>
    <row r="30" spans="1:11">
      <c r="A30" s="16"/>
      <c r="B30" s="5"/>
      <c r="C30" s="21"/>
      <c r="D30" s="21"/>
      <c r="E30" s="21"/>
      <c r="F30" s="21"/>
      <c r="G30" s="21"/>
      <c r="H30" s="21"/>
      <c r="I30" s="16"/>
      <c r="J30" s="16"/>
      <c r="K30" s="16"/>
    </row>
    <row r="31" spans="1:11">
      <c r="A31" s="16"/>
      <c r="B31" s="5"/>
      <c r="C31" s="28" t="s">
        <v>3</v>
      </c>
      <c r="D31" s="28" t="s">
        <v>4</v>
      </c>
      <c r="E31" s="28"/>
      <c r="F31" s="28" t="s">
        <v>5</v>
      </c>
      <c r="G31" s="28" t="s">
        <v>6</v>
      </c>
      <c r="H31" s="28" t="s">
        <v>7</v>
      </c>
      <c r="I31" s="16"/>
      <c r="J31" s="16"/>
      <c r="K31" s="16"/>
    </row>
    <row r="32" spans="1:11">
      <c r="A32" s="16"/>
      <c r="B32" s="5"/>
      <c r="C32" s="24" t="s">
        <v>3292</v>
      </c>
      <c r="D32" s="24"/>
      <c r="E32" s="24"/>
      <c r="F32" s="26">
        <v>2</v>
      </c>
      <c r="G32" s="26">
        <v>1</v>
      </c>
      <c r="H32" s="26">
        <v>2</v>
      </c>
      <c r="I32" s="16"/>
      <c r="J32" s="16"/>
      <c r="K32" s="16"/>
    </row>
    <row r="33" spans="1:11">
      <c r="A33" s="16"/>
      <c r="B33" s="5"/>
      <c r="C33" s="24" t="s">
        <v>3268</v>
      </c>
      <c r="D33" s="24"/>
      <c r="E33" s="24"/>
      <c r="F33" s="26">
        <v>2</v>
      </c>
      <c r="G33" s="26">
        <v>4</v>
      </c>
      <c r="H33" s="26">
        <v>5</v>
      </c>
      <c r="I33" s="16"/>
      <c r="J33" s="16"/>
      <c r="K33" s="16"/>
    </row>
    <row r="34" spans="1:11">
      <c r="A34" s="16"/>
      <c r="B34" s="5"/>
      <c r="C34" s="24" t="s">
        <v>3538</v>
      </c>
      <c r="D34" s="24"/>
      <c r="E34" s="24"/>
      <c r="F34" s="26">
        <v>2</v>
      </c>
      <c r="G34" s="26">
        <v>7</v>
      </c>
      <c r="H34" s="26">
        <v>8</v>
      </c>
      <c r="I34" s="16"/>
      <c r="J34" s="16"/>
      <c r="K34" s="16"/>
    </row>
    <row r="35" spans="1:11">
      <c r="A35" s="16"/>
      <c r="B35" s="5"/>
      <c r="C35" s="24"/>
      <c r="D35" s="24"/>
      <c r="E35" s="24"/>
      <c r="F35" s="26"/>
      <c r="G35" s="27"/>
      <c r="H35" s="27"/>
      <c r="I35" s="16"/>
      <c r="J35" s="16"/>
      <c r="K35" s="16"/>
    </row>
    <row r="36" spans="1:11">
      <c r="A36" s="16"/>
      <c r="B36" s="5"/>
      <c r="C36" s="24"/>
      <c r="D36" s="24"/>
      <c r="E36" s="24"/>
      <c r="F36" s="26"/>
      <c r="G36" s="27"/>
      <c r="H36" s="27"/>
      <c r="I36" s="16"/>
      <c r="J36" s="16"/>
      <c r="K36" s="16"/>
    </row>
    <row r="37" spans="1:11">
      <c r="A37" s="16"/>
      <c r="B37" s="5"/>
      <c r="C37" s="24"/>
      <c r="D37" s="24"/>
      <c r="E37" s="24"/>
      <c r="F37" s="27"/>
      <c r="G37" s="27"/>
      <c r="H37" s="27"/>
      <c r="I37" s="16"/>
      <c r="J37" s="16"/>
      <c r="K37" s="16"/>
    </row>
    <row r="38" spans="1:11">
      <c r="A38" s="16"/>
      <c r="B38" s="5"/>
      <c r="C38" s="24"/>
      <c r="D38" s="24"/>
      <c r="E38" s="24"/>
      <c r="F38" s="27"/>
      <c r="G38" s="27"/>
      <c r="H38" s="27"/>
      <c r="I38" s="16"/>
      <c r="J38" s="16"/>
      <c r="K38" s="16"/>
    </row>
    <row r="39" spans="1:11">
      <c r="A39" s="16"/>
      <c r="B39" s="5"/>
      <c r="C39" s="24"/>
      <c r="D39" s="24"/>
      <c r="E39" s="24"/>
      <c r="F39" s="27"/>
      <c r="G39" s="27"/>
      <c r="H39" s="27"/>
      <c r="I39" s="16"/>
      <c r="J39" s="16"/>
      <c r="K39" s="16"/>
    </row>
    <row r="40" spans="1:11">
      <c r="A40" s="16"/>
      <c r="B40" s="5"/>
      <c r="C40" s="24"/>
      <c r="D40" s="24"/>
      <c r="E40" s="24"/>
      <c r="F40" s="27"/>
      <c r="G40" s="27"/>
      <c r="H40" s="27"/>
      <c r="I40" s="16"/>
      <c r="J40" s="16"/>
      <c r="K40" s="16"/>
    </row>
    <row r="41" spans="1:11">
      <c r="A41" s="16"/>
      <c r="B41" s="5"/>
      <c r="C41" s="24"/>
      <c r="D41" s="24"/>
      <c r="E41" s="24"/>
      <c r="F41" s="27"/>
      <c r="G41" s="27"/>
      <c r="H41" s="27"/>
      <c r="I41" s="16"/>
      <c r="J41" s="16"/>
      <c r="K41" s="16"/>
    </row>
    <row r="42" spans="1:11">
      <c r="A42" s="16"/>
      <c r="B42" s="5"/>
      <c r="C42" s="24"/>
      <c r="D42" s="24"/>
      <c r="E42" s="24"/>
      <c r="F42" s="27"/>
      <c r="G42" s="27"/>
      <c r="H42" s="27"/>
      <c r="I42" s="16"/>
      <c r="J42" s="16"/>
      <c r="K42" s="16"/>
    </row>
    <row r="43" spans="1:11">
      <c r="A43" s="16"/>
      <c r="B43" s="5"/>
      <c r="C43" s="16"/>
      <c r="D43" s="16"/>
      <c r="E43" s="16"/>
      <c r="F43" s="16"/>
      <c r="G43" s="16"/>
      <c r="H43" s="16"/>
      <c r="I43" s="16"/>
      <c r="J43" s="16"/>
      <c r="K43" s="16"/>
    </row>
    <row r="44" spans="1:11">
      <c r="A44" s="16"/>
      <c r="B44" s="5"/>
      <c r="C44" s="16"/>
      <c r="D44" s="16"/>
      <c r="E44" s="16"/>
      <c r="F44" s="16"/>
      <c r="G44" s="16"/>
      <c r="H44" s="16"/>
      <c r="I44" s="16"/>
    </row>
    <row r="45" spans="1:11">
      <c r="A45" s="16"/>
      <c r="B45" s="5"/>
      <c r="C45" s="16"/>
      <c r="D45" s="16"/>
      <c r="E45" s="16"/>
      <c r="F45" s="16"/>
      <c r="G45" s="16"/>
      <c r="H45" s="16"/>
      <c r="I45" s="16"/>
    </row>
    <row r="46" spans="1:11">
      <c r="A46" s="16"/>
      <c r="B46" s="5"/>
      <c r="C46" s="16"/>
      <c r="D46" s="16"/>
      <c r="E46" s="16"/>
      <c r="F46" s="16"/>
      <c r="G46" s="16"/>
      <c r="H46" s="16"/>
      <c r="I46" s="16"/>
    </row>
    <row r="47" spans="1:11" ht="9.75" customHeight="1">
      <c r="B47" s="5"/>
      <c r="F47" s="8"/>
    </row>
    <row r="48" spans="1:11" s="36" customFormat="1" ht="19.5" customHeight="1">
      <c r="B48" s="37"/>
      <c r="C48" s="38" t="s">
        <v>2741</v>
      </c>
      <c r="D48" s="38" t="s">
        <v>2740</v>
      </c>
      <c r="E48" s="38" t="s">
        <v>2881</v>
      </c>
      <c r="F48" s="38" t="s">
        <v>2742</v>
      </c>
      <c r="G48" s="38" t="s">
        <v>2743</v>
      </c>
    </row>
    <row r="49" spans="2:7">
      <c r="B49" s="5"/>
      <c r="C49" s="53" t="s">
        <v>2879</v>
      </c>
      <c r="D49" s="66"/>
      <c r="E49" s="54" t="s">
        <v>2880</v>
      </c>
      <c r="F49" s="55"/>
      <c r="G49" s="55"/>
    </row>
    <row r="50" spans="2:7">
      <c r="B50" s="5"/>
      <c r="C50" s="53"/>
      <c r="D50" s="66"/>
      <c r="E50" s="54"/>
      <c r="F50" s="55"/>
      <c r="G50" s="55"/>
    </row>
    <row r="51" spans="2:7">
      <c r="B51" s="5"/>
      <c r="C51" s="53"/>
      <c r="D51" s="66"/>
      <c r="E51" s="54"/>
      <c r="F51" s="55"/>
      <c r="G51" s="55"/>
    </row>
    <row r="52" spans="2:7">
      <c r="B52" s="5"/>
      <c r="C52" s="53"/>
      <c r="D52" s="66"/>
      <c r="E52" s="54"/>
      <c r="F52" s="55"/>
      <c r="G52" s="55"/>
    </row>
    <row r="53" spans="2:7">
      <c r="B53" s="5"/>
      <c r="C53" s="53"/>
      <c r="D53" s="66"/>
      <c r="E53" s="54"/>
      <c r="F53" s="55"/>
      <c r="G53" s="55"/>
    </row>
    <row r="54" spans="2:7">
      <c r="B54" s="5"/>
      <c r="C54" s="53"/>
      <c r="D54" s="66"/>
      <c r="E54" s="54"/>
      <c r="F54" s="55"/>
      <c r="G54" s="55"/>
    </row>
    <row r="55" spans="2:7">
      <c r="B55" s="5"/>
      <c r="C55" s="53"/>
      <c r="D55" s="53"/>
      <c r="E55" s="54"/>
      <c r="F55" s="55"/>
      <c r="G55" s="55"/>
    </row>
    <row r="56" spans="2:7">
      <c r="B56" s="5"/>
      <c r="C56" s="53"/>
      <c r="D56" s="53"/>
      <c r="E56" s="54"/>
      <c r="F56" s="55"/>
      <c r="G56" s="55"/>
    </row>
    <row r="57" spans="2:7">
      <c r="B57" s="5"/>
      <c r="C57" s="53"/>
      <c r="D57" s="53"/>
      <c r="E57" s="54"/>
      <c r="F57" s="55"/>
      <c r="G57" s="55"/>
    </row>
    <row r="58" spans="2:7">
      <c r="B58" s="5"/>
      <c r="C58" s="53"/>
      <c r="D58" s="53"/>
      <c r="E58" s="54"/>
      <c r="F58" s="55"/>
      <c r="G58" s="55"/>
    </row>
    <row r="59" spans="2:7">
      <c r="B59" s="5"/>
      <c r="C59" s="53"/>
      <c r="D59" s="53"/>
      <c r="E59" s="54"/>
      <c r="F59" s="55"/>
      <c r="G59" s="55"/>
    </row>
    <row r="60" spans="2:7">
      <c r="B60" s="5"/>
      <c r="C60" s="53"/>
      <c r="D60" s="53"/>
      <c r="E60" s="54"/>
      <c r="F60" s="55"/>
      <c r="G60" s="55"/>
    </row>
    <row r="61" spans="2:7">
      <c r="B61" s="5"/>
      <c r="C61" s="53"/>
      <c r="D61" s="53"/>
      <c r="E61" s="54"/>
      <c r="F61" s="55"/>
      <c r="G61" s="55"/>
    </row>
    <row r="62" spans="2:7">
      <c r="B62" s="5"/>
      <c r="C62" s="53"/>
      <c r="D62" s="53"/>
      <c r="E62" s="54"/>
      <c r="F62" s="55"/>
      <c r="G62" s="55"/>
    </row>
    <row r="63" spans="2:7">
      <c r="B63" s="5"/>
      <c r="C63" s="53"/>
      <c r="D63" s="53"/>
      <c r="E63" s="54"/>
      <c r="F63" s="55"/>
      <c r="G63" s="55"/>
    </row>
    <row r="64" spans="2:7">
      <c r="B64" s="5"/>
      <c r="C64" s="53"/>
      <c r="D64" s="53"/>
      <c r="E64" s="54"/>
      <c r="F64" s="55"/>
      <c r="G64" s="55"/>
    </row>
    <row r="65" spans="2:7">
      <c r="B65" s="5"/>
      <c r="C65" s="53"/>
      <c r="D65" s="53"/>
      <c r="E65" s="54"/>
      <c r="F65" s="55"/>
      <c r="G65" s="55"/>
    </row>
    <row r="66" spans="2:7">
      <c r="B66" s="5"/>
      <c r="C66" s="53"/>
      <c r="D66" s="53"/>
      <c r="E66" s="54"/>
      <c r="F66" s="55"/>
      <c r="G66" s="55"/>
    </row>
    <row r="69" spans="2:7">
      <c r="B69" s="37"/>
      <c r="C69" s="38" t="s">
        <v>2916</v>
      </c>
      <c r="D69" s="38" t="s">
        <v>2917</v>
      </c>
      <c r="E69" s="38" t="s">
        <v>2918</v>
      </c>
      <c r="F69" s="38"/>
      <c r="G69" s="38"/>
    </row>
    <row r="70" spans="2:7" s="57" customFormat="1">
      <c r="B70" s="58"/>
      <c r="C70" s="59" t="s">
        <v>3196</v>
      </c>
      <c r="D70" s="59" t="s">
        <v>3224</v>
      </c>
      <c r="E70" s="60"/>
      <c r="F70" s="61"/>
      <c r="G70" s="61"/>
    </row>
  </sheetData>
  <protectedRanges>
    <protectedRange sqref="C2:F4 C8:F23 C5:C7 E5:F7" name="Range1"/>
    <protectedRange sqref="D5:D7" name="Range1_1"/>
  </protectedRanges>
  <dataValidations count="5">
    <dataValidation type="list" allowBlank="1" showInputMessage="1" showErrorMessage="1" sqref="E5 E22">
      <formula1>"Sim,Não"</formula1>
    </dataValidation>
    <dataValidation type="list" allowBlank="1" showInputMessage="1" showErrorMessage="1" sqref="E49:E66">
      <formula1>"On Demand, On Premise"</formula1>
    </dataValidation>
    <dataValidation type="list" allowBlank="1" showInputMessage="1" showErrorMessage="1" sqref="E15">
      <formula1>$C$49:$C$66</formula1>
    </dataValidation>
    <dataValidation type="list" allowBlank="1" showInputMessage="1" showErrorMessage="1" sqref="D15">
      <formula1>$C$49</formula1>
    </dataValidation>
    <dataValidation type="list" allowBlank="1" showInputMessage="1" showErrorMessage="1" sqref="D22 D5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1001"/>
  <sheetViews>
    <sheetView showGridLines="0" workbookViewId="0">
      <pane ySplit="2" topLeftCell="A3" activePane="bottomLeft" state="frozen"/>
      <selection activeCell="A3" sqref="A3"/>
      <selection pane="bottomLeft" activeCell="A3" sqref="A3"/>
    </sheetView>
  </sheetViews>
  <sheetFormatPr defaultColWidth="0" defaultRowHeight="12.75" zeroHeight="1"/>
  <cols>
    <col min="1" max="1" width="24.85546875" style="31" bestFit="1" customWidth="1"/>
    <col min="2" max="2" width="12.28515625" style="30" customWidth="1"/>
    <col min="3" max="3" width="35.42578125" style="29" customWidth="1"/>
    <col min="4" max="4" width="20" style="29" customWidth="1"/>
    <col min="5" max="5" width="34.28515625" style="29" bestFit="1" customWidth="1"/>
    <col min="6" max="6" width="13.140625" style="29" bestFit="1" customWidth="1"/>
    <col min="7" max="7" width="8.140625" style="30" bestFit="1" customWidth="1"/>
    <col min="8" max="8" width="6.7109375" style="30" bestFit="1" customWidth="1"/>
    <col min="9" max="9" width="21.42578125" style="30" customWidth="1"/>
    <col min="10" max="10" width="11.7109375" style="30" customWidth="1"/>
    <col min="11" max="11" width="16.140625" style="29" customWidth="1"/>
    <col min="12" max="12" width="13.28515625" style="29" bestFit="1" customWidth="1"/>
    <col min="13" max="13" width="14.28515625" style="29" bestFit="1" customWidth="1"/>
    <col min="14" max="14" width="19.42578125" style="29" bestFit="1" customWidth="1"/>
    <col min="15" max="15" width="21.85546875" style="29" bestFit="1" customWidth="1"/>
    <col min="16" max="16" width="2.42578125" style="29" customWidth="1"/>
    <col min="17" max="19" width="0" style="30" hidden="1" customWidth="1"/>
    <col min="20" max="16384" width="9.140625" style="30" hidden="1"/>
  </cols>
  <sheetData>
    <row r="1" spans="1:16" s="43" customFormat="1" ht="16.5" customHeight="1">
      <c r="A1" s="348" t="s">
        <v>2707</v>
      </c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348" t="s">
        <v>2706</v>
      </c>
      <c r="N1" s="348"/>
      <c r="O1" s="348"/>
    </row>
    <row r="2" spans="1:16" s="52" customFormat="1" ht="26.25" customHeight="1">
      <c r="A2" s="42" t="s">
        <v>2865</v>
      </c>
      <c r="B2" s="42" t="s">
        <v>2866</v>
      </c>
      <c r="C2" s="42" t="s">
        <v>2867</v>
      </c>
      <c r="D2" s="42" t="s">
        <v>2868</v>
      </c>
      <c r="E2" s="42" t="s">
        <v>2869</v>
      </c>
      <c r="F2" s="42" t="s">
        <v>2870</v>
      </c>
      <c r="G2" s="42" t="s">
        <v>2871</v>
      </c>
      <c r="H2" s="42" t="s">
        <v>2872</v>
      </c>
      <c r="I2" s="42" t="s">
        <v>2873</v>
      </c>
      <c r="J2" s="42" t="s">
        <v>2874</v>
      </c>
      <c r="K2" s="42" t="s">
        <v>2875</v>
      </c>
      <c r="L2" s="42" t="s">
        <v>2876</v>
      </c>
      <c r="M2" s="51" t="s">
        <v>2705</v>
      </c>
      <c r="N2" s="51" t="s">
        <v>2866</v>
      </c>
      <c r="O2" s="51" t="s">
        <v>2877</v>
      </c>
      <c r="P2" s="52" t="s">
        <v>2878</v>
      </c>
    </row>
    <row r="3" spans="1:16">
      <c r="A3" s="40" t="s">
        <v>3120</v>
      </c>
      <c r="B3" s="40" t="s">
        <v>3188</v>
      </c>
      <c r="C3" s="40" t="s">
        <v>3195</v>
      </c>
      <c r="D3" s="40" t="s">
        <v>3195</v>
      </c>
      <c r="E3" s="40" t="s">
        <v>3194</v>
      </c>
      <c r="F3" s="40"/>
      <c r="G3" s="41"/>
      <c r="H3" s="41"/>
      <c r="I3" s="41"/>
      <c r="J3" s="41"/>
      <c r="K3" s="35"/>
      <c r="L3" s="41"/>
      <c r="M3" s="34"/>
      <c r="N3" s="34"/>
      <c r="O3" s="35"/>
    </row>
    <row r="4" spans="1:16">
      <c r="A4" s="32" t="s">
        <v>3121</v>
      </c>
      <c r="B4" s="32" t="s">
        <v>3131</v>
      </c>
      <c r="C4" s="40" t="s">
        <v>3146</v>
      </c>
      <c r="D4" s="32" t="s">
        <v>3146</v>
      </c>
      <c r="E4" s="32" t="s">
        <v>3161</v>
      </c>
      <c r="F4" s="32"/>
      <c r="G4" s="41"/>
      <c r="H4" s="41"/>
      <c r="I4" s="33"/>
      <c r="J4" s="33"/>
      <c r="K4" s="34"/>
      <c r="L4" s="41"/>
      <c r="M4" s="34"/>
      <c r="N4" s="34"/>
      <c r="O4" s="35"/>
    </row>
    <row r="5" spans="1:16">
      <c r="A5" s="32" t="s">
        <v>3122</v>
      </c>
      <c r="B5" s="32" t="s">
        <v>3132</v>
      </c>
      <c r="C5" s="40" t="s">
        <v>3147</v>
      </c>
      <c r="D5" s="32" t="s">
        <v>3147</v>
      </c>
      <c r="E5" s="32" t="s">
        <v>3162</v>
      </c>
      <c r="F5" s="32"/>
      <c r="G5" s="41"/>
      <c r="H5" s="41"/>
      <c r="I5" s="33"/>
      <c r="J5" s="33"/>
      <c r="K5" s="34"/>
      <c r="L5" s="41"/>
      <c r="M5" s="34"/>
      <c r="N5" s="34"/>
      <c r="O5" s="35"/>
    </row>
    <row r="6" spans="1:16">
      <c r="A6" s="32" t="s">
        <v>3123</v>
      </c>
      <c r="B6" s="32" t="s">
        <v>3133</v>
      </c>
      <c r="C6" s="40" t="s">
        <v>3148</v>
      </c>
      <c r="D6" s="32" t="s">
        <v>3148</v>
      </c>
      <c r="E6" s="32" t="s">
        <v>3163</v>
      </c>
      <c r="F6" s="32"/>
      <c r="G6" s="41"/>
      <c r="H6" s="41"/>
      <c r="I6" s="33"/>
      <c r="J6" s="33"/>
      <c r="K6" s="34"/>
      <c r="L6" s="41"/>
      <c r="M6" s="34"/>
      <c r="N6" s="34"/>
      <c r="O6" s="35"/>
    </row>
    <row r="7" spans="1:16">
      <c r="A7" s="32" t="s">
        <v>3124</v>
      </c>
      <c r="B7" s="32" t="s">
        <v>3134</v>
      </c>
      <c r="C7" s="40" t="s">
        <v>3149</v>
      </c>
      <c r="D7" s="32" t="s">
        <v>3149</v>
      </c>
      <c r="E7" s="32" t="s">
        <v>3164</v>
      </c>
      <c r="F7" s="32"/>
      <c r="G7" s="41"/>
      <c r="H7" s="41"/>
      <c r="I7" s="33"/>
      <c r="J7" s="33"/>
      <c r="K7" s="34"/>
      <c r="L7" s="41"/>
      <c r="M7" s="34"/>
      <c r="N7" s="34"/>
      <c r="O7" s="35"/>
    </row>
    <row r="8" spans="1:16">
      <c r="A8" s="32" t="s">
        <v>3189</v>
      </c>
      <c r="B8" s="32" t="s">
        <v>3135</v>
      </c>
      <c r="C8" s="40" t="s">
        <v>3150</v>
      </c>
      <c r="D8" s="32" t="s">
        <v>3150</v>
      </c>
      <c r="E8" s="32" t="s">
        <v>3165</v>
      </c>
      <c r="F8" s="32"/>
      <c r="G8" s="41"/>
      <c r="H8" s="41"/>
      <c r="I8" s="33"/>
      <c r="J8" s="33"/>
      <c r="K8" s="34"/>
      <c r="L8" s="41"/>
      <c r="M8" s="34"/>
      <c r="N8" s="34"/>
      <c r="O8" s="35"/>
    </row>
    <row r="9" spans="1:16">
      <c r="A9" s="32" t="s">
        <v>3125</v>
      </c>
      <c r="B9" s="32" t="s">
        <v>3136</v>
      </c>
      <c r="C9" s="40" t="s">
        <v>3151</v>
      </c>
      <c r="D9" s="32" t="s">
        <v>3151</v>
      </c>
      <c r="E9" s="32" t="s">
        <v>3166</v>
      </c>
      <c r="F9" s="32"/>
      <c r="G9" s="41"/>
      <c r="H9" s="41"/>
      <c r="I9" s="33"/>
      <c r="J9" s="33"/>
      <c r="K9" s="34"/>
      <c r="L9" s="41"/>
      <c r="M9" s="34"/>
      <c r="N9" s="34"/>
      <c r="O9" s="35"/>
    </row>
    <row r="10" spans="1:16">
      <c r="A10" s="32" t="s">
        <v>3126</v>
      </c>
      <c r="B10" s="32" t="s">
        <v>3137</v>
      </c>
      <c r="C10" s="40" t="s">
        <v>3152</v>
      </c>
      <c r="D10" s="32" t="s">
        <v>3152</v>
      </c>
      <c r="E10" s="32" t="s">
        <v>3167</v>
      </c>
      <c r="F10" s="32"/>
      <c r="G10" s="41"/>
      <c r="H10" s="41"/>
      <c r="I10" s="33"/>
      <c r="J10" s="33"/>
      <c r="K10" s="34"/>
      <c r="L10" s="41"/>
      <c r="M10" s="34"/>
      <c r="N10" s="34"/>
      <c r="O10" s="35"/>
    </row>
    <row r="11" spans="1:16">
      <c r="A11" s="32" t="s">
        <v>3127</v>
      </c>
      <c r="B11" s="32" t="s">
        <v>3138</v>
      </c>
      <c r="C11" s="40" t="s">
        <v>3153</v>
      </c>
      <c r="D11" s="32" t="s">
        <v>3153</v>
      </c>
      <c r="E11" s="32" t="s">
        <v>3168</v>
      </c>
      <c r="F11" s="32"/>
      <c r="G11" s="41"/>
      <c r="H11" s="41"/>
      <c r="I11" s="33"/>
      <c r="J11" s="33"/>
      <c r="K11" s="34"/>
      <c r="L11" s="41"/>
      <c r="M11" s="34"/>
      <c r="N11" s="34"/>
      <c r="O11" s="35"/>
    </row>
    <row r="12" spans="1:16">
      <c r="A12" s="32" t="s">
        <v>3193</v>
      </c>
      <c r="B12" s="32" t="s">
        <v>3139</v>
      </c>
      <c r="C12" s="40" t="s">
        <v>3154</v>
      </c>
      <c r="D12" s="32" t="s">
        <v>3154</v>
      </c>
      <c r="E12" s="32" t="s">
        <v>3169</v>
      </c>
      <c r="F12" s="32"/>
      <c r="G12" s="41"/>
      <c r="H12" s="41"/>
      <c r="I12" s="33"/>
      <c r="J12" s="33"/>
      <c r="K12" s="34"/>
      <c r="L12" s="41"/>
      <c r="M12" s="34"/>
      <c r="N12" s="34"/>
      <c r="O12" s="35"/>
    </row>
    <row r="13" spans="1:16">
      <c r="A13" s="32" t="s">
        <v>3128</v>
      </c>
      <c r="B13" s="32" t="s">
        <v>3140</v>
      </c>
      <c r="C13" s="40" t="s">
        <v>3155</v>
      </c>
      <c r="D13" s="32" t="s">
        <v>3155</v>
      </c>
      <c r="E13" s="32" t="s">
        <v>3170</v>
      </c>
      <c r="F13" s="32"/>
      <c r="G13" s="41"/>
      <c r="H13" s="41"/>
      <c r="I13" s="33"/>
      <c r="J13" s="33"/>
      <c r="K13" s="34"/>
      <c r="L13" s="41"/>
      <c r="M13" s="34"/>
      <c r="N13" s="34"/>
      <c r="O13" s="35"/>
    </row>
    <row r="14" spans="1:16">
      <c r="A14" s="32" t="s">
        <v>3192</v>
      </c>
      <c r="B14" s="32" t="s">
        <v>3141</v>
      </c>
      <c r="C14" s="40" t="s">
        <v>3156</v>
      </c>
      <c r="D14" s="32" t="s">
        <v>3156</v>
      </c>
      <c r="E14" s="32" t="s">
        <v>3171</v>
      </c>
      <c r="F14" s="32"/>
      <c r="G14" s="41"/>
      <c r="H14" s="41"/>
      <c r="I14" s="33"/>
      <c r="J14" s="33"/>
      <c r="K14" s="34"/>
      <c r="L14" s="41"/>
      <c r="M14" s="34"/>
      <c r="N14" s="34"/>
      <c r="O14" s="35"/>
    </row>
    <row r="15" spans="1:16">
      <c r="A15" s="32" t="s">
        <v>3191</v>
      </c>
      <c r="B15" s="32" t="s">
        <v>3142</v>
      </c>
      <c r="C15" s="40" t="s">
        <v>3157</v>
      </c>
      <c r="D15" s="32" t="s">
        <v>3157</v>
      </c>
      <c r="E15" s="32" t="s">
        <v>3172</v>
      </c>
      <c r="F15" s="32"/>
      <c r="G15" s="41"/>
      <c r="H15" s="41"/>
      <c r="I15" s="33"/>
      <c r="J15" s="33"/>
      <c r="K15" s="34"/>
      <c r="L15" s="41"/>
      <c r="M15" s="34"/>
      <c r="N15" s="34"/>
      <c r="O15" s="35"/>
    </row>
    <row r="16" spans="1:16">
      <c r="A16" s="32" t="s">
        <v>3190</v>
      </c>
      <c r="B16" s="32" t="s">
        <v>3143</v>
      </c>
      <c r="C16" s="40" t="s">
        <v>3158</v>
      </c>
      <c r="D16" s="32" t="s">
        <v>3158</v>
      </c>
      <c r="E16" s="32" t="s">
        <v>3173</v>
      </c>
      <c r="F16" s="32"/>
      <c r="G16" s="41"/>
      <c r="H16" s="41"/>
      <c r="I16" s="33"/>
      <c r="J16" s="33"/>
      <c r="K16" s="34"/>
      <c r="L16" s="41"/>
      <c r="M16" s="34"/>
      <c r="N16" s="34"/>
      <c r="O16" s="35"/>
    </row>
    <row r="17" spans="1:15">
      <c r="A17" s="32" t="s">
        <v>3129</v>
      </c>
      <c r="B17" s="32" t="s">
        <v>3144</v>
      </c>
      <c r="C17" s="40" t="s">
        <v>3159</v>
      </c>
      <c r="D17" s="32" t="s">
        <v>3159</v>
      </c>
      <c r="E17" s="32" t="s">
        <v>3174</v>
      </c>
      <c r="F17" s="32"/>
      <c r="G17" s="41"/>
      <c r="H17" s="41"/>
      <c r="I17" s="33"/>
      <c r="J17" s="33"/>
      <c r="K17" s="34"/>
      <c r="L17" s="41"/>
      <c r="M17" s="34"/>
      <c r="N17" s="34"/>
      <c r="O17" s="35"/>
    </row>
    <row r="18" spans="1:15">
      <c r="A18" s="32" t="s">
        <v>3130</v>
      </c>
      <c r="B18" s="32" t="s">
        <v>3145</v>
      </c>
      <c r="C18" s="32" t="s">
        <v>3160</v>
      </c>
      <c r="D18" s="32" t="s">
        <v>3160</v>
      </c>
      <c r="E18" s="32" t="s">
        <v>3175</v>
      </c>
      <c r="F18" s="32"/>
      <c r="G18" s="33"/>
      <c r="H18" s="33"/>
      <c r="I18" s="33"/>
      <c r="J18" s="33"/>
      <c r="K18" s="34"/>
      <c r="L18" s="33"/>
      <c r="M18" s="34"/>
      <c r="N18" s="34"/>
      <c r="O18" s="35"/>
    </row>
    <row r="19" spans="1:15">
      <c r="A19" s="32"/>
      <c r="B19" s="32"/>
      <c r="C19" s="32"/>
      <c r="D19" s="32"/>
      <c r="E19" s="32"/>
      <c r="F19" s="32"/>
      <c r="G19" s="33"/>
      <c r="H19" s="33"/>
      <c r="I19" s="33"/>
      <c r="J19" s="33"/>
      <c r="K19" s="34"/>
      <c r="L19" s="33"/>
      <c r="M19" s="34"/>
      <c r="N19" s="34"/>
      <c r="O19" s="35"/>
    </row>
    <row r="20" spans="1:15">
      <c r="A20" s="32"/>
      <c r="B20" s="32"/>
      <c r="C20" s="32"/>
      <c r="D20" s="32"/>
      <c r="E20" s="32"/>
      <c r="F20" s="32"/>
      <c r="G20" s="33"/>
      <c r="H20" s="33"/>
      <c r="I20" s="33"/>
      <c r="J20" s="33"/>
      <c r="K20" s="34"/>
      <c r="L20" s="33"/>
      <c r="M20" s="34"/>
      <c r="N20" s="34"/>
      <c r="O20" s="35"/>
    </row>
    <row r="21" spans="1:15">
      <c r="A21" s="32"/>
      <c r="B21" s="32"/>
      <c r="C21" s="32"/>
      <c r="D21" s="32"/>
      <c r="E21" s="32"/>
      <c r="F21" s="32"/>
      <c r="G21" s="33"/>
      <c r="H21" s="33"/>
      <c r="I21" s="33"/>
      <c r="J21" s="33"/>
      <c r="K21" s="34"/>
      <c r="L21" s="33"/>
      <c r="M21" s="34"/>
      <c r="N21" s="34"/>
      <c r="O21" s="35"/>
    </row>
    <row r="22" spans="1:15">
      <c r="A22" s="32"/>
      <c r="B22" s="32"/>
      <c r="C22" s="32"/>
      <c r="D22" s="32"/>
      <c r="E22" s="32"/>
      <c r="F22" s="32"/>
      <c r="G22" s="33"/>
      <c r="H22" s="33"/>
      <c r="I22" s="33"/>
      <c r="J22" s="33"/>
      <c r="K22" s="34"/>
      <c r="L22" s="33"/>
      <c r="M22" s="34"/>
      <c r="N22" s="34"/>
      <c r="O22" s="35"/>
    </row>
    <row r="23" spans="1:15">
      <c r="A23" s="32"/>
      <c r="B23" s="32"/>
      <c r="C23" s="32"/>
      <c r="D23" s="32"/>
      <c r="E23" s="32"/>
      <c r="F23" s="32"/>
      <c r="G23" s="33"/>
      <c r="H23" s="33"/>
      <c r="I23" s="33"/>
      <c r="J23" s="33"/>
      <c r="K23" s="34"/>
      <c r="L23" s="33"/>
      <c r="M23" s="34"/>
      <c r="N23" s="34"/>
      <c r="O23" s="35"/>
    </row>
    <row r="24" spans="1:15">
      <c r="A24" s="32"/>
      <c r="B24" s="32"/>
      <c r="C24" s="32"/>
      <c r="D24" s="32"/>
      <c r="E24" s="32"/>
      <c r="F24" s="32"/>
      <c r="G24" s="33"/>
      <c r="H24" s="33"/>
      <c r="I24" s="33"/>
      <c r="J24" s="33"/>
      <c r="K24" s="34"/>
      <c r="L24" s="33"/>
      <c r="M24" s="34"/>
      <c r="N24" s="34"/>
      <c r="O24" s="35"/>
    </row>
    <row r="25" spans="1:15">
      <c r="A25" s="32"/>
      <c r="B25" s="32"/>
      <c r="C25" s="32"/>
      <c r="D25" s="32"/>
      <c r="E25" s="32"/>
      <c r="F25" s="32"/>
      <c r="G25" s="33"/>
      <c r="H25" s="33"/>
      <c r="I25" s="33"/>
      <c r="J25" s="33"/>
      <c r="K25" s="34"/>
      <c r="L25" s="33"/>
      <c r="M25" s="34"/>
      <c r="N25" s="34"/>
      <c r="O25" s="35"/>
    </row>
    <row r="26" spans="1:15">
      <c r="A26" s="32"/>
      <c r="B26" s="32"/>
      <c r="C26" s="32"/>
      <c r="D26" s="32"/>
      <c r="E26" s="32"/>
      <c r="F26" s="32"/>
      <c r="G26" s="33"/>
      <c r="H26" s="33"/>
      <c r="I26" s="33"/>
      <c r="J26" s="33"/>
      <c r="K26" s="34"/>
      <c r="L26" s="33"/>
      <c r="M26" s="34"/>
      <c r="N26" s="34"/>
      <c r="O26" s="35"/>
    </row>
    <row r="27" spans="1:15">
      <c r="A27" s="32"/>
      <c r="B27" s="32"/>
      <c r="C27" s="32"/>
      <c r="D27" s="32"/>
      <c r="E27" s="32"/>
      <c r="F27" s="32"/>
      <c r="G27" s="33"/>
      <c r="H27" s="33"/>
      <c r="I27" s="33"/>
      <c r="J27" s="33"/>
      <c r="K27" s="34"/>
      <c r="L27" s="33"/>
      <c r="M27" s="34"/>
      <c r="N27" s="34"/>
      <c r="O27" s="35"/>
    </row>
    <row r="28" spans="1:15">
      <c r="A28" s="32"/>
      <c r="B28" s="32"/>
      <c r="C28" s="32"/>
      <c r="D28" s="32"/>
      <c r="E28" s="32"/>
      <c r="F28" s="32"/>
      <c r="G28" s="33"/>
      <c r="H28" s="33"/>
      <c r="I28" s="33"/>
      <c r="J28" s="33"/>
      <c r="K28" s="34"/>
      <c r="L28" s="33"/>
      <c r="M28" s="34"/>
      <c r="N28" s="34"/>
      <c r="O28" s="35"/>
    </row>
    <row r="29" spans="1:15">
      <c r="A29" s="32"/>
      <c r="B29" s="32"/>
      <c r="C29" s="32"/>
      <c r="D29" s="32"/>
      <c r="E29" s="32"/>
      <c r="F29" s="32"/>
      <c r="G29" s="33"/>
      <c r="H29" s="33"/>
      <c r="I29" s="33"/>
      <c r="J29" s="33"/>
      <c r="K29" s="34"/>
      <c r="L29" s="33"/>
      <c r="M29" s="34"/>
      <c r="N29" s="34"/>
      <c r="O29" s="35"/>
    </row>
    <row r="30" spans="1:15">
      <c r="A30" s="32"/>
      <c r="B30" s="32"/>
      <c r="C30" s="32"/>
      <c r="D30" s="32"/>
      <c r="E30" s="32"/>
      <c r="F30" s="32"/>
      <c r="G30" s="33"/>
      <c r="H30" s="33"/>
      <c r="I30" s="33"/>
      <c r="J30" s="33"/>
      <c r="K30" s="34"/>
      <c r="L30" s="33"/>
      <c r="M30" s="34"/>
      <c r="N30" s="34"/>
      <c r="O30" s="35"/>
    </row>
    <row r="31" spans="1:15">
      <c r="A31" s="32"/>
      <c r="B31" s="32"/>
      <c r="C31" s="32"/>
      <c r="D31" s="32"/>
      <c r="E31" s="32"/>
      <c r="F31" s="32"/>
      <c r="G31" s="33"/>
      <c r="H31" s="33"/>
      <c r="I31" s="33"/>
      <c r="J31" s="33"/>
      <c r="K31" s="34"/>
      <c r="L31" s="33"/>
      <c r="M31" s="34"/>
      <c r="N31" s="34"/>
      <c r="O31" s="35"/>
    </row>
    <row r="32" spans="1:15">
      <c r="A32" s="32"/>
      <c r="B32" s="32"/>
      <c r="C32" s="32"/>
      <c r="D32" s="32"/>
      <c r="E32" s="32"/>
      <c r="F32" s="32"/>
      <c r="G32" s="33"/>
      <c r="H32" s="33"/>
      <c r="I32" s="33"/>
      <c r="J32" s="33"/>
      <c r="K32" s="34"/>
      <c r="L32" s="33"/>
      <c r="M32" s="34"/>
      <c r="N32" s="34"/>
      <c r="O32" s="35"/>
    </row>
    <row r="33" spans="1:15">
      <c r="A33" s="32"/>
      <c r="B33" s="32"/>
      <c r="C33" s="32"/>
      <c r="D33" s="32"/>
      <c r="E33" s="32"/>
      <c r="F33" s="32"/>
      <c r="G33" s="33"/>
      <c r="H33" s="33"/>
      <c r="I33" s="33"/>
      <c r="J33" s="33"/>
      <c r="K33" s="34"/>
      <c r="L33" s="33"/>
      <c r="M33" s="34"/>
      <c r="N33" s="34"/>
      <c r="O33" s="35"/>
    </row>
    <row r="34" spans="1:15">
      <c r="A34" s="32"/>
      <c r="B34" s="32"/>
      <c r="C34" s="32"/>
      <c r="D34" s="32"/>
      <c r="E34" s="32"/>
      <c r="F34" s="32"/>
      <c r="G34" s="33"/>
      <c r="H34" s="33"/>
      <c r="I34" s="33"/>
      <c r="J34" s="33"/>
      <c r="K34" s="34"/>
      <c r="L34" s="33"/>
      <c r="M34" s="34"/>
      <c r="N34" s="34"/>
      <c r="O34" s="35"/>
    </row>
    <row r="35" spans="1:15">
      <c r="A35" s="32"/>
      <c r="B35" s="32"/>
      <c r="C35" s="32"/>
      <c r="D35" s="32"/>
      <c r="E35" s="32"/>
      <c r="F35" s="32"/>
      <c r="G35" s="33"/>
      <c r="H35" s="33"/>
      <c r="I35" s="33"/>
      <c r="J35" s="33"/>
      <c r="K35" s="34"/>
      <c r="L35" s="33"/>
      <c r="M35" s="34"/>
      <c r="N35" s="34"/>
      <c r="O35" s="35"/>
    </row>
    <row r="36" spans="1:15">
      <c r="A36" s="32"/>
      <c r="B36" s="32"/>
      <c r="C36" s="32"/>
      <c r="D36" s="32"/>
      <c r="E36" s="32"/>
      <c r="F36" s="32"/>
      <c r="G36" s="33"/>
      <c r="H36" s="33"/>
      <c r="I36" s="33"/>
      <c r="J36" s="33"/>
      <c r="K36" s="34"/>
      <c r="L36" s="33"/>
      <c r="M36" s="34"/>
      <c r="N36" s="34"/>
      <c r="O36" s="35"/>
    </row>
    <row r="37" spans="1:15">
      <c r="A37" s="32"/>
      <c r="B37" s="32"/>
      <c r="C37" s="32"/>
      <c r="D37" s="32"/>
      <c r="E37" s="32"/>
      <c r="F37" s="32"/>
      <c r="G37" s="33"/>
      <c r="H37" s="33"/>
      <c r="I37" s="33"/>
      <c r="J37" s="33"/>
      <c r="K37" s="34"/>
      <c r="L37" s="33"/>
      <c r="M37" s="34"/>
      <c r="N37" s="34"/>
      <c r="O37" s="35"/>
    </row>
    <row r="38" spans="1:15">
      <c r="A38" s="32"/>
      <c r="B38" s="32"/>
      <c r="C38" s="32"/>
      <c r="D38" s="32"/>
      <c r="E38" s="32"/>
      <c r="F38" s="32"/>
      <c r="G38" s="33"/>
      <c r="H38" s="33"/>
      <c r="I38" s="33"/>
      <c r="J38" s="33"/>
      <c r="K38" s="34"/>
      <c r="L38" s="33"/>
      <c r="M38" s="34"/>
      <c r="N38" s="34"/>
      <c r="O38" s="35"/>
    </row>
    <row r="39" spans="1:15">
      <c r="A39" s="32"/>
      <c r="B39" s="32"/>
      <c r="C39" s="32"/>
      <c r="D39" s="32"/>
      <c r="E39" s="32"/>
      <c r="F39" s="32"/>
      <c r="G39" s="33"/>
      <c r="H39" s="33"/>
      <c r="I39" s="33"/>
      <c r="J39" s="33"/>
      <c r="K39" s="34"/>
      <c r="L39" s="33"/>
      <c r="M39" s="34"/>
      <c r="N39" s="34"/>
      <c r="O39" s="35"/>
    </row>
    <row r="40" spans="1:15">
      <c r="A40" s="32"/>
      <c r="B40" s="32"/>
      <c r="C40" s="32"/>
      <c r="D40" s="32"/>
      <c r="E40" s="32"/>
      <c r="F40" s="32"/>
      <c r="G40" s="33"/>
      <c r="H40" s="33"/>
      <c r="I40" s="33"/>
      <c r="J40" s="33"/>
      <c r="K40" s="34"/>
      <c r="L40" s="33"/>
      <c r="M40" s="34"/>
      <c r="N40" s="34"/>
      <c r="O40" s="35"/>
    </row>
    <row r="41" spans="1:15">
      <c r="A41" s="32"/>
      <c r="B41" s="32"/>
      <c r="C41" s="32"/>
      <c r="D41" s="32"/>
      <c r="E41" s="32"/>
      <c r="F41" s="32"/>
      <c r="G41" s="33"/>
      <c r="H41" s="33"/>
      <c r="I41" s="33"/>
      <c r="J41" s="33"/>
      <c r="K41" s="34"/>
      <c r="L41" s="33"/>
      <c r="M41" s="34"/>
      <c r="N41" s="34"/>
      <c r="O41" s="35"/>
    </row>
    <row r="42" spans="1:15">
      <c r="A42" s="32"/>
      <c r="B42" s="32"/>
      <c r="C42" s="32"/>
      <c r="D42" s="32"/>
      <c r="E42" s="32"/>
      <c r="F42" s="32"/>
      <c r="G42" s="33"/>
      <c r="H42" s="33"/>
      <c r="I42" s="33"/>
      <c r="J42" s="33"/>
      <c r="K42" s="34"/>
      <c r="L42" s="33"/>
      <c r="M42" s="34"/>
      <c r="N42" s="34"/>
      <c r="O42" s="35"/>
    </row>
    <row r="43" spans="1:15">
      <c r="A43" s="32"/>
      <c r="B43" s="32"/>
      <c r="C43" s="32"/>
      <c r="D43" s="32"/>
      <c r="E43" s="32"/>
      <c r="F43" s="32"/>
      <c r="G43" s="33"/>
      <c r="H43" s="33"/>
      <c r="I43" s="33"/>
      <c r="J43" s="33"/>
      <c r="K43" s="34"/>
      <c r="L43" s="33"/>
      <c r="M43" s="34"/>
      <c r="N43" s="34"/>
      <c r="O43" s="35"/>
    </row>
    <row r="44" spans="1:15">
      <c r="A44" s="32"/>
      <c r="B44" s="32"/>
      <c r="C44" s="32"/>
      <c r="D44" s="32"/>
      <c r="E44" s="32"/>
      <c r="F44" s="32"/>
      <c r="G44" s="33"/>
      <c r="H44" s="33"/>
      <c r="I44" s="33"/>
      <c r="J44" s="33"/>
      <c r="K44" s="34"/>
      <c r="L44" s="33"/>
      <c r="M44" s="34"/>
      <c r="N44" s="34"/>
      <c r="O44" s="35"/>
    </row>
    <row r="45" spans="1:15">
      <c r="A45" s="32"/>
      <c r="B45" s="32"/>
      <c r="C45" s="32"/>
      <c r="D45" s="32"/>
      <c r="E45" s="32"/>
      <c r="F45" s="32"/>
      <c r="G45" s="33"/>
      <c r="H45" s="33"/>
      <c r="I45" s="33"/>
      <c r="J45" s="33"/>
      <c r="K45" s="34"/>
      <c r="L45" s="33"/>
      <c r="M45" s="34"/>
      <c r="N45" s="34"/>
      <c r="O45" s="35"/>
    </row>
    <row r="46" spans="1:15">
      <c r="A46" s="32"/>
      <c r="B46" s="32"/>
      <c r="C46" s="32"/>
      <c r="D46" s="32"/>
      <c r="E46" s="32"/>
      <c r="F46" s="32"/>
      <c r="G46" s="33"/>
      <c r="H46" s="33"/>
      <c r="I46" s="33"/>
      <c r="J46" s="33"/>
      <c r="K46" s="34"/>
      <c r="L46" s="33"/>
      <c r="M46" s="34"/>
      <c r="N46" s="34"/>
      <c r="O46" s="35"/>
    </row>
    <row r="47" spans="1:15">
      <c r="A47" s="32"/>
      <c r="B47" s="32"/>
      <c r="C47" s="32"/>
      <c r="D47" s="32"/>
      <c r="E47" s="32"/>
      <c r="F47" s="32"/>
      <c r="G47" s="33"/>
      <c r="H47" s="33"/>
      <c r="I47" s="33"/>
      <c r="J47" s="33"/>
      <c r="K47" s="34"/>
      <c r="L47" s="33"/>
      <c r="M47" s="34"/>
      <c r="N47" s="34"/>
      <c r="O47" s="35"/>
    </row>
    <row r="48" spans="1:15">
      <c r="A48" s="32"/>
      <c r="B48" s="32"/>
      <c r="C48" s="32"/>
      <c r="D48" s="32"/>
      <c r="E48" s="32"/>
      <c r="F48" s="32"/>
      <c r="G48" s="33"/>
      <c r="H48" s="33"/>
      <c r="I48" s="33"/>
      <c r="J48" s="33"/>
      <c r="K48" s="34"/>
      <c r="L48" s="33"/>
      <c r="M48" s="34"/>
      <c r="N48" s="34"/>
      <c r="O48" s="35"/>
    </row>
    <row r="49" spans="1:15">
      <c r="A49" s="32"/>
      <c r="B49" s="32"/>
      <c r="C49" s="32"/>
      <c r="D49" s="32"/>
      <c r="E49" s="32"/>
      <c r="F49" s="32"/>
      <c r="G49" s="33"/>
      <c r="H49" s="33"/>
      <c r="I49" s="33"/>
      <c r="J49" s="33"/>
      <c r="K49" s="34"/>
      <c r="L49" s="33"/>
      <c r="M49" s="34"/>
      <c r="N49" s="34"/>
      <c r="O49" s="35"/>
    </row>
    <row r="50" spans="1:15">
      <c r="A50" s="32"/>
      <c r="B50" s="32"/>
      <c r="C50" s="32"/>
      <c r="D50" s="32"/>
      <c r="E50" s="32"/>
      <c r="F50" s="32"/>
      <c r="G50" s="33"/>
      <c r="H50" s="33"/>
      <c r="I50" s="33"/>
      <c r="J50" s="33"/>
      <c r="K50" s="34"/>
      <c r="L50" s="33"/>
      <c r="M50" s="34"/>
      <c r="N50" s="34"/>
      <c r="O50" s="35"/>
    </row>
    <row r="51" spans="1:15">
      <c r="A51" s="32"/>
      <c r="B51" s="32"/>
      <c r="C51" s="32"/>
      <c r="D51" s="32"/>
      <c r="E51" s="32"/>
      <c r="F51" s="32"/>
      <c r="G51" s="33"/>
      <c r="H51" s="33"/>
      <c r="I51" s="33"/>
      <c r="J51" s="33"/>
      <c r="K51" s="34"/>
      <c r="L51" s="33"/>
      <c r="M51" s="34"/>
      <c r="N51" s="34"/>
      <c r="O51" s="35"/>
    </row>
    <row r="52" spans="1:15">
      <c r="A52" s="32"/>
      <c r="B52" s="32"/>
      <c r="C52" s="32"/>
      <c r="D52" s="32"/>
      <c r="E52" s="32"/>
      <c r="F52" s="32"/>
      <c r="G52" s="33"/>
      <c r="H52" s="33"/>
      <c r="I52" s="33"/>
      <c r="J52" s="33"/>
      <c r="K52" s="34"/>
      <c r="L52" s="33"/>
      <c r="M52" s="34"/>
      <c r="N52" s="34"/>
      <c r="O52" s="35"/>
    </row>
    <row r="53" spans="1:15">
      <c r="A53" s="32"/>
      <c r="B53" s="32"/>
      <c r="C53" s="32"/>
      <c r="D53" s="32"/>
      <c r="E53" s="32"/>
      <c r="F53" s="32"/>
      <c r="G53" s="33"/>
      <c r="H53" s="33"/>
      <c r="I53" s="33"/>
      <c r="J53" s="33"/>
      <c r="K53" s="34"/>
      <c r="L53" s="33"/>
      <c r="M53" s="34"/>
      <c r="N53" s="34"/>
      <c r="O53" s="35"/>
    </row>
    <row r="54" spans="1:15">
      <c r="A54" s="32"/>
      <c r="B54" s="32"/>
      <c r="C54" s="32"/>
      <c r="D54" s="32"/>
      <c r="E54" s="32"/>
      <c r="F54" s="32"/>
      <c r="G54" s="33"/>
      <c r="H54" s="33"/>
      <c r="I54" s="33"/>
      <c r="J54" s="33"/>
      <c r="K54" s="34"/>
      <c r="L54" s="33"/>
      <c r="M54" s="34"/>
      <c r="N54" s="34"/>
      <c r="O54" s="35"/>
    </row>
    <row r="55" spans="1:15">
      <c r="A55" s="32"/>
      <c r="B55" s="32"/>
      <c r="C55" s="32"/>
      <c r="D55" s="32"/>
      <c r="E55" s="32"/>
      <c r="F55" s="32"/>
      <c r="G55" s="33"/>
      <c r="H55" s="33"/>
      <c r="I55" s="33"/>
      <c r="J55" s="33"/>
      <c r="K55" s="34"/>
      <c r="L55" s="33"/>
      <c r="M55" s="34"/>
      <c r="N55" s="34"/>
      <c r="O55" s="35"/>
    </row>
    <row r="56" spans="1:15">
      <c r="A56" s="32"/>
      <c r="B56" s="32"/>
      <c r="C56" s="32"/>
      <c r="D56" s="32"/>
      <c r="E56" s="32"/>
      <c r="F56" s="32"/>
      <c r="G56" s="33"/>
      <c r="H56" s="33"/>
      <c r="I56" s="33"/>
      <c r="J56" s="33"/>
      <c r="K56" s="34"/>
      <c r="L56" s="33"/>
      <c r="M56" s="34"/>
      <c r="N56" s="34"/>
      <c r="O56" s="35"/>
    </row>
    <row r="57" spans="1:15">
      <c r="A57" s="32"/>
      <c r="B57" s="32"/>
      <c r="C57" s="32"/>
      <c r="D57" s="32"/>
      <c r="E57" s="32"/>
      <c r="F57" s="32"/>
      <c r="G57" s="33"/>
      <c r="H57" s="33"/>
      <c r="I57" s="33"/>
      <c r="J57" s="33"/>
      <c r="K57" s="34"/>
      <c r="L57" s="33"/>
      <c r="M57" s="34"/>
      <c r="N57" s="34"/>
      <c r="O57" s="35"/>
    </row>
    <row r="58" spans="1:15">
      <c r="A58" s="32"/>
      <c r="B58" s="32"/>
      <c r="C58" s="32"/>
      <c r="D58" s="32"/>
      <c r="E58" s="32"/>
      <c r="F58" s="32"/>
      <c r="G58" s="33"/>
      <c r="H58" s="33"/>
      <c r="I58" s="33"/>
      <c r="J58" s="33"/>
      <c r="K58" s="34"/>
      <c r="L58" s="33"/>
      <c r="M58" s="34"/>
      <c r="N58" s="34"/>
      <c r="O58" s="35"/>
    </row>
    <row r="59" spans="1:15">
      <c r="A59" s="32"/>
      <c r="B59" s="32"/>
      <c r="C59" s="32"/>
      <c r="D59" s="32"/>
      <c r="E59" s="32"/>
      <c r="F59" s="32"/>
      <c r="G59" s="33"/>
      <c r="H59" s="33"/>
      <c r="I59" s="33"/>
      <c r="J59" s="33"/>
      <c r="K59" s="34"/>
      <c r="L59" s="33"/>
      <c r="M59" s="34"/>
      <c r="N59" s="34"/>
      <c r="O59" s="35"/>
    </row>
    <row r="60" spans="1:15">
      <c r="A60" s="32"/>
      <c r="B60" s="32"/>
      <c r="C60" s="32"/>
      <c r="D60" s="32"/>
      <c r="E60" s="32"/>
      <c r="F60" s="32"/>
      <c r="G60" s="33"/>
      <c r="H60" s="33"/>
      <c r="I60" s="33"/>
      <c r="J60" s="33"/>
      <c r="K60" s="34"/>
      <c r="L60" s="33"/>
      <c r="M60" s="34"/>
      <c r="N60" s="34"/>
      <c r="O60" s="35"/>
    </row>
    <row r="61" spans="1:15">
      <c r="A61" s="32"/>
      <c r="B61" s="32"/>
      <c r="C61" s="32"/>
      <c r="D61" s="32"/>
      <c r="E61" s="32"/>
      <c r="F61" s="32"/>
      <c r="G61" s="33"/>
      <c r="H61" s="33"/>
      <c r="I61" s="33"/>
      <c r="J61" s="33"/>
      <c r="K61" s="34"/>
      <c r="L61" s="33"/>
      <c r="M61" s="34"/>
      <c r="N61" s="34"/>
      <c r="O61" s="35"/>
    </row>
    <row r="62" spans="1:15">
      <c r="A62" s="32"/>
      <c r="B62" s="32"/>
      <c r="C62" s="32"/>
      <c r="D62" s="32"/>
      <c r="E62" s="32"/>
      <c r="F62" s="32"/>
      <c r="G62" s="33"/>
      <c r="H62" s="33"/>
      <c r="I62" s="33"/>
      <c r="J62" s="33"/>
      <c r="K62" s="34"/>
      <c r="L62" s="33"/>
      <c r="M62" s="34"/>
      <c r="N62" s="34"/>
      <c r="O62" s="35"/>
    </row>
    <row r="63" spans="1:15">
      <c r="A63" s="32"/>
      <c r="B63" s="32"/>
      <c r="C63" s="32"/>
      <c r="D63" s="32"/>
      <c r="E63" s="32"/>
      <c r="F63" s="32"/>
      <c r="G63" s="33"/>
      <c r="H63" s="33"/>
      <c r="I63" s="33"/>
      <c r="J63" s="33"/>
      <c r="K63" s="34"/>
      <c r="L63" s="33"/>
      <c r="M63" s="34"/>
      <c r="N63" s="34"/>
      <c r="O63" s="35"/>
    </row>
    <row r="64" spans="1:15">
      <c r="A64" s="32"/>
      <c r="B64" s="32"/>
      <c r="C64" s="32"/>
      <c r="D64" s="32"/>
      <c r="E64" s="32"/>
      <c r="F64" s="32"/>
      <c r="G64" s="33"/>
      <c r="H64" s="33"/>
      <c r="I64" s="33"/>
      <c r="J64" s="33"/>
      <c r="K64" s="34"/>
      <c r="L64" s="33"/>
      <c r="M64" s="34"/>
      <c r="N64" s="34"/>
      <c r="O64" s="35"/>
    </row>
    <row r="65" spans="1:15">
      <c r="A65" s="32"/>
      <c r="B65" s="32"/>
      <c r="C65" s="32"/>
      <c r="D65" s="32"/>
      <c r="E65" s="32"/>
      <c r="F65" s="32"/>
      <c r="G65" s="33"/>
      <c r="H65" s="33"/>
      <c r="I65" s="33"/>
      <c r="J65" s="33"/>
      <c r="K65" s="34"/>
      <c r="L65" s="33"/>
      <c r="M65" s="34"/>
      <c r="N65" s="34"/>
      <c r="O65" s="35"/>
    </row>
    <row r="66" spans="1:15">
      <c r="A66" s="32"/>
      <c r="B66" s="32"/>
      <c r="C66" s="32"/>
      <c r="D66" s="32"/>
      <c r="E66" s="32"/>
      <c r="F66" s="32"/>
      <c r="G66" s="33"/>
      <c r="H66" s="33"/>
      <c r="I66" s="33"/>
      <c r="J66" s="33"/>
      <c r="K66" s="34"/>
      <c r="L66" s="33"/>
      <c r="M66" s="34"/>
      <c r="N66" s="34"/>
      <c r="O66" s="35"/>
    </row>
    <row r="67" spans="1:15">
      <c r="A67" s="32"/>
      <c r="B67" s="32"/>
      <c r="C67" s="32"/>
      <c r="D67" s="32"/>
      <c r="E67" s="32"/>
      <c r="F67" s="32"/>
      <c r="G67" s="33"/>
      <c r="H67" s="33"/>
      <c r="I67" s="33"/>
      <c r="J67" s="33"/>
      <c r="K67" s="34"/>
      <c r="L67" s="33"/>
      <c r="M67" s="34"/>
      <c r="N67" s="34"/>
      <c r="O67" s="35"/>
    </row>
    <row r="68" spans="1:15">
      <c r="A68" s="32"/>
      <c r="B68" s="32"/>
      <c r="C68" s="32"/>
      <c r="D68" s="32"/>
      <c r="E68" s="32"/>
      <c r="F68" s="32"/>
      <c r="G68" s="33"/>
      <c r="H68" s="33"/>
      <c r="I68" s="33"/>
      <c r="J68" s="33"/>
      <c r="K68" s="34"/>
      <c r="L68" s="33"/>
      <c r="M68" s="34"/>
      <c r="N68" s="34"/>
      <c r="O68" s="35"/>
    </row>
    <row r="69" spans="1:15">
      <c r="A69" s="32"/>
      <c r="B69" s="32"/>
      <c r="C69" s="32"/>
      <c r="D69" s="32"/>
      <c r="E69" s="32"/>
      <c r="F69" s="32"/>
      <c r="G69" s="33"/>
      <c r="H69" s="33"/>
      <c r="I69" s="33"/>
      <c r="J69" s="33"/>
      <c r="K69" s="34"/>
      <c r="L69" s="33"/>
      <c r="M69" s="34"/>
      <c r="N69" s="34"/>
      <c r="O69" s="35"/>
    </row>
    <row r="70" spans="1:15">
      <c r="A70" s="32"/>
      <c r="B70" s="32"/>
      <c r="C70" s="32"/>
      <c r="D70" s="32"/>
      <c r="E70" s="32"/>
      <c r="F70" s="32"/>
      <c r="G70" s="33"/>
      <c r="H70" s="33"/>
      <c r="I70" s="33"/>
      <c r="J70" s="33"/>
      <c r="K70" s="34"/>
      <c r="L70" s="33"/>
      <c r="M70" s="34"/>
      <c r="N70" s="34"/>
      <c r="O70" s="35"/>
    </row>
    <row r="71" spans="1:15">
      <c r="A71" s="32"/>
      <c r="B71" s="32"/>
      <c r="C71" s="32"/>
      <c r="D71" s="32"/>
      <c r="E71" s="32"/>
      <c r="F71" s="32"/>
      <c r="G71" s="33"/>
      <c r="H71" s="33"/>
      <c r="I71" s="33"/>
      <c r="J71" s="33"/>
      <c r="K71" s="34"/>
      <c r="L71" s="33"/>
      <c r="M71" s="34"/>
      <c r="N71" s="34"/>
      <c r="O71" s="35"/>
    </row>
    <row r="72" spans="1:15">
      <c r="A72" s="32"/>
      <c r="B72" s="32"/>
      <c r="C72" s="32"/>
      <c r="D72" s="32"/>
      <c r="E72" s="32"/>
      <c r="F72" s="32"/>
      <c r="G72" s="33"/>
      <c r="H72" s="33"/>
      <c r="I72" s="33"/>
      <c r="J72" s="33"/>
      <c r="K72" s="34"/>
      <c r="L72" s="33"/>
      <c r="M72" s="34"/>
      <c r="N72" s="34"/>
      <c r="O72" s="35"/>
    </row>
    <row r="73" spans="1:15">
      <c r="A73" s="32"/>
      <c r="B73" s="32"/>
      <c r="C73" s="32"/>
      <c r="D73" s="32"/>
      <c r="E73" s="32"/>
      <c r="F73" s="32"/>
      <c r="G73" s="33"/>
      <c r="H73" s="33"/>
      <c r="I73" s="33"/>
      <c r="J73" s="33"/>
      <c r="K73" s="34"/>
      <c r="L73" s="33"/>
      <c r="M73" s="34"/>
      <c r="N73" s="34"/>
      <c r="O73" s="35"/>
    </row>
    <row r="74" spans="1:15">
      <c r="A74" s="32"/>
      <c r="B74" s="32"/>
      <c r="C74" s="32"/>
      <c r="D74" s="32"/>
      <c r="E74" s="32"/>
      <c r="F74" s="32"/>
      <c r="G74" s="33"/>
      <c r="H74" s="33"/>
      <c r="I74" s="33"/>
      <c r="J74" s="33"/>
      <c r="K74" s="34"/>
      <c r="L74" s="33"/>
      <c r="M74" s="34"/>
      <c r="N74" s="34"/>
      <c r="O74" s="35"/>
    </row>
    <row r="75" spans="1:15">
      <c r="A75" s="32"/>
      <c r="B75" s="32"/>
      <c r="C75" s="32"/>
      <c r="D75" s="32"/>
      <c r="E75" s="32"/>
      <c r="F75" s="32"/>
      <c r="G75" s="33"/>
      <c r="H75" s="33"/>
      <c r="I75" s="33"/>
      <c r="J75" s="33"/>
      <c r="K75" s="34"/>
      <c r="L75" s="33"/>
      <c r="M75" s="34"/>
      <c r="N75" s="34"/>
      <c r="O75" s="35"/>
    </row>
    <row r="76" spans="1:15">
      <c r="A76" s="32"/>
      <c r="B76" s="32"/>
      <c r="C76" s="32"/>
      <c r="D76" s="32"/>
      <c r="E76" s="32"/>
      <c r="F76" s="32"/>
      <c r="G76" s="33"/>
      <c r="H76" s="33"/>
      <c r="I76" s="33"/>
      <c r="J76" s="33"/>
      <c r="K76" s="34"/>
      <c r="L76" s="33"/>
      <c r="M76" s="34"/>
      <c r="N76" s="34"/>
      <c r="O76" s="35"/>
    </row>
    <row r="77" spans="1:15">
      <c r="A77" s="32"/>
      <c r="B77" s="32"/>
      <c r="C77" s="32"/>
      <c r="D77" s="32"/>
      <c r="E77" s="32"/>
      <c r="F77" s="32"/>
      <c r="G77" s="33"/>
      <c r="H77" s="33"/>
      <c r="I77" s="33"/>
      <c r="J77" s="33"/>
      <c r="K77" s="34"/>
      <c r="L77" s="33"/>
      <c r="M77" s="34"/>
      <c r="N77" s="34"/>
      <c r="O77" s="35"/>
    </row>
    <row r="78" spans="1:15">
      <c r="A78" s="32"/>
      <c r="B78" s="32"/>
      <c r="C78" s="32"/>
      <c r="D78" s="32"/>
      <c r="E78" s="32"/>
      <c r="F78" s="32"/>
      <c r="G78" s="33"/>
      <c r="H78" s="33"/>
      <c r="I78" s="33"/>
      <c r="J78" s="33"/>
      <c r="K78" s="34"/>
      <c r="L78" s="33"/>
      <c r="M78" s="34"/>
      <c r="N78" s="34"/>
      <c r="O78" s="35"/>
    </row>
    <row r="79" spans="1:15">
      <c r="A79" s="32"/>
      <c r="B79" s="32"/>
      <c r="C79" s="32"/>
      <c r="D79" s="32"/>
      <c r="E79" s="32"/>
      <c r="F79" s="32"/>
      <c r="G79" s="33"/>
      <c r="H79" s="33"/>
      <c r="I79" s="33"/>
      <c r="J79" s="33"/>
      <c r="K79" s="34"/>
      <c r="L79" s="33"/>
      <c r="M79" s="34"/>
      <c r="N79" s="34"/>
      <c r="O79" s="35"/>
    </row>
    <row r="80" spans="1:15">
      <c r="A80" s="32"/>
      <c r="B80" s="32"/>
      <c r="C80" s="32"/>
      <c r="D80" s="32"/>
      <c r="E80" s="32"/>
      <c r="F80" s="32"/>
      <c r="G80" s="33"/>
      <c r="H80" s="33"/>
      <c r="I80" s="33"/>
      <c r="J80" s="33"/>
      <c r="K80" s="34"/>
      <c r="L80" s="33"/>
      <c r="M80" s="34"/>
      <c r="N80" s="34"/>
      <c r="O80" s="35"/>
    </row>
    <row r="81" spans="1:15">
      <c r="A81" s="32"/>
      <c r="B81" s="32"/>
      <c r="C81" s="32"/>
      <c r="D81" s="32"/>
      <c r="E81" s="32"/>
      <c r="F81" s="32"/>
      <c r="G81" s="33"/>
      <c r="H81" s="33"/>
      <c r="I81" s="33"/>
      <c r="J81" s="33"/>
      <c r="K81" s="34"/>
      <c r="L81" s="33"/>
      <c r="M81" s="34"/>
      <c r="N81" s="34"/>
      <c r="O81" s="35"/>
    </row>
    <row r="82" spans="1:15">
      <c r="A82" s="32"/>
      <c r="B82" s="32"/>
      <c r="C82" s="32"/>
      <c r="D82" s="32"/>
      <c r="E82" s="32"/>
      <c r="F82" s="32"/>
      <c r="G82" s="33"/>
      <c r="H82" s="33"/>
      <c r="I82" s="33"/>
      <c r="J82" s="33"/>
      <c r="K82" s="34"/>
      <c r="L82" s="33"/>
      <c r="M82" s="34"/>
      <c r="N82" s="34"/>
      <c r="O82" s="35"/>
    </row>
    <row r="83" spans="1:15">
      <c r="A83" s="32"/>
      <c r="B83" s="32"/>
      <c r="C83" s="32"/>
      <c r="D83" s="32"/>
      <c r="E83" s="32"/>
      <c r="F83" s="32"/>
      <c r="G83" s="33"/>
      <c r="H83" s="33"/>
      <c r="I83" s="33"/>
      <c r="J83" s="33"/>
      <c r="K83" s="34"/>
      <c r="L83" s="33"/>
      <c r="M83" s="34"/>
      <c r="N83" s="34"/>
      <c r="O83" s="35"/>
    </row>
    <row r="84" spans="1:15">
      <c r="A84" s="32"/>
      <c r="B84" s="32"/>
      <c r="C84" s="32"/>
      <c r="D84" s="32"/>
      <c r="E84" s="32"/>
      <c r="F84" s="32"/>
      <c r="G84" s="33"/>
      <c r="H84" s="33"/>
      <c r="I84" s="33"/>
      <c r="J84" s="33"/>
      <c r="K84" s="34"/>
      <c r="L84" s="33"/>
      <c r="M84" s="34"/>
      <c r="N84" s="34"/>
      <c r="O84" s="35"/>
    </row>
    <row r="85" spans="1:15">
      <c r="A85" s="32"/>
      <c r="B85" s="32"/>
      <c r="C85" s="32"/>
      <c r="D85" s="32"/>
      <c r="E85" s="32"/>
      <c r="F85" s="32"/>
      <c r="G85" s="33"/>
      <c r="H85" s="33"/>
      <c r="I85" s="33"/>
      <c r="J85" s="33"/>
      <c r="K85" s="34"/>
      <c r="L85" s="33"/>
      <c r="M85" s="34"/>
      <c r="N85" s="34"/>
      <c r="O85" s="35"/>
    </row>
    <row r="86" spans="1:15">
      <c r="A86" s="32"/>
      <c r="B86" s="32"/>
      <c r="C86" s="32"/>
      <c r="D86" s="32"/>
      <c r="E86" s="32"/>
      <c r="F86" s="32"/>
      <c r="G86" s="33"/>
      <c r="H86" s="33"/>
      <c r="I86" s="33"/>
      <c r="J86" s="33"/>
      <c r="K86" s="34"/>
      <c r="L86" s="33"/>
      <c r="M86" s="34"/>
      <c r="N86" s="34"/>
      <c r="O86" s="35"/>
    </row>
    <row r="87" spans="1:15">
      <c r="A87" s="32"/>
      <c r="B87" s="32"/>
      <c r="C87" s="32"/>
      <c r="D87" s="32"/>
      <c r="E87" s="32"/>
      <c r="F87" s="32"/>
      <c r="G87" s="33"/>
      <c r="H87" s="33"/>
      <c r="I87" s="33"/>
      <c r="J87" s="33"/>
      <c r="K87" s="34"/>
      <c r="L87" s="33"/>
      <c r="M87" s="34"/>
      <c r="N87" s="34"/>
      <c r="O87" s="35"/>
    </row>
    <row r="88" spans="1:15">
      <c r="A88" s="32"/>
      <c r="B88" s="32"/>
      <c r="C88" s="32"/>
      <c r="D88" s="32"/>
      <c r="E88" s="32"/>
      <c r="F88" s="32"/>
      <c r="G88" s="33"/>
      <c r="H88" s="33"/>
      <c r="I88" s="33"/>
      <c r="J88" s="33"/>
      <c r="K88" s="34"/>
      <c r="L88" s="33"/>
      <c r="M88" s="34"/>
      <c r="N88" s="34"/>
      <c r="O88" s="35"/>
    </row>
    <row r="89" spans="1:15">
      <c r="A89" s="32"/>
      <c r="B89" s="32"/>
      <c r="C89" s="32"/>
      <c r="D89" s="32"/>
      <c r="E89" s="32"/>
      <c r="F89" s="32"/>
      <c r="G89" s="33"/>
      <c r="H89" s="33"/>
      <c r="I89" s="33"/>
      <c r="J89" s="33"/>
      <c r="K89" s="34"/>
      <c r="L89" s="33"/>
      <c r="M89" s="34"/>
      <c r="N89" s="34"/>
      <c r="O89" s="35"/>
    </row>
    <row r="90" spans="1:15">
      <c r="A90" s="32"/>
      <c r="B90" s="32"/>
      <c r="C90" s="32"/>
      <c r="D90" s="32"/>
      <c r="E90" s="32"/>
      <c r="F90" s="32"/>
      <c r="G90" s="33"/>
      <c r="H90" s="33"/>
      <c r="I90" s="33"/>
      <c r="J90" s="33"/>
      <c r="K90" s="34"/>
      <c r="L90" s="33"/>
      <c r="M90" s="34"/>
      <c r="N90" s="34"/>
      <c r="O90" s="35"/>
    </row>
    <row r="91" spans="1:15">
      <c r="A91" s="32"/>
      <c r="B91" s="32"/>
      <c r="C91" s="32"/>
      <c r="D91" s="32"/>
      <c r="E91" s="32"/>
      <c r="F91" s="32"/>
      <c r="G91" s="33"/>
      <c r="H91" s="33"/>
      <c r="I91" s="33"/>
      <c r="J91" s="33"/>
      <c r="K91" s="34"/>
      <c r="L91" s="33"/>
      <c r="M91" s="34"/>
      <c r="N91" s="34"/>
      <c r="O91" s="35"/>
    </row>
    <row r="92" spans="1:15">
      <c r="A92" s="32"/>
      <c r="B92" s="32"/>
      <c r="C92" s="32"/>
      <c r="D92" s="32"/>
      <c r="E92" s="32"/>
      <c r="F92" s="32"/>
      <c r="G92" s="33"/>
      <c r="H92" s="33"/>
      <c r="I92" s="33"/>
      <c r="J92" s="33"/>
      <c r="K92" s="34"/>
      <c r="L92" s="33"/>
      <c r="M92" s="34"/>
      <c r="N92" s="34"/>
      <c r="O92" s="35"/>
    </row>
    <row r="93" spans="1:15">
      <c r="A93" s="32"/>
      <c r="B93" s="32"/>
      <c r="C93" s="32"/>
      <c r="D93" s="32"/>
      <c r="E93" s="32"/>
      <c r="F93" s="32"/>
      <c r="G93" s="33"/>
      <c r="H93" s="33"/>
      <c r="I93" s="33"/>
      <c r="J93" s="33"/>
      <c r="K93" s="34"/>
      <c r="L93" s="33"/>
      <c r="M93" s="34"/>
      <c r="N93" s="34"/>
      <c r="O93" s="35"/>
    </row>
    <row r="94" spans="1:15">
      <c r="A94" s="32"/>
      <c r="B94" s="32"/>
      <c r="C94" s="32"/>
      <c r="D94" s="32"/>
      <c r="E94" s="32"/>
      <c r="F94" s="32"/>
      <c r="G94" s="33"/>
      <c r="H94" s="33"/>
      <c r="I94" s="33"/>
      <c r="J94" s="33"/>
      <c r="K94" s="34"/>
      <c r="L94" s="33"/>
      <c r="M94" s="34"/>
      <c r="N94" s="34"/>
      <c r="O94" s="35"/>
    </row>
    <row r="95" spans="1:15">
      <c r="A95" s="32"/>
      <c r="B95" s="32"/>
      <c r="C95" s="32"/>
      <c r="D95" s="32"/>
      <c r="E95" s="32"/>
      <c r="F95" s="32"/>
      <c r="G95" s="33"/>
      <c r="H95" s="33"/>
      <c r="I95" s="33"/>
      <c r="J95" s="33"/>
      <c r="K95" s="34"/>
      <c r="L95" s="33"/>
      <c r="M95" s="34"/>
      <c r="N95" s="34"/>
      <c r="O95" s="35"/>
    </row>
    <row r="96" spans="1:15">
      <c r="A96" s="32"/>
      <c r="B96" s="32"/>
      <c r="C96" s="32"/>
      <c r="D96" s="32"/>
      <c r="E96" s="32"/>
      <c r="F96" s="32"/>
      <c r="G96" s="33"/>
      <c r="H96" s="33"/>
      <c r="I96" s="33"/>
      <c r="J96" s="33"/>
      <c r="K96" s="34"/>
      <c r="L96" s="33"/>
      <c r="M96" s="34"/>
      <c r="N96" s="34"/>
      <c r="O96" s="35"/>
    </row>
    <row r="97" spans="1:15">
      <c r="A97" s="32"/>
      <c r="B97" s="32"/>
      <c r="C97" s="32"/>
      <c r="D97" s="32"/>
      <c r="E97" s="32"/>
      <c r="F97" s="32"/>
      <c r="G97" s="33"/>
      <c r="H97" s="33"/>
      <c r="I97" s="33"/>
      <c r="J97" s="33"/>
      <c r="K97" s="34"/>
      <c r="L97" s="33"/>
      <c r="M97" s="34"/>
      <c r="N97" s="34"/>
      <c r="O97" s="35"/>
    </row>
    <row r="98" spans="1:15">
      <c r="A98" s="32"/>
      <c r="B98" s="32"/>
      <c r="C98" s="32"/>
      <c r="D98" s="32"/>
      <c r="E98" s="32"/>
      <c r="F98" s="32"/>
      <c r="G98" s="33"/>
      <c r="H98" s="33"/>
      <c r="I98" s="33"/>
      <c r="J98" s="33"/>
      <c r="K98" s="34"/>
      <c r="L98" s="33"/>
      <c r="M98" s="34"/>
      <c r="N98" s="34"/>
      <c r="O98" s="35"/>
    </row>
    <row r="99" spans="1:15">
      <c r="A99" s="32"/>
      <c r="B99" s="32"/>
      <c r="C99" s="32"/>
      <c r="D99" s="32"/>
      <c r="E99" s="32"/>
      <c r="F99" s="32"/>
      <c r="G99" s="33"/>
      <c r="H99" s="33"/>
      <c r="I99" s="33"/>
      <c r="J99" s="33"/>
      <c r="K99" s="34"/>
      <c r="L99" s="33"/>
      <c r="M99" s="34"/>
      <c r="N99" s="34"/>
      <c r="O99" s="35"/>
    </row>
    <row r="100" spans="1:15">
      <c r="A100" s="32"/>
      <c r="B100" s="32"/>
      <c r="C100" s="32"/>
      <c r="D100" s="32"/>
      <c r="E100" s="32"/>
      <c r="F100" s="32"/>
      <c r="G100" s="33"/>
      <c r="H100" s="33"/>
      <c r="I100" s="33"/>
      <c r="J100" s="33"/>
      <c r="K100" s="34"/>
      <c r="L100" s="33"/>
      <c r="M100" s="34"/>
      <c r="N100" s="34"/>
      <c r="O100" s="35"/>
    </row>
    <row r="101" spans="1:15">
      <c r="A101" s="32"/>
      <c r="B101" s="32"/>
      <c r="C101" s="32"/>
      <c r="D101" s="32"/>
      <c r="E101" s="32"/>
      <c r="F101" s="32"/>
      <c r="G101" s="33"/>
      <c r="H101" s="33"/>
      <c r="I101" s="33"/>
      <c r="J101" s="33"/>
      <c r="K101" s="34"/>
      <c r="L101" s="33"/>
      <c r="M101" s="34"/>
      <c r="N101" s="34"/>
      <c r="O101" s="35"/>
    </row>
    <row r="102" spans="1:15">
      <c r="A102" s="32"/>
      <c r="B102" s="32"/>
      <c r="C102" s="32"/>
      <c r="D102" s="32"/>
      <c r="E102" s="32"/>
      <c r="F102" s="32"/>
      <c r="G102" s="33"/>
      <c r="H102" s="33"/>
      <c r="I102" s="33"/>
      <c r="J102" s="33"/>
      <c r="K102" s="34"/>
      <c r="L102" s="33"/>
      <c r="M102" s="34"/>
      <c r="N102" s="34"/>
      <c r="O102" s="35"/>
    </row>
    <row r="103" spans="1:15">
      <c r="A103" s="32"/>
      <c r="B103" s="32"/>
      <c r="C103" s="32"/>
      <c r="D103" s="32"/>
      <c r="E103" s="32"/>
      <c r="F103" s="32"/>
      <c r="G103" s="33"/>
      <c r="H103" s="33"/>
      <c r="I103" s="33"/>
      <c r="J103" s="33"/>
      <c r="K103" s="34"/>
      <c r="L103" s="33"/>
      <c r="M103" s="34"/>
      <c r="N103" s="34"/>
      <c r="O103" s="35"/>
    </row>
    <row r="104" spans="1:15">
      <c r="A104" s="32"/>
      <c r="B104" s="32"/>
      <c r="C104" s="32"/>
      <c r="D104" s="32"/>
      <c r="E104" s="32"/>
      <c r="F104" s="32"/>
      <c r="G104" s="33"/>
      <c r="H104" s="33"/>
      <c r="I104" s="33"/>
      <c r="J104" s="33"/>
      <c r="K104" s="34"/>
      <c r="L104" s="33"/>
      <c r="M104" s="34"/>
      <c r="N104" s="34"/>
      <c r="O104" s="35"/>
    </row>
    <row r="105" spans="1:15">
      <c r="A105" s="32"/>
      <c r="B105" s="32"/>
      <c r="C105" s="32"/>
      <c r="D105" s="32"/>
      <c r="E105" s="32"/>
      <c r="F105" s="32"/>
      <c r="G105" s="33"/>
      <c r="H105" s="33"/>
      <c r="I105" s="33"/>
      <c r="J105" s="33"/>
      <c r="K105" s="34"/>
      <c r="L105" s="33"/>
      <c r="M105" s="34"/>
      <c r="N105" s="34"/>
      <c r="O105" s="35"/>
    </row>
    <row r="106" spans="1:15">
      <c r="A106" s="32"/>
      <c r="B106" s="32"/>
      <c r="C106" s="32"/>
      <c r="D106" s="32"/>
      <c r="E106" s="32"/>
      <c r="F106" s="32"/>
      <c r="G106" s="33"/>
      <c r="H106" s="33"/>
      <c r="I106" s="33"/>
      <c r="J106" s="33"/>
      <c r="K106" s="34"/>
      <c r="L106" s="33"/>
      <c r="M106" s="34"/>
      <c r="N106" s="34"/>
      <c r="O106" s="35"/>
    </row>
    <row r="107" spans="1:15">
      <c r="A107" s="32"/>
      <c r="B107" s="32"/>
      <c r="C107" s="32"/>
      <c r="D107" s="32"/>
      <c r="E107" s="32"/>
      <c r="F107" s="32"/>
      <c r="G107" s="33"/>
      <c r="H107" s="33"/>
      <c r="I107" s="33"/>
      <c r="J107" s="33"/>
      <c r="K107" s="34"/>
      <c r="L107" s="33"/>
      <c r="M107" s="34"/>
      <c r="N107" s="34"/>
      <c r="O107" s="35"/>
    </row>
    <row r="108" spans="1:15">
      <c r="A108" s="32"/>
      <c r="B108" s="32"/>
      <c r="C108" s="32"/>
      <c r="D108" s="32"/>
      <c r="E108" s="32"/>
      <c r="F108" s="32"/>
      <c r="G108" s="33"/>
      <c r="H108" s="33"/>
      <c r="I108" s="33"/>
      <c r="J108" s="33"/>
      <c r="K108" s="34"/>
      <c r="L108" s="33"/>
      <c r="M108" s="34"/>
      <c r="N108" s="34"/>
      <c r="O108" s="35"/>
    </row>
    <row r="109" spans="1:15">
      <c r="A109" s="32"/>
      <c r="B109" s="32"/>
      <c r="C109" s="32"/>
      <c r="D109" s="32"/>
      <c r="E109" s="32"/>
      <c r="F109" s="32"/>
      <c r="G109" s="33"/>
      <c r="H109" s="33"/>
      <c r="I109" s="33"/>
      <c r="J109" s="33"/>
      <c r="K109" s="34"/>
      <c r="L109" s="33"/>
      <c r="M109" s="34"/>
      <c r="N109" s="34"/>
      <c r="O109" s="35"/>
    </row>
    <row r="110" spans="1:15">
      <c r="A110" s="32"/>
      <c r="B110" s="32"/>
      <c r="C110" s="32"/>
      <c r="D110" s="32"/>
      <c r="E110" s="32"/>
      <c r="F110" s="32"/>
      <c r="G110" s="33"/>
      <c r="H110" s="33"/>
      <c r="I110" s="33"/>
      <c r="J110" s="33"/>
      <c r="K110" s="34"/>
      <c r="L110" s="33"/>
      <c r="M110" s="34"/>
      <c r="N110" s="34"/>
      <c r="O110" s="35"/>
    </row>
    <row r="111" spans="1:15">
      <c r="A111" s="32"/>
      <c r="B111" s="32"/>
      <c r="C111" s="32"/>
      <c r="D111" s="32"/>
      <c r="E111" s="32"/>
      <c r="F111" s="32"/>
      <c r="G111" s="33"/>
      <c r="H111" s="33"/>
      <c r="I111" s="33"/>
      <c r="J111" s="33"/>
      <c r="K111" s="34"/>
      <c r="L111" s="33"/>
      <c r="M111" s="34"/>
      <c r="N111" s="34"/>
      <c r="O111" s="35"/>
    </row>
    <row r="112" spans="1:15">
      <c r="A112" s="32"/>
      <c r="B112" s="32"/>
      <c r="C112" s="32"/>
      <c r="D112" s="32"/>
      <c r="E112" s="32"/>
      <c r="F112" s="32"/>
      <c r="G112" s="33"/>
      <c r="H112" s="33"/>
      <c r="I112" s="33"/>
      <c r="J112" s="33"/>
      <c r="K112" s="34"/>
      <c r="L112" s="33"/>
      <c r="M112" s="34"/>
      <c r="N112" s="34"/>
      <c r="O112" s="35"/>
    </row>
    <row r="113" spans="1:15">
      <c r="A113" s="32"/>
      <c r="B113" s="32"/>
      <c r="C113" s="32"/>
      <c r="D113" s="32"/>
      <c r="E113" s="32"/>
      <c r="F113" s="32"/>
      <c r="G113" s="33"/>
      <c r="H113" s="33"/>
      <c r="I113" s="33"/>
      <c r="J113" s="33"/>
      <c r="K113" s="34"/>
      <c r="L113" s="33"/>
      <c r="M113" s="34"/>
      <c r="N113" s="34"/>
      <c r="O113" s="35"/>
    </row>
    <row r="114" spans="1:15">
      <c r="A114" s="32"/>
      <c r="B114" s="32"/>
      <c r="C114" s="32"/>
      <c r="D114" s="32"/>
      <c r="E114" s="32"/>
      <c r="F114" s="32"/>
      <c r="G114" s="33"/>
      <c r="H114" s="33"/>
      <c r="I114" s="33"/>
      <c r="J114" s="33"/>
      <c r="K114" s="34"/>
      <c r="L114" s="33"/>
      <c r="M114" s="34"/>
      <c r="N114" s="34"/>
      <c r="O114" s="35"/>
    </row>
    <row r="115" spans="1:15">
      <c r="A115" s="32"/>
      <c r="B115" s="32"/>
      <c r="C115" s="32"/>
      <c r="D115" s="32"/>
      <c r="E115" s="32"/>
      <c r="F115" s="32"/>
      <c r="G115" s="33"/>
      <c r="H115" s="33"/>
      <c r="I115" s="33"/>
      <c r="J115" s="33"/>
      <c r="K115" s="34"/>
      <c r="L115" s="33"/>
      <c r="M115" s="34"/>
      <c r="N115" s="34"/>
      <c r="O115" s="35"/>
    </row>
    <row r="116" spans="1:15">
      <c r="A116" s="32"/>
      <c r="B116" s="32"/>
      <c r="C116" s="32"/>
      <c r="D116" s="32"/>
      <c r="E116" s="32"/>
      <c r="F116" s="32"/>
      <c r="G116" s="33"/>
      <c r="H116" s="33"/>
      <c r="I116" s="33"/>
      <c r="J116" s="33"/>
      <c r="K116" s="34"/>
      <c r="L116" s="33"/>
      <c r="M116" s="34"/>
      <c r="N116" s="34"/>
      <c r="O116" s="35"/>
    </row>
    <row r="117" spans="1:15">
      <c r="A117" s="32"/>
      <c r="B117" s="32"/>
      <c r="C117" s="32"/>
      <c r="D117" s="32"/>
      <c r="E117" s="32"/>
      <c r="F117" s="32"/>
      <c r="G117" s="33"/>
      <c r="H117" s="33"/>
      <c r="I117" s="33"/>
      <c r="J117" s="33"/>
      <c r="K117" s="34"/>
      <c r="L117" s="33"/>
      <c r="M117" s="34"/>
      <c r="N117" s="34"/>
      <c r="O117" s="35"/>
    </row>
    <row r="118" spans="1:15">
      <c r="A118" s="32"/>
      <c r="B118" s="32"/>
      <c r="C118" s="32"/>
      <c r="D118" s="32"/>
      <c r="E118" s="32"/>
      <c r="F118" s="32"/>
      <c r="G118" s="33"/>
      <c r="H118" s="33"/>
      <c r="I118" s="33"/>
      <c r="J118" s="33"/>
      <c r="K118" s="34"/>
      <c r="L118" s="33"/>
      <c r="M118" s="34"/>
      <c r="N118" s="34"/>
      <c r="O118" s="35"/>
    </row>
    <row r="119" spans="1:15">
      <c r="A119" s="32"/>
      <c r="B119" s="32"/>
      <c r="C119" s="32"/>
      <c r="D119" s="32"/>
      <c r="E119" s="32"/>
      <c r="F119" s="32"/>
      <c r="G119" s="33"/>
      <c r="H119" s="33"/>
      <c r="I119" s="33"/>
      <c r="J119" s="33"/>
      <c r="K119" s="34"/>
      <c r="L119" s="33"/>
      <c r="M119" s="34"/>
      <c r="N119" s="34"/>
      <c r="O119" s="35"/>
    </row>
    <row r="120" spans="1:15">
      <c r="A120" s="32"/>
      <c r="B120" s="32"/>
      <c r="C120" s="32"/>
      <c r="D120" s="32"/>
      <c r="E120" s="32"/>
      <c r="F120" s="32"/>
      <c r="G120" s="33"/>
      <c r="H120" s="33"/>
      <c r="I120" s="33"/>
      <c r="J120" s="33"/>
      <c r="K120" s="34"/>
      <c r="L120" s="33"/>
      <c r="M120" s="34"/>
      <c r="N120" s="34"/>
      <c r="O120" s="35"/>
    </row>
    <row r="121" spans="1:15">
      <c r="A121" s="32"/>
      <c r="B121" s="32"/>
      <c r="C121" s="32"/>
      <c r="D121" s="32"/>
      <c r="E121" s="32"/>
      <c r="F121" s="32"/>
      <c r="G121" s="33"/>
      <c r="H121" s="33"/>
      <c r="I121" s="33"/>
      <c r="J121" s="33"/>
      <c r="K121" s="34"/>
      <c r="L121" s="33"/>
      <c r="M121" s="34"/>
      <c r="N121" s="34"/>
      <c r="O121" s="35"/>
    </row>
    <row r="122" spans="1:15">
      <c r="A122" s="32"/>
      <c r="B122" s="32"/>
      <c r="C122" s="32"/>
      <c r="D122" s="32"/>
      <c r="E122" s="32"/>
      <c r="F122" s="32"/>
      <c r="G122" s="33"/>
      <c r="H122" s="33"/>
      <c r="I122" s="33"/>
      <c r="J122" s="33"/>
      <c r="K122" s="34"/>
      <c r="L122" s="33"/>
      <c r="M122" s="34"/>
      <c r="N122" s="34"/>
      <c r="O122" s="35"/>
    </row>
    <row r="123" spans="1:15">
      <c r="A123" s="32"/>
      <c r="B123" s="32"/>
      <c r="C123" s="32"/>
      <c r="D123" s="32"/>
      <c r="E123" s="32"/>
      <c r="F123" s="32"/>
      <c r="G123" s="33"/>
      <c r="H123" s="33"/>
      <c r="I123" s="33"/>
      <c r="J123" s="33"/>
      <c r="K123" s="34"/>
      <c r="L123" s="33"/>
      <c r="M123" s="34"/>
      <c r="N123" s="34"/>
      <c r="O123" s="35"/>
    </row>
    <row r="124" spans="1:15">
      <c r="A124" s="32"/>
      <c r="B124" s="32"/>
      <c r="C124" s="32"/>
      <c r="D124" s="32"/>
      <c r="E124" s="32"/>
      <c r="F124" s="32"/>
      <c r="G124" s="33"/>
      <c r="H124" s="33"/>
      <c r="I124" s="33"/>
      <c r="J124" s="33"/>
      <c r="K124" s="34"/>
      <c r="L124" s="33"/>
      <c r="M124" s="34"/>
      <c r="N124" s="34"/>
      <c r="O124" s="35"/>
    </row>
    <row r="125" spans="1:15">
      <c r="A125" s="32"/>
      <c r="B125" s="32"/>
      <c r="C125" s="32"/>
      <c r="D125" s="32"/>
      <c r="E125" s="32"/>
      <c r="F125" s="32"/>
      <c r="G125" s="33"/>
      <c r="H125" s="33"/>
      <c r="I125" s="33"/>
      <c r="J125" s="33"/>
      <c r="K125" s="34"/>
      <c r="L125" s="33"/>
      <c r="M125" s="34"/>
      <c r="N125" s="34"/>
      <c r="O125" s="35"/>
    </row>
    <row r="126" spans="1:15">
      <c r="A126" s="32"/>
      <c r="B126" s="32"/>
      <c r="C126" s="32"/>
      <c r="D126" s="32"/>
      <c r="E126" s="32"/>
      <c r="F126" s="32"/>
      <c r="G126" s="33"/>
      <c r="H126" s="33"/>
      <c r="I126" s="33"/>
      <c r="J126" s="33"/>
      <c r="K126" s="34"/>
      <c r="L126" s="33"/>
      <c r="M126" s="34"/>
      <c r="N126" s="34"/>
      <c r="O126" s="35"/>
    </row>
    <row r="127" spans="1:15">
      <c r="A127" s="32"/>
      <c r="B127" s="32"/>
      <c r="C127" s="32"/>
      <c r="D127" s="32"/>
      <c r="E127" s="32"/>
      <c r="F127" s="32"/>
      <c r="G127" s="33"/>
      <c r="H127" s="33"/>
      <c r="I127" s="33"/>
      <c r="J127" s="33"/>
      <c r="K127" s="34"/>
      <c r="L127" s="33"/>
      <c r="M127" s="34"/>
      <c r="N127" s="34"/>
      <c r="O127" s="35"/>
    </row>
    <row r="128" spans="1:15">
      <c r="A128" s="32"/>
      <c r="B128" s="32"/>
      <c r="C128" s="32"/>
      <c r="D128" s="32"/>
      <c r="E128" s="32"/>
      <c r="F128" s="32"/>
      <c r="G128" s="33"/>
      <c r="H128" s="33"/>
      <c r="I128" s="33"/>
      <c r="J128" s="33"/>
      <c r="K128" s="34"/>
      <c r="L128" s="33"/>
      <c r="M128" s="34"/>
      <c r="N128" s="34"/>
      <c r="O128" s="35"/>
    </row>
    <row r="129" spans="1:15">
      <c r="A129" s="32"/>
      <c r="B129" s="32"/>
      <c r="C129" s="32"/>
      <c r="D129" s="32"/>
      <c r="E129" s="32"/>
      <c r="F129" s="32"/>
      <c r="G129" s="33"/>
      <c r="H129" s="33"/>
      <c r="I129" s="33"/>
      <c r="J129" s="33"/>
      <c r="K129" s="34"/>
      <c r="L129" s="33"/>
      <c r="M129" s="34"/>
      <c r="N129" s="34"/>
      <c r="O129" s="35"/>
    </row>
    <row r="130" spans="1:15">
      <c r="A130" s="32"/>
      <c r="B130" s="32"/>
      <c r="C130" s="32"/>
      <c r="D130" s="32"/>
      <c r="E130" s="32"/>
      <c r="F130" s="32"/>
      <c r="G130" s="33"/>
      <c r="H130" s="33"/>
      <c r="I130" s="33"/>
      <c r="J130" s="33"/>
      <c r="K130" s="34"/>
      <c r="L130" s="33"/>
      <c r="M130" s="34"/>
      <c r="N130" s="34"/>
      <c r="O130" s="35"/>
    </row>
    <row r="131" spans="1:15">
      <c r="A131" s="32"/>
      <c r="B131" s="32"/>
      <c r="C131" s="32"/>
      <c r="D131" s="32"/>
      <c r="E131" s="32"/>
      <c r="F131" s="32"/>
      <c r="G131" s="33"/>
      <c r="H131" s="33"/>
      <c r="I131" s="33"/>
      <c r="J131" s="33"/>
      <c r="K131" s="34"/>
      <c r="L131" s="33"/>
      <c r="M131" s="34"/>
      <c r="N131" s="34"/>
      <c r="O131" s="35"/>
    </row>
    <row r="132" spans="1:15">
      <c r="A132" s="32"/>
      <c r="B132" s="32"/>
      <c r="C132" s="32"/>
      <c r="D132" s="32"/>
      <c r="E132" s="32"/>
      <c r="F132" s="32"/>
      <c r="G132" s="33"/>
      <c r="H132" s="33"/>
      <c r="I132" s="33"/>
      <c r="J132" s="33"/>
      <c r="K132" s="34"/>
      <c r="L132" s="33"/>
      <c r="M132" s="34"/>
      <c r="N132" s="34"/>
      <c r="O132" s="35"/>
    </row>
    <row r="133" spans="1:15">
      <c r="A133" s="32"/>
      <c r="B133" s="32"/>
      <c r="C133" s="32"/>
      <c r="D133" s="32"/>
      <c r="E133" s="32"/>
      <c r="F133" s="32"/>
      <c r="G133" s="33"/>
      <c r="H133" s="33"/>
      <c r="I133" s="33"/>
      <c r="J133" s="33"/>
      <c r="K133" s="34"/>
      <c r="L133" s="33"/>
      <c r="M133" s="34"/>
      <c r="N133" s="34"/>
      <c r="O133" s="35"/>
    </row>
    <row r="134" spans="1:15">
      <c r="A134" s="32"/>
      <c r="B134" s="32"/>
      <c r="C134" s="32"/>
      <c r="D134" s="32"/>
      <c r="E134" s="32"/>
      <c r="F134" s="32"/>
      <c r="G134" s="33"/>
      <c r="H134" s="33"/>
      <c r="I134" s="33"/>
      <c r="J134" s="33"/>
      <c r="K134" s="34"/>
      <c r="L134" s="33"/>
      <c r="M134" s="34"/>
      <c r="N134" s="34"/>
      <c r="O134" s="35"/>
    </row>
    <row r="135" spans="1:15">
      <c r="A135" s="32"/>
      <c r="B135" s="32"/>
      <c r="C135" s="32"/>
      <c r="D135" s="32"/>
      <c r="E135" s="32"/>
      <c r="F135" s="32"/>
      <c r="G135" s="33"/>
      <c r="H135" s="33"/>
      <c r="I135" s="33"/>
      <c r="J135" s="33"/>
      <c r="K135" s="34"/>
      <c r="L135" s="33"/>
      <c r="M135" s="34"/>
      <c r="N135" s="34"/>
      <c r="O135" s="35"/>
    </row>
    <row r="136" spans="1:15">
      <c r="A136" s="32"/>
      <c r="B136" s="32"/>
      <c r="C136" s="32"/>
      <c r="D136" s="32"/>
      <c r="E136" s="32"/>
      <c r="F136" s="32"/>
      <c r="G136" s="33"/>
      <c r="H136" s="33"/>
      <c r="I136" s="33"/>
      <c r="J136" s="33"/>
      <c r="K136" s="34"/>
      <c r="L136" s="33"/>
      <c r="M136" s="34"/>
      <c r="N136" s="34"/>
      <c r="O136" s="35"/>
    </row>
    <row r="137" spans="1:15">
      <c r="A137" s="32"/>
      <c r="B137" s="32"/>
      <c r="C137" s="32"/>
      <c r="D137" s="32"/>
      <c r="E137" s="32"/>
      <c r="F137" s="32"/>
      <c r="G137" s="33"/>
      <c r="H137" s="33"/>
      <c r="I137" s="33"/>
      <c r="J137" s="33"/>
      <c r="K137" s="34"/>
      <c r="L137" s="33"/>
      <c r="M137" s="34"/>
      <c r="N137" s="34"/>
      <c r="O137" s="35"/>
    </row>
    <row r="138" spans="1:15">
      <c r="A138" s="32"/>
      <c r="B138" s="32"/>
      <c r="C138" s="32"/>
      <c r="D138" s="32"/>
      <c r="E138" s="32"/>
      <c r="F138" s="32"/>
      <c r="G138" s="33"/>
      <c r="H138" s="33"/>
      <c r="I138" s="33"/>
      <c r="J138" s="33"/>
      <c r="K138" s="34"/>
      <c r="L138" s="33"/>
      <c r="M138" s="34"/>
      <c r="N138" s="34"/>
      <c r="O138" s="35"/>
    </row>
    <row r="139" spans="1:15">
      <c r="A139" s="32"/>
      <c r="B139" s="32"/>
      <c r="C139" s="32"/>
      <c r="D139" s="32"/>
      <c r="E139" s="32"/>
      <c r="F139" s="32"/>
      <c r="G139" s="33"/>
      <c r="H139" s="33"/>
      <c r="I139" s="33"/>
      <c r="J139" s="33"/>
      <c r="K139" s="34"/>
      <c r="L139" s="33"/>
      <c r="M139" s="34"/>
      <c r="N139" s="34"/>
      <c r="O139" s="35"/>
    </row>
    <row r="140" spans="1:15">
      <c r="A140" s="32"/>
      <c r="B140" s="32"/>
      <c r="C140" s="32"/>
      <c r="D140" s="32"/>
      <c r="E140" s="32"/>
      <c r="F140" s="32"/>
      <c r="G140" s="33"/>
      <c r="H140" s="33"/>
      <c r="I140" s="33"/>
      <c r="J140" s="33"/>
      <c r="K140" s="34"/>
      <c r="L140" s="33"/>
      <c r="M140" s="34"/>
      <c r="N140" s="34"/>
      <c r="O140" s="35"/>
    </row>
    <row r="141" spans="1:15">
      <c r="A141" s="32"/>
      <c r="B141" s="32"/>
      <c r="C141" s="32"/>
      <c r="D141" s="32"/>
      <c r="E141" s="32"/>
      <c r="F141" s="32"/>
      <c r="G141" s="33"/>
      <c r="H141" s="33"/>
      <c r="I141" s="33"/>
      <c r="J141" s="33"/>
      <c r="K141" s="34"/>
      <c r="L141" s="33"/>
      <c r="M141" s="34"/>
      <c r="N141" s="34"/>
      <c r="O141" s="35"/>
    </row>
    <row r="142" spans="1:15">
      <c r="A142" s="32"/>
      <c r="B142" s="32"/>
      <c r="C142" s="32"/>
      <c r="D142" s="32"/>
      <c r="E142" s="32"/>
      <c r="F142" s="32"/>
      <c r="G142" s="33"/>
      <c r="H142" s="33"/>
      <c r="I142" s="33"/>
      <c r="J142" s="33"/>
      <c r="K142" s="34"/>
      <c r="L142" s="33"/>
      <c r="M142" s="34"/>
      <c r="N142" s="34"/>
      <c r="O142" s="35"/>
    </row>
    <row r="143" spans="1:15">
      <c r="A143" s="32"/>
      <c r="B143" s="32"/>
      <c r="C143" s="32"/>
      <c r="D143" s="32"/>
      <c r="E143" s="32"/>
      <c r="F143" s="32"/>
      <c r="G143" s="33"/>
      <c r="H143" s="33"/>
      <c r="I143" s="33"/>
      <c r="J143" s="33"/>
      <c r="K143" s="34"/>
      <c r="L143" s="33"/>
      <c r="M143" s="34"/>
      <c r="N143" s="34"/>
      <c r="O143" s="35"/>
    </row>
    <row r="144" spans="1:15">
      <c r="A144" s="32"/>
      <c r="B144" s="32"/>
      <c r="C144" s="32"/>
      <c r="D144" s="32"/>
      <c r="E144" s="32"/>
      <c r="F144" s="32"/>
      <c r="G144" s="33"/>
      <c r="H144" s="33"/>
      <c r="I144" s="33"/>
      <c r="J144" s="33"/>
      <c r="K144" s="34"/>
      <c r="L144" s="33"/>
      <c r="M144" s="34"/>
      <c r="N144" s="34"/>
      <c r="O144" s="35"/>
    </row>
    <row r="145" spans="1:15">
      <c r="A145" s="32"/>
      <c r="B145" s="32"/>
      <c r="C145" s="32"/>
      <c r="D145" s="32"/>
      <c r="E145" s="32"/>
      <c r="F145" s="32"/>
      <c r="G145" s="33"/>
      <c r="H145" s="33"/>
      <c r="I145" s="33"/>
      <c r="J145" s="33"/>
      <c r="K145" s="34"/>
      <c r="L145" s="33"/>
      <c r="M145" s="34"/>
      <c r="N145" s="34"/>
      <c r="O145" s="35"/>
    </row>
    <row r="146" spans="1:15">
      <c r="A146" s="32"/>
      <c r="B146" s="32"/>
      <c r="C146" s="32"/>
      <c r="D146" s="32"/>
      <c r="E146" s="32"/>
      <c r="F146" s="32"/>
      <c r="G146" s="33"/>
      <c r="H146" s="33"/>
      <c r="I146" s="33"/>
      <c r="J146" s="33"/>
      <c r="K146" s="34"/>
      <c r="L146" s="33"/>
      <c r="M146" s="34"/>
      <c r="N146" s="34"/>
      <c r="O146" s="35"/>
    </row>
    <row r="147" spans="1:15">
      <c r="A147" s="32"/>
      <c r="B147" s="32"/>
      <c r="C147" s="32"/>
      <c r="D147" s="32"/>
      <c r="E147" s="32"/>
      <c r="F147" s="32"/>
      <c r="G147" s="33"/>
      <c r="H147" s="33"/>
      <c r="I147" s="33"/>
      <c r="J147" s="33"/>
      <c r="K147" s="34"/>
      <c r="L147" s="33"/>
      <c r="M147" s="34"/>
      <c r="N147" s="34"/>
      <c r="O147" s="35"/>
    </row>
    <row r="148" spans="1:15">
      <c r="A148" s="32"/>
      <c r="B148" s="32"/>
      <c r="C148" s="32"/>
      <c r="D148" s="32"/>
      <c r="E148" s="32"/>
      <c r="F148" s="32"/>
      <c r="G148" s="33"/>
      <c r="H148" s="33"/>
      <c r="I148" s="33"/>
      <c r="J148" s="33"/>
      <c r="K148" s="34"/>
      <c r="L148" s="33"/>
      <c r="M148" s="34"/>
      <c r="N148" s="34"/>
      <c r="O148" s="35"/>
    </row>
    <row r="149" spans="1:15">
      <c r="A149" s="32"/>
      <c r="B149" s="32"/>
      <c r="C149" s="32"/>
      <c r="D149" s="32"/>
      <c r="E149" s="32"/>
      <c r="F149" s="32"/>
      <c r="G149" s="33"/>
      <c r="H149" s="33"/>
      <c r="I149" s="33"/>
      <c r="J149" s="33"/>
      <c r="K149" s="34"/>
      <c r="L149" s="33"/>
      <c r="M149" s="34"/>
      <c r="N149" s="34"/>
      <c r="O149" s="35"/>
    </row>
    <row r="150" spans="1:15">
      <c r="A150" s="32"/>
      <c r="B150" s="32"/>
      <c r="C150" s="32"/>
      <c r="D150" s="32"/>
      <c r="E150" s="32"/>
      <c r="F150" s="32"/>
      <c r="G150" s="33"/>
      <c r="H150" s="33"/>
      <c r="I150" s="33"/>
      <c r="J150" s="33"/>
      <c r="K150" s="34"/>
      <c r="L150" s="33"/>
      <c r="M150" s="34"/>
      <c r="N150" s="34"/>
      <c r="O150" s="35"/>
    </row>
    <row r="151" spans="1:15">
      <c r="A151" s="32"/>
      <c r="B151" s="32"/>
      <c r="C151" s="32"/>
      <c r="D151" s="32"/>
      <c r="E151" s="32"/>
      <c r="F151" s="32"/>
      <c r="G151" s="33"/>
      <c r="H151" s="33"/>
      <c r="I151" s="33"/>
      <c r="J151" s="33"/>
      <c r="K151" s="34"/>
      <c r="L151" s="33"/>
      <c r="M151" s="34"/>
      <c r="N151" s="34"/>
      <c r="O151" s="35"/>
    </row>
    <row r="152" spans="1:15">
      <c r="A152" s="32"/>
      <c r="B152" s="32"/>
      <c r="C152" s="32"/>
      <c r="D152" s="32"/>
      <c r="E152" s="32"/>
      <c r="F152" s="32"/>
      <c r="G152" s="33"/>
      <c r="H152" s="33"/>
      <c r="I152" s="33"/>
      <c r="J152" s="33"/>
      <c r="K152" s="34"/>
      <c r="L152" s="33"/>
      <c r="M152" s="34"/>
      <c r="N152" s="34"/>
      <c r="O152" s="35"/>
    </row>
    <row r="153" spans="1:15">
      <c r="A153" s="32"/>
      <c r="B153" s="32"/>
      <c r="C153" s="32"/>
      <c r="D153" s="32"/>
      <c r="E153" s="32"/>
      <c r="F153" s="32"/>
      <c r="G153" s="33"/>
      <c r="H153" s="33"/>
      <c r="I153" s="33"/>
      <c r="J153" s="33"/>
      <c r="K153" s="34"/>
      <c r="L153" s="33"/>
      <c r="M153" s="34"/>
      <c r="N153" s="34"/>
      <c r="O153" s="35"/>
    </row>
    <row r="154" spans="1:15">
      <c r="A154" s="32"/>
      <c r="B154" s="32"/>
      <c r="C154" s="32"/>
      <c r="D154" s="32"/>
      <c r="E154" s="32"/>
      <c r="F154" s="32"/>
      <c r="G154" s="33"/>
      <c r="H154" s="33"/>
      <c r="I154" s="33"/>
      <c r="J154" s="33"/>
      <c r="K154" s="34"/>
      <c r="L154" s="33"/>
      <c r="M154" s="34"/>
      <c r="N154" s="34"/>
      <c r="O154" s="35"/>
    </row>
    <row r="155" spans="1:15">
      <c r="A155" s="32"/>
      <c r="B155" s="32"/>
      <c r="C155" s="32"/>
      <c r="D155" s="32"/>
      <c r="E155" s="32"/>
      <c r="F155" s="32"/>
      <c r="G155" s="33"/>
      <c r="H155" s="33"/>
      <c r="I155" s="33"/>
      <c r="J155" s="33"/>
      <c r="K155" s="34"/>
      <c r="L155" s="33"/>
      <c r="M155" s="34"/>
      <c r="N155" s="34"/>
      <c r="O155" s="35"/>
    </row>
    <row r="156" spans="1:15">
      <c r="A156" s="32"/>
      <c r="B156" s="32"/>
      <c r="C156" s="32"/>
      <c r="D156" s="32"/>
      <c r="E156" s="32"/>
      <c r="F156" s="32"/>
      <c r="G156" s="33"/>
      <c r="H156" s="33"/>
      <c r="I156" s="33"/>
      <c r="J156" s="33"/>
      <c r="K156" s="34"/>
      <c r="L156" s="33"/>
      <c r="M156" s="34"/>
      <c r="N156" s="34"/>
      <c r="O156" s="35"/>
    </row>
    <row r="157" spans="1:15">
      <c r="A157" s="32"/>
      <c r="B157" s="32"/>
      <c r="C157" s="32"/>
      <c r="D157" s="32"/>
      <c r="E157" s="32"/>
      <c r="F157" s="32"/>
      <c r="G157" s="33"/>
      <c r="H157" s="33"/>
      <c r="I157" s="33"/>
      <c r="J157" s="33"/>
      <c r="K157" s="34"/>
      <c r="L157" s="33"/>
      <c r="M157" s="34"/>
      <c r="N157" s="34"/>
      <c r="O157" s="35"/>
    </row>
    <row r="158" spans="1:15">
      <c r="A158" s="32"/>
      <c r="B158" s="32"/>
      <c r="C158" s="32"/>
      <c r="D158" s="32"/>
      <c r="E158" s="32"/>
      <c r="F158" s="32"/>
      <c r="G158" s="33"/>
      <c r="H158" s="33"/>
      <c r="I158" s="33"/>
      <c r="J158" s="33"/>
      <c r="K158" s="34"/>
      <c r="L158" s="33"/>
      <c r="M158" s="34"/>
      <c r="N158" s="34"/>
      <c r="O158" s="35"/>
    </row>
    <row r="159" spans="1:15">
      <c r="A159" s="32"/>
      <c r="B159" s="32"/>
      <c r="C159" s="32"/>
      <c r="D159" s="32"/>
      <c r="E159" s="32"/>
      <c r="F159" s="32"/>
      <c r="G159" s="33"/>
      <c r="H159" s="33"/>
      <c r="I159" s="33"/>
      <c r="J159" s="33"/>
      <c r="K159" s="34"/>
      <c r="L159" s="33"/>
      <c r="M159" s="34"/>
      <c r="N159" s="34"/>
      <c r="O159" s="35"/>
    </row>
    <row r="160" spans="1:15">
      <c r="A160" s="32"/>
      <c r="B160" s="32"/>
      <c r="C160" s="32"/>
      <c r="D160" s="32"/>
      <c r="E160" s="32"/>
      <c r="F160" s="32"/>
      <c r="G160" s="33"/>
      <c r="H160" s="33"/>
      <c r="I160" s="33"/>
      <c r="J160" s="33"/>
      <c r="K160" s="34"/>
      <c r="L160" s="33"/>
      <c r="M160" s="34"/>
      <c r="N160" s="34"/>
      <c r="O160" s="35"/>
    </row>
    <row r="161" spans="1:15">
      <c r="A161" s="32"/>
      <c r="B161" s="32"/>
      <c r="C161" s="32"/>
      <c r="D161" s="32"/>
      <c r="E161" s="32"/>
      <c r="F161" s="32"/>
      <c r="G161" s="33"/>
      <c r="H161" s="33"/>
      <c r="I161" s="33"/>
      <c r="J161" s="33"/>
      <c r="K161" s="34"/>
      <c r="L161" s="33"/>
      <c r="M161" s="34"/>
      <c r="N161" s="34"/>
      <c r="O161" s="35"/>
    </row>
    <row r="162" spans="1:15">
      <c r="A162" s="32"/>
      <c r="B162" s="32"/>
      <c r="C162" s="32"/>
      <c r="D162" s="32"/>
      <c r="E162" s="32"/>
      <c r="F162" s="32"/>
      <c r="G162" s="33"/>
      <c r="H162" s="33"/>
      <c r="I162" s="33"/>
      <c r="J162" s="33"/>
      <c r="K162" s="34"/>
      <c r="L162" s="33"/>
      <c r="M162" s="34"/>
      <c r="N162" s="34"/>
      <c r="O162" s="35"/>
    </row>
    <row r="163" spans="1:15">
      <c r="A163" s="32"/>
      <c r="B163" s="32"/>
      <c r="C163" s="32"/>
      <c r="D163" s="32"/>
      <c r="E163" s="32"/>
      <c r="F163" s="32"/>
      <c r="G163" s="33"/>
      <c r="H163" s="33"/>
      <c r="I163" s="33"/>
      <c r="J163" s="33"/>
      <c r="K163" s="34"/>
      <c r="L163" s="33"/>
      <c r="M163" s="34"/>
      <c r="N163" s="34"/>
      <c r="O163" s="35"/>
    </row>
    <row r="164" spans="1:15">
      <c r="A164" s="32"/>
      <c r="B164" s="32"/>
      <c r="C164" s="32"/>
      <c r="D164" s="32"/>
      <c r="E164" s="32"/>
      <c r="F164" s="32"/>
      <c r="G164" s="33"/>
      <c r="H164" s="33"/>
      <c r="I164" s="33"/>
      <c r="J164" s="33"/>
      <c r="K164" s="34"/>
      <c r="L164" s="33"/>
      <c r="M164" s="34"/>
      <c r="N164" s="34"/>
      <c r="O164" s="35"/>
    </row>
    <row r="165" spans="1:15">
      <c r="A165" s="32"/>
      <c r="B165" s="32"/>
      <c r="C165" s="32"/>
      <c r="D165" s="32"/>
      <c r="E165" s="32"/>
      <c r="F165" s="32"/>
      <c r="G165" s="33"/>
      <c r="H165" s="33"/>
      <c r="I165" s="33"/>
      <c r="J165" s="33"/>
      <c r="K165" s="34"/>
      <c r="L165" s="33"/>
      <c r="M165" s="34"/>
      <c r="N165" s="34"/>
      <c r="O165" s="35"/>
    </row>
    <row r="166" spans="1:15">
      <c r="A166" s="32"/>
      <c r="B166" s="32"/>
      <c r="C166" s="32"/>
      <c r="D166" s="32"/>
      <c r="E166" s="32"/>
      <c r="F166" s="32"/>
      <c r="G166" s="33"/>
      <c r="H166" s="33"/>
      <c r="I166" s="33"/>
      <c r="J166" s="33"/>
      <c r="K166" s="34"/>
      <c r="L166" s="33"/>
      <c r="M166" s="34"/>
      <c r="N166" s="34"/>
      <c r="O166" s="35"/>
    </row>
    <row r="167" spans="1:15">
      <c r="A167" s="32"/>
      <c r="B167" s="32"/>
      <c r="C167" s="32"/>
      <c r="D167" s="32"/>
      <c r="E167" s="32"/>
      <c r="F167" s="32"/>
      <c r="G167" s="33"/>
      <c r="H167" s="33"/>
      <c r="I167" s="33"/>
      <c r="J167" s="33"/>
      <c r="K167" s="34"/>
      <c r="L167" s="33"/>
      <c r="M167" s="34"/>
      <c r="N167" s="34"/>
      <c r="O167" s="35"/>
    </row>
    <row r="168" spans="1:15">
      <c r="A168" s="32"/>
      <c r="B168" s="32"/>
      <c r="C168" s="32"/>
      <c r="D168" s="32"/>
      <c r="E168" s="32"/>
      <c r="F168" s="32"/>
      <c r="G168" s="33"/>
      <c r="H168" s="33"/>
      <c r="I168" s="33"/>
      <c r="J168" s="33"/>
      <c r="K168" s="34"/>
      <c r="L168" s="33"/>
      <c r="M168" s="34"/>
      <c r="N168" s="34"/>
      <c r="O168" s="35"/>
    </row>
    <row r="169" spans="1:15">
      <c r="A169" s="32"/>
      <c r="B169" s="32"/>
      <c r="C169" s="32"/>
      <c r="D169" s="32"/>
      <c r="E169" s="32"/>
      <c r="F169" s="32"/>
      <c r="G169" s="33"/>
      <c r="H169" s="33"/>
      <c r="I169" s="33"/>
      <c r="J169" s="33"/>
      <c r="K169" s="34"/>
      <c r="L169" s="33"/>
      <c r="M169" s="34"/>
      <c r="N169" s="34"/>
      <c r="O169" s="35"/>
    </row>
    <row r="170" spans="1:15">
      <c r="A170" s="32"/>
      <c r="B170" s="32"/>
      <c r="C170" s="32"/>
      <c r="D170" s="32"/>
      <c r="E170" s="32"/>
      <c r="F170" s="32"/>
      <c r="G170" s="33"/>
      <c r="H170" s="33"/>
      <c r="I170" s="33"/>
      <c r="J170" s="33"/>
      <c r="K170" s="34"/>
      <c r="L170" s="33"/>
      <c r="M170" s="34"/>
      <c r="N170" s="34"/>
      <c r="O170" s="35"/>
    </row>
    <row r="171" spans="1:15">
      <c r="A171" s="32"/>
      <c r="B171" s="32"/>
      <c r="C171" s="32"/>
      <c r="D171" s="32"/>
      <c r="E171" s="32"/>
      <c r="F171" s="32"/>
      <c r="G171" s="33"/>
      <c r="H171" s="33"/>
      <c r="I171" s="33"/>
      <c r="J171" s="33"/>
      <c r="K171" s="34"/>
      <c r="L171" s="33"/>
      <c r="M171" s="34"/>
      <c r="N171" s="34"/>
      <c r="O171" s="35"/>
    </row>
    <row r="172" spans="1:15">
      <c r="A172" s="32"/>
      <c r="B172" s="32"/>
      <c r="C172" s="32"/>
      <c r="D172" s="32"/>
      <c r="E172" s="32"/>
      <c r="F172" s="32"/>
      <c r="G172" s="33"/>
      <c r="H172" s="33"/>
      <c r="I172" s="33"/>
      <c r="J172" s="33"/>
      <c r="K172" s="34"/>
      <c r="L172" s="33"/>
      <c r="M172" s="34"/>
      <c r="N172" s="34"/>
      <c r="O172" s="35"/>
    </row>
    <row r="173" spans="1:15">
      <c r="A173" s="32"/>
      <c r="B173" s="32"/>
      <c r="C173" s="32"/>
      <c r="D173" s="32"/>
      <c r="E173" s="32"/>
      <c r="F173" s="32"/>
      <c r="G173" s="33"/>
      <c r="H173" s="33"/>
      <c r="I173" s="33"/>
      <c r="J173" s="33"/>
      <c r="K173" s="34"/>
      <c r="L173" s="33"/>
      <c r="M173" s="34"/>
      <c r="N173" s="34"/>
      <c r="O173" s="35"/>
    </row>
    <row r="174" spans="1:15">
      <c r="A174" s="32"/>
      <c r="B174" s="32"/>
      <c r="C174" s="32"/>
      <c r="D174" s="32"/>
      <c r="E174" s="32"/>
      <c r="F174" s="32"/>
      <c r="G174" s="33"/>
      <c r="H174" s="33"/>
      <c r="I174" s="33"/>
      <c r="J174" s="33"/>
      <c r="K174" s="34"/>
      <c r="L174" s="33"/>
      <c r="M174" s="34"/>
      <c r="N174" s="34"/>
      <c r="O174" s="35"/>
    </row>
    <row r="175" spans="1:15">
      <c r="A175" s="32"/>
      <c r="B175" s="32"/>
      <c r="C175" s="32"/>
      <c r="D175" s="32"/>
      <c r="E175" s="32"/>
      <c r="F175" s="32"/>
      <c r="G175" s="33"/>
      <c r="H175" s="33"/>
      <c r="I175" s="33"/>
      <c r="J175" s="33"/>
      <c r="K175" s="34"/>
      <c r="L175" s="33"/>
      <c r="M175" s="34"/>
      <c r="N175" s="34"/>
      <c r="O175" s="35"/>
    </row>
    <row r="176" spans="1:15">
      <c r="A176" s="32"/>
      <c r="B176" s="32"/>
      <c r="C176" s="32"/>
      <c r="D176" s="32"/>
      <c r="E176" s="32"/>
      <c r="F176" s="32"/>
      <c r="G176" s="33"/>
      <c r="H176" s="33"/>
      <c r="I176" s="33"/>
      <c r="J176" s="33"/>
      <c r="K176" s="34"/>
      <c r="L176" s="33"/>
      <c r="M176" s="34"/>
      <c r="N176" s="34"/>
      <c r="O176" s="35"/>
    </row>
    <row r="177" spans="1:15">
      <c r="A177" s="32"/>
      <c r="B177" s="32"/>
      <c r="C177" s="32"/>
      <c r="D177" s="32"/>
      <c r="E177" s="32"/>
      <c r="F177" s="32"/>
      <c r="G177" s="33"/>
      <c r="H177" s="33"/>
      <c r="I177" s="33"/>
      <c r="J177" s="33"/>
      <c r="K177" s="34"/>
      <c r="L177" s="33"/>
      <c r="M177" s="34"/>
      <c r="N177" s="34"/>
      <c r="O177" s="35"/>
    </row>
    <row r="178" spans="1:15">
      <c r="A178" s="32"/>
      <c r="B178" s="32"/>
      <c r="C178" s="32"/>
      <c r="D178" s="32"/>
      <c r="E178" s="32"/>
      <c r="F178" s="32"/>
      <c r="G178" s="33"/>
      <c r="H178" s="33"/>
      <c r="I178" s="33"/>
      <c r="J178" s="33"/>
      <c r="K178" s="34"/>
      <c r="L178" s="33"/>
      <c r="M178" s="34"/>
      <c r="N178" s="34"/>
      <c r="O178" s="35"/>
    </row>
    <row r="179" spans="1:15">
      <c r="A179" s="32"/>
      <c r="B179" s="32"/>
      <c r="C179" s="32"/>
      <c r="D179" s="32"/>
      <c r="E179" s="32"/>
      <c r="F179" s="32"/>
      <c r="G179" s="33"/>
      <c r="H179" s="33"/>
      <c r="I179" s="33"/>
      <c r="J179" s="33"/>
      <c r="K179" s="34"/>
      <c r="L179" s="33"/>
      <c r="M179" s="34"/>
      <c r="N179" s="34"/>
      <c r="O179" s="35"/>
    </row>
    <row r="180" spans="1:15">
      <c r="A180" s="32"/>
      <c r="B180" s="32"/>
      <c r="C180" s="32"/>
      <c r="D180" s="32"/>
      <c r="E180" s="32"/>
      <c r="F180" s="32"/>
      <c r="G180" s="33"/>
      <c r="H180" s="33"/>
      <c r="I180" s="33"/>
      <c r="J180" s="33"/>
      <c r="K180" s="34"/>
      <c r="L180" s="33"/>
      <c r="M180" s="34"/>
      <c r="N180" s="34"/>
      <c r="O180" s="35"/>
    </row>
    <row r="181" spans="1:15">
      <c r="A181" s="32"/>
      <c r="B181" s="32"/>
      <c r="C181" s="32"/>
      <c r="D181" s="32"/>
      <c r="E181" s="32"/>
      <c r="F181" s="32"/>
      <c r="G181" s="33"/>
      <c r="H181" s="33"/>
      <c r="I181" s="33"/>
      <c r="J181" s="33"/>
      <c r="K181" s="34"/>
      <c r="L181" s="33"/>
      <c r="M181" s="34"/>
      <c r="N181" s="34"/>
      <c r="O181" s="35"/>
    </row>
    <row r="182" spans="1:15">
      <c r="A182" s="32"/>
      <c r="B182" s="32"/>
      <c r="C182" s="32"/>
      <c r="D182" s="32"/>
      <c r="E182" s="32"/>
      <c r="F182" s="32"/>
      <c r="G182" s="33"/>
      <c r="H182" s="33"/>
      <c r="I182" s="33"/>
      <c r="J182" s="33"/>
      <c r="K182" s="34"/>
      <c r="L182" s="33"/>
      <c r="M182" s="34"/>
      <c r="N182" s="34"/>
      <c r="O182" s="35"/>
    </row>
    <row r="183" spans="1:15">
      <c r="A183" s="32"/>
      <c r="B183" s="32"/>
      <c r="C183" s="32"/>
      <c r="D183" s="32"/>
      <c r="E183" s="32"/>
      <c r="F183" s="32"/>
      <c r="G183" s="33"/>
      <c r="H183" s="33"/>
      <c r="I183" s="33"/>
      <c r="J183" s="33"/>
      <c r="K183" s="34"/>
      <c r="L183" s="33"/>
      <c r="M183" s="34"/>
      <c r="N183" s="34"/>
      <c r="O183" s="35"/>
    </row>
    <row r="184" spans="1:15">
      <c r="A184" s="32"/>
      <c r="B184" s="32"/>
      <c r="C184" s="32"/>
      <c r="D184" s="32"/>
      <c r="E184" s="32"/>
      <c r="F184" s="32"/>
      <c r="G184" s="33"/>
      <c r="H184" s="33"/>
      <c r="I184" s="33"/>
      <c r="J184" s="33"/>
      <c r="K184" s="34"/>
      <c r="L184" s="33"/>
      <c r="M184" s="34"/>
      <c r="N184" s="34"/>
      <c r="O184" s="35"/>
    </row>
    <row r="185" spans="1:15">
      <c r="A185" s="32"/>
      <c r="B185" s="32"/>
      <c r="C185" s="32"/>
      <c r="D185" s="32"/>
      <c r="E185" s="32"/>
      <c r="F185" s="32"/>
      <c r="G185" s="33"/>
      <c r="H185" s="33"/>
      <c r="I185" s="33"/>
      <c r="J185" s="33"/>
      <c r="K185" s="34"/>
      <c r="L185" s="33"/>
      <c r="M185" s="34"/>
      <c r="N185" s="34"/>
      <c r="O185" s="35"/>
    </row>
    <row r="186" spans="1:15">
      <c r="A186" s="32"/>
      <c r="B186" s="32"/>
      <c r="C186" s="32"/>
      <c r="D186" s="32"/>
      <c r="E186" s="32"/>
      <c r="F186" s="32"/>
      <c r="G186" s="33"/>
      <c r="H186" s="33"/>
      <c r="I186" s="33"/>
      <c r="J186" s="33"/>
      <c r="K186" s="34"/>
      <c r="L186" s="33"/>
      <c r="M186" s="34"/>
      <c r="N186" s="34"/>
      <c r="O186" s="35"/>
    </row>
    <row r="187" spans="1:15">
      <c r="A187" s="32"/>
      <c r="B187" s="32"/>
      <c r="C187" s="32"/>
      <c r="D187" s="32"/>
      <c r="E187" s="32"/>
      <c r="F187" s="32"/>
      <c r="G187" s="33"/>
      <c r="H187" s="33"/>
      <c r="I187" s="33"/>
      <c r="J187" s="33"/>
      <c r="K187" s="34"/>
      <c r="L187" s="33"/>
      <c r="M187" s="34"/>
      <c r="N187" s="34"/>
      <c r="O187" s="35"/>
    </row>
    <row r="188" spans="1:15">
      <c r="A188" s="32"/>
      <c r="B188" s="32"/>
      <c r="C188" s="32"/>
      <c r="D188" s="32"/>
      <c r="E188" s="32"/>
      <c r="F188" s="32"/>
      <c r="G188" s="33"/>
      <c r="H188" s="33"/>
      <c r="I188" s="33"/>
      <c r="J188" s="33"/>
      <c r="K188" s="34"/>
      <c r="L188" s="33"/>
      <c r="M188" s="34"/>
      <c r="N188" s="34"/>
      <c r="O188" s="35"/>
    </row>
    <row r="189" spans="1:15">
      <c r="A189" s="32"/>
      <c r="B189" s="32"/>
      <c r="C189" s="32"/>
      <c r="D189" s="32"/>
      <c r="E189" s="32"/>
      <c r="F189" s="32"/>
      <c r="G189" s="33"/>
      <c r="H189" s="33"/>
      <c r="I189" s="33"/>
      <c r="J189" s="33"/>
      <c r="K189" s="34"/>
      <c r="L189" s="33"/>
      <c r="M189" s="34"/>
      <c r="N189" s="34"/>
      <c r="O189" s="35"/>
    </row>
    <row r="190" spans="1:15">
      <c r="A190" s="32"/>
      <c r="B190" s="32"/>
      <c r="C190" s="32"/>
      <c r="D190" s="32"/>
      <c r="E190" s="32"/>
      <c r="F190" s="32"/>
      <c r="G190" s="33"/>
      <c r="H190" s="33"/>
      <c r="I190" s="33"/>
      <c r="J190" s="33"/>
      <c r="K190" s="34"/>
      <c r="L190" s="33"/>
      <c r="M190" s="34"/>
      <c r="N190" s="34"/>
      <c r="O190" s="35"/>
    </row>
    <row r="191" spans="1:15">
      <c r="A191" s="32"/>
      <c r="B191" s="32"/>
      <c r="C191" s="32"/>
      <c r="D191" s="32"/>
      <c r="E191" s="32"/>
      <c r="F191" s="32"/>
      <c r="G191" s="33"/>
      <c r="H191" s="33"/>
      <c r="I191" s="33"/>
      <c r="J191" s="33"/>
      <c r="K191" s="34"/>
      <c r="L191" s="33"/>
      <c r="M191" s="34"/>
      <c r="N191" s="34"/>
      <c r="O191" s="35"/>
    </row>
    <row r="192" spans="1:15">
      <c r="A192" s="32"/>
      <c r="B192" s="32"/>
      <c r="C192" s="32"/>
      <c r="D192" s="32"/>
      <c r="E192" s="32"/>
      <c r="F192" s="32"/>
      <c r="G192" s="33"/>
      <c r="H192" s="33"/>
      <c r="I192" s="33"/>
      <c r="J192" s="33"/>
      <c r="K192" s="34"/>
      <c r="L192" s="33"/>
      <c r="M192" s="34"/>
      <c r="N192" s="34"/>
      <c r="O192" s="35"/>
    </row>
    <row r="193" spans="1:15">
      <c r="A193" s="32"/>
      <c r="B193" s="32"/>
      <c r="C193" s="32"/>
      <c r="D193" s="32"/>
      <c r="E193" s="32"/>
      <c r="F193" s="32"/>
      <c r="G193" s="33"/>
      <c r="H193" s="33"/>
      <c r="I193" s="33"/>
      <c r="J193" s="33"/>
      <c r="K193" s="34"/>
      <c r="L193" s="33"/>
      <c r="M193" s="34"/>
      <c r="N193" s="34"/>
      <c r="O193" s="35"/>
    </row>
    <row r="194" spans="1:15">
      <c r="A194" s="32"/>
      <c r="B194" s="32"/>
      <c r="C194" s="32"/>
      <c r="D194" s="32"/>
      <c r="E194" s="32"/>
      <c r="F194" s="32"/>
      <c r="G194" s="33"/>
      <c r="H194" s="33"/>
      <c r="I194" s="33"/>
      <c r="J194" s="33"/>
      <c r="K194" s="34"/>
      <c r="L194" s="33"/>
      <c r="M194" s="34"/>
      <c r="N194" s="34"/>
      <c r="O194" s="35"/>
    </row>
    <row r="195" spans="1:15">
      <c r="A195" s="32"/>
      <c r="B195" s="32"/>
      <c r="C195" s="32"/>
      <c r="D195" s="32"/>
      <c r="E195" s="32"/>
      <c r="F195" s="32"/>
      <c r="G195" s="33"/>
      <c r="H195" s="33"/>
      <c r="I195" s="33"/>
      <c r="J195" s="33"/>
      <c r="K195" s="34"/>
      <c r="L195" s="33"/>
      <c r="M195" s="34"/>
      <c r="N195" s="34"/>
      <c r="O195" s="35"/>
    </row>
    <row r="196" spans="1:15">
      <c r="A196" s="32"/>
      <c r="B196" s="32"/>
      <c r="C196" s="32"/>
      <c r="D196" s="32"/>
      <c r="E196" s="32"/>
      <c r="F196" s="32"/>
      <c r="G196" s="33"/>
      <c r="H196" s="33"/>
      <c r="I196" s="33"/>
      <c r="J196" s="33"/>
      <c r="K196" s="34"/>
      <c r="L196" s="33"/>
      <c r="M196" s="34"/>
      <c r="N196" s="34"/>
      <c r="O196" s="35"/>
    </row>
    <row r="197" spans="1:15">
      <c r="A197" s="32"/>
      <c r="B197" s="32"/>
      <c r="C197" s="32"/>
      <c r="D197" s="32"/>
      <c r="E197" s="32"/>
      <c r="F197" s="32"/>
      <c r="G197" s="33"/>
      <c r="H197" s="33"/>
      <c r="I197" s="33"/>
      <c r="J197" s="33"/>
      <c r="K197" s="34"/>
      <c r="L197" s="33"/>
      <c r="M197" s="34"/>
      <c r="N197" s="34"/>
      <c r="O197" s="35"/>
    </row>
    <row r="198" spans="1:15">
      <c r="A198" s="32"/>
      <c r="B198" s="32"/>
      <c r="C198" s="32"/>
      <c r="D198" s="32"/>
      <c r="E198" s="32"/>
      <c r="F198" s="32"/>
      <c r="G198" s="33"/>
      <c r="H198" s="33"/>
      <c r="I198" s="33"/>
      <c r="J198" s="33"/>
      <c r="K198" s="34"/>
      <c r="L198" s="33"/>
      <c r="M198" s="34"/>
      <c r="N198" s="34"/>
      <c r="O198" s="35"/>
    </row>
    <row r="199" spans="1:15">
      <c r="A199" s="32"/>
      <c r="B199" s="32"/>
      <c r="C199" s="32"/>
      <c r="D199" s="32"/>
      <c r="E199" s="32"/>
      <c r="F199" s="32"/>
      <c r="G199" s="33"/>
      <c r="H199" s="33"/>
      <c r="I199" s="33"/>
      <c r="J199" s="33"/>
      <c r="K199" s="34"/>
      <c r="L199" s="33"/>
      <c r="M199" s="34"/>
      <c r="N199" s="34"/>
      <c r="O199" s="35"/>
    </row>
    <row r="200" spans="1:15">
      <c r="A200" s="32"/>
      <c r="B200" s="32"/>
      <c r="C200" s="32"/>
      <c r="D200" s="32"/>
      <c r="E200" s="32"/>
      <c r="F200" s="32"/>
      <c r="G200" s="33"/>
      <c r="H200" s="33"/>
      <c r="I200" s="33"/>
      <c r="J200" s="33"/>
      <c r="K200" s="34"/>
      <c r="L200" s="33"/>
      <c r="M200" s="34"/>
      <c r="N200" s="34"/>
      <c r="O200" s="35"/>
    </row>
    <row r="201" spans="1:15">
      <c r="A201" s="32"/>
      <c r="B201" s="32"/>
      <c r="C201" s="32"/>
      <c r="D201" s="32"/>
      <c r="E201" s="32"/>
      <c r="F201" s="32"/>
      <c r="G201" s="33"/>
      <c r="H201" s="33"/>
      <c r="I201" s="33"/>
      <c r="J201" s="33"/>
      <c r="K201" s="34"/>
      <c r="L201" s="33"/>
      <c r="M201" s="34"/>
      <c r="N201" s="34"/>
      <c r="O201" s="35"/>
    </row>
    <row r="202" spans="1:15">
      <c r="A202" s="32"/>
      <c r="B202" s="32"/>
      <c r="C202" s="32"/>
      <c r="D202" s="32"/>
      <c r="E202" s="32"/>
      <c r="F202" s="32"/>
      <c r="G202" s="33"/>
      <c r="H202" s="33"/>
      <c r="I202" s="33"/>
      <c r="J202" s="33"/>
      <c r="K202" s="34"/>
      <c r="L202" s="33"/>
      <c r="M202" s="34"/>
      <c r="N202" s="34"/>
      <c r="O202" s="35"/>
    </row>
    <row r="203" spans="1:15">
      <c r="A203" s="32"/>
      <c r="B203" s="32"/>
      <c r="C203" s="32"/>
      <c r="D203" s="32"/>
      <c r="E203" s="32"/>
      <c r="F203" s="32"/>
      <c r="G203" s="33"/>
      <c r="H203" s="33"/>
      <c r="I203" s="33"/>
      <c r="J203" s="33"/>
      <c r="K203" s="34"/>
      <c r="L203" s="33"/>
      <c r="M203" s="34"/>
      <c r="N203" s="34"/>
      <c r="O203" s="35"/>
    </row>
    <row r="204" spans="1:15">
      <c r="A204" s="32"/>
      <c r="B204" s="32"/>
      <c r="C204" s="32"/>
      <c r="D204" s="32"/>
      <c r="E204" s="32"/>
      <c r="F204" s="32"/>
      <c r="G204" s="33"/>
      <c r="H204" s="33"/>
      <c r="I204" s="33"/>
      <c r="J204" s="33"/>
      <c r="K204" s="34"/>
      <c r="L204" s="33"/>
      <c r="M204" s="34"/>
      <c r="N204" s="34"/>
      <c r="O204" s="35"/>
    </row>
    <row r="205" spans="1:15">
      <c r="A205" s="32"/>
      <c r="B205" s="32"/>
      <c r="C205" s="32"/>
      <c r="D205" s="32"/>
      <c r="E205" s="32"/>
      <c r="F205" s="32"/>
      <c r="G205" s="33"/>
      <c r="H205" s="33"/>
      <c r="I205" s="33"/>
      <c r="J205" s="33"/>
      <c r="K205" s="34"/>
      <c r="L205" s="33"/>
      <c r="M205" s="34"/>
      <c r="N205" s="34"/>
      <c r="O205" s="35"/>
    </row>
    <row r="206" spans="1:15">
      <c r="A206" s="32"/>
      <c r="B206" s="32"/>
      <c r="C206" s="32"/>
      <c r="D206" s="32"/>
      <c r="E206" s="32"/>
      <c r="F206" s="32"/>
      <c r="G206" s="33"/>
      <c r="H206" s="33"/>
      <c r="I206" s="33"/>
      <c r="J206" s="33"/>
      <c r="K206" s="34"/>
      <c r="L206" s="33"/>
      <c r="M206" s="34"/>
      <c r="N206" s="34"/>
      <c r="O206" s="35"/>
    </row>
    <row r="207" spans="1:15">
      <c r="A207" s="32"/>
      <c r="B207" s="32"/>
      <c r="C207" s="32"/>
      <c r="D207" s="32"/>
      <c r="E207" s="32"/>
      <c r="F207" s="32"/>
      <c r="G207" s="33"/>
      <c r="H207" s="33"/>
      <c r="I207" s="33"/>
      <c r="J207" s="33"/>
      <c r="K207" s="34"/>
      <c r="L207" s="33"/>
      <c r="M207" s="34"/>
      <c r="N207" s="34"/>
      <c r="O207" s="35"/>
    </row>
    <row r="208" spans="1:15">
      <c r="A208" s="32"/>
      <c r="B208" s="32"/>
      <c r="C208" s="32"/>
      <c r="D208" s="32"/>
      <c r="E208" s="32"/>
      <c r="F208" s="32"/>
      <c r="G208" s="33"/>
      <c r="H208" s="33"/>
      <c r="I208" s="33"/>
      <c r="J208" s="33"/>
      <c r="K208" s="34"/>
      <c r="L208" s="33"/>
      <c r="M208" s="34"/>
      <c r="N208" s="34"/>
      <c r="O208" s="35"/>
    </row>
    <row r="209" spans="1:15">
      <c r="A209" s="32"/>
      <c r="B209" s="32"/>
      <c r="C209" s="32"/>
      <c r="D209" s="32"/>
      <c r="E209" s="32"/>
      <c r="F209" s="32"/>
      <c r="G209" s="33"/>
      <c r="H209" s="33"/>
      <c r="I209" s="33"/>
      <c r="J209" s="33"/>
      <c r="K209" s="34"/>
      <c r="L209" s="33"/>
      <c r="M209" s="34"/>
      <c r="N209" s="34"/>
      <c r="O209" s="35"/>
    </row>
    <row r="210" spans="1:15">
      <c r="A210" s="32"/>
      <c r="B210" s="32"/>
      <c r="C210" s="32"/>
      <c r="D210" s="32"/>
      <c r="E210" s="32"/>
      <c r="F210" s="32"/>
      <c r="G210" s="33"/>
      <c r="H210" s="33"/>
      <c r="I210" s="33"/>
      <c r="J210" s="33"/>
      <c r="K210" s="34"/>
      <c r="L210" s="33"/>
      <c r="M210" s="34"/>
      <c r="N210" s="34"/>
      <c r="O210" s="35"/>
    </row>
    <row r="211" spans="1:15">
      <c r="A211" s="32"/>
      <c r="B211" s="32"/>
      <c r="C211" s="32"/>
      <c r="D211" s="32"/>
      <c r="E211" s="32"/>
      <c r="F211" s="32"/>
      <c r="G211" s="33"/>
      <c r="H211" s="33"/>
      <c r="I211" s="33"/>
      <c r="J211" s="33"/>
      <c r="K211" s="34"/>
      <c r="L211" s="33"/>
      <c r="M211" s="34"/>
      <c r="N211" s="34"/>
      <c r="O211" s="35"/>
    </row>
    <row r="212" spans="1:15">
      <c r="A212" s="32"/>
      <c r="B212" s="32"/>
      <c r="C212" s="32"/>
      <c r="D212" s="32"/>
      <c r="E212" s="32"/>
      <c r="F212" s="32"/>
      <c r="G212" s="33"/>
      <c r="H212" s="33"/>
      <c r="I212" s="33"/>
      <c r="J212" s="33"/>
      <c r="K212" s="34"/>
      <c r="L212" s="33"/>
      <c r="M212" s="34"/>
      <c r="N212" s="34"/>
      <c r="O212" s="35"/>
    </row>
    <row r="213" spans="1:15">
      <c r="A213" s="32"/>
      <c r="B213" s="32"/>
      <c r="C213" s="32"/>
      <c r="D213" s="32"/>
      <c r="E213" s="32"/>
      <c r="F213" s="32"/>
      <c r="G213" s="33"/>
      <c r="H213" s="33"/>
      <c r="I213" s="33"/>
      <c r="J213" s="33"/>
      <c r="K213" s="34"/>
      <c r="L213" s="33"/>
      <c r="M213" s="34"/>
      <c r="N213" s="34"/>
      <c r="O213" s="35"/>
    </row>
    <row r="214" spans="1:15">
      <c r="A214" s="32"/>
      <c r="B214" s="32"/>
      <c r="C214" s="32"/>
      <c r="D214" s="32"/>
      <c r="E214" s="32"/>
      <c r="F214" s="32"/>
      <c r="G214" s="33"/>
      <c r="H214" s="33"/>
      <c r="I214" s="33"/>
      <c r="J214" s="33"/>
      <c r="K214" s="34"/>
      <c r="L214" s="33"/>
      <c r="M214" s="34"/>
      <c r="N214" s="34"/>
      <c r="O214" s="35"/>
    </row>
    <row r="215" spans="1:15">
      <c r="A215" s="32"/>
      <c r="B215" s="32"/>
      <c r="C215" s="32"/>
      <c r="D215" s="32"/>
      <c r="E215" s="32"/>
      <c r="F215" s="32"/>
      <c r="G215" s="33"/>
      <c r="H215" s="33"/>
      <c r="I215" s="33"/>
      <c r="J215" s="33"/>
      <c r="K215" s="34"/>
      <c r="L215" s="33"/>
      <c r="M215" s="34"/>
      <c r="N215" s="34"/>
      <c r="O215" s="35"/>
    </row>
    <row r="216" spans="1:15">
      <c r="A216" s="32"/>
      <c r="B216" s="32"/>
      <c r="C216" s="32"/>
      <c r="D216" s="32"/>
      <c r="E216" s="32"/>
      <c r="F216" s="32"/>
      <c r="G216" s="33"/>
      <c r="H216" s="33"/>
      <c r="I216" s="33"/>
      <c r="J216" s="33"/>
      <c r="K216" s="34"/>
      <c r="L216" s="33"/>
      <c r="M216" s="34"/>
      <c r="N216" s="34"/>
      <c r="O216" s="35"/>
    </row>
    <row r="217" spans="1:15">
      <c r="A217" s="32"/>
      <c r="B217" s="32"/>
      <c r="C217" s="32"/>
      <c r="D217" s="32"/>
      <c r="E217" s="32"/>
      <c r="F217" s="32"/>
      <c r="G217" s="33"/>
      <c r="H217" s="33"/>
      <c r="I217" s="33"/>
      <c r="J217" s="33"/>
      <c r="K217" s="34"/>
      <c r="L217" s="33"/>
      <c r="M217" s="34"/>
      <c r="N217" s="34"/>
      <c r="O217" s="35"/>
    </row>
    <row r="218" spans="1:15">
      <c r="A218" s="32"/>
      <c r="B218" s="32"/>
      <c r="C218" s="32"/>
      <c r="D218" s="32"/>
      <c r="E218" s="32"/>
      <c r="F218" s="32"/>
      <c r="G218" s="33"/>
      <c r="H218" s="33"/>
      <c r="I218" s="33"/>
      <c r="J218" s="33"/>
      <c r="K218" s="34"/>
      <c r="L218" s="33"/>
      <c r="M218" s="34"/>
      <c r="N218" s="34"/>
      <c r="O218" s="35"/>
    </row>
    <row r="219" spans="1:15">
      <c r="A219" s="32"/>
      <c r="B219" s="32"/>
      <c r="C219" s="32"/>
      <c r="D219" s="32"/>
      <c r="E219" s="32"/>
      <c r="F219" s="32"/>
      <c r="G219" s="33"/>
      <c r="H219" s="33"/>
      <c r="I219" s="33"/>
      <c r="J219" s="33"/>
      <c r="K219" s="34"/>
      <c r="L219" s="33"/>
      <c r="M219" s="34"/>
      <c r="N219" s="34"/>
      <c r="O219" s="35"/>
    </row>
    <row r="220" spans="1:15">
      <c r="A220" s="32"/>
      <c r="B220" s="32"/>
      <c r="C220" s="32"/>
      <c r="D220" s="32"/>
      <c r="E220" s="32"/>
      <c r="F220" s="32"/>
      <c r="G220" s="33"/>
      <c r="H220" s="33"/>
      <c r="I220" s="33"/>
      <c r="J220" s="33"/>
      <c r="K220" s="34"/>
      <c r="L220" s="33"/>
      <c r="M220" s="34"/>
      <c r="N220" s="34"/>
      <c r="O220" s="35"/>
    </row>
    <row r="221" spans="1:15">
      <c r="A221" s="32"/>
      <c r="B221" s="32"/>
      <c r="C221" s="32"/>
      <c r="D221" s="32"/>
      <c r="E221" s="32"/>
      <c r="F221" s="32"/>
      <c r="G221" s="33"/>
      <c r="H221" s="33"/>
      <c r="I221" s="33"/>
      <c r="J221" s="33"/>
      <c r="K221" s="34"/>
      <c r="L221" s="33"/>
      <c r="M221" s="34"/>
      <c r="N221" s="34"/>
      <c r="O221" s="35"/>
    </row>
    <row r="222" spans="1:15">
      <c r="A222" s="32"/>
      <c r="B222" s="32"/>
      <c r="C222" s="32"/>
      <c r="D222" s="32"/>
      <c r="E222" s="32"/>
      <c r="F222" s="32"/>
      <c r="G222" s="33"/>
      <c r="H222" s="33"/>
      <c r="I222" s="33"/>
      <c r="J222" s="33"/>
      <c r="K222" s="34"/>
      <c r="L222" s="33"/>
      <c r="M222" s="34"/>
      <c r="N222" s="34"/>
      <c r="O222" s="35"/>
    </row>
    <row r="223" spans="1:15">
      <c r="A223" s="32"/>
      <c r="B223" s="32"/>
      <c r="C223" s="32"/>
      <c r="D223" s="32"/>
      <c r="E223" s="32"/>
      <c r="F223" s="32"/>
      <c r="G223" s="33"/>
      <c r="H223" s="33"/>
      <c r="I223" s="33"/>
      <c r="J223" s="33"/>
      <c r="K223" s="34"/>
      <c r="L223" s="33"/>
      <c r="M223" s="34"/>
      <c r="N223" s="34"/>
      <c r="O223" s="35"/>
    </row>
    <row r="224" spans="1:15">
      <c r="A224" s="32"/>
      <c r="B224" s="32"/>
      <c r="C224" s="32"/>
      <c r="D224" s="32"/>
      <c r="E224" s="32"/>
      <c r="F224" s="32"/>
      <c r="G224" s="33"/>
      <c r="H224" s="33"/>
      <c r="I224" s="33"/>
      <c r="J224" s="33"/>
      <c r="K224" s="34"/>
      <c r="L224" s="33"/>
      <c r="M224" s="34"/>
      <c r="N224" s="34"/>
      <c r="O224" s="35"/>
    </row>
    <row r="225" spans="1:15">
      <c r="A225" s="32"/>
      <c r="B225" s="32"/>
      <c r="C225" s="32"/>
      <c r="D225" s="32"/>
      <c r="E225" s="32"/>
      <c r="F225" s="32"/>
      <c r="G225" s="33"/>
      <c r="H225" s="33"/>
      <c r="I225" s="33"/>
      <c r="J225" s="33"/>
      <c r="K225" s="34"/>
      <c r="L225" s="33"/>
      <c r="M225" s="34"/>
      <c r="N225" s="34"/>
      <c r="O225" s="35"/>
    </row>
    <row r="226" spans="1:15">
      <c r="A226" s="32"/>
      <c r="B226" s="32"/>
      <c r="C226" s="32"/>
      <c r="D226" s="32"/>
      <c r="E226" s="32"/>
      <c r="F226" s="32"/>
      <c r="G226" s="33"/>
      <c r="H226" s="33"/>
      <c r="I226" s="33"/>
      <c r="J226" s="33"/>
      <c r="K226" s="34"/>
      <c r="L226" s="33"/>
      <c r="M226" s="34"/>
      <c r="N226" s="34"/>
      <c r="O226" s="35"/>
    </row>
    <row r="227" spans="1:15">
      <c r="A227" s="32"/>
      <c r="B227" s="32"/>
      <c r="C227" s="32"/>
      <c r="D227" s="32"/>
      <c r="E227" s="32"/>
      <c r="F227" s="32"/>
      <c r="G227" s="33"/>
      <c r="H227" s="33"/>
      <c r="I227" s="33"/>
      <c r="J227" s="33"/>
      <c r="K227" s="34"/>
      <c r="L227" s="33"/>
      <c r="M227" s="34"/>
      <c r="N227" s="34"/>
      <c r="O227" s="35"/>
    </row>
    <row r="228" spans="1:15">
      <c r="A228" s="32"/>
      <c r="B228" s="32"/>
      <c r="C228" s="32"/>
      <c r="D228" s="32"/>
      <c r="E228" s="32"/>
      <c r="F228" s="32"/>
      <c r="G228" s="33"/>
      <c r="H228" s="33"/>
      <c r="I228" s="33"/>
      <c r="J228" s="33"/>
      <c r="K228" s="34"/>
      <c r="L228" s="33"/>
      <c r="M228" s="34"/>
      <c r="N228" s="34"/>
      <c r="O228" s="35"/>
    </row>
    <row r="229" spans="1:15">
      <c r="A229" s="32"/>
      <c r="B229" s="32"/>
      <c r="C229" s="32"/>
      <c r="D229" s="32"/>
      <c r="E229" s="32"/>
      <c r="F229" s="32"/>
      <c r="G229" s="33"/>
      <c r="H229" s="33"/>
      <c r="I229" s="33"/>
      <c r="J229" s="33"/>
      <c r="K229" s="34"/>
      <c r="L229" s="33"/>
      <c r="M229" s="34"/>
      <c r="N229" s="34"/>
      <c r="O229" s="35"/>
    </row>
    <row r="230" spans="1:15">
      <c r="A230" s="32"/>
      <c r="B230" s="32"/>
      <c r="C230" s="32"/>
      <c r="D230" s="32"/>
      <c r="E230" s="32"/>
      <c r="F230" s="32"/>
      <c r="G230" s="33"/>
      <c r="H230" s="33"/>
      <c r="I230" s="33"/>
      <c r="J230" s="33"/>
      <c r="K230" s="34"/>
      <c r="L230" s="33"/>
      <c r="M230" s="34"/>
      <c r="N230" s="34"/>
      <c r="O230" s="35"/>
    </row>
    <row r="231" spans="1:15">
      <c r="A231" s="32"/>
      <c r="B231" s="32"/>
      <c r="C231" s="32"/>
      <c r="D231" s="32"/>
      <c r="E231" s="32"/>
      <c r="F231" s="32"/>
      <c r="G231" s="33"/>
      <c r="H231" s="33"/>
      <c r="I231" s="33"/>
      <c r="J231" s="33"/>
      <c r="K231" s="34"/>
      <c r="L231" s="33"/>
      <c r="M231" s="34"/>
      <c r="N231" s="34"/>
      <c r="O231" s="35"/>
    </row>
    <row r="232" spans="1:15">
      <c r="A232" s="32"/>
      <c r="B232" s="32"/>
      <c r="C232" s="32"/>
      <c r="D232" s="32"/>
      <c r="E232" s="32"/>
      <c r="F232" s="32"/>
      <c r="G232" s="33"/>
      <c r="H232" s="33"/>
      <c r="I232" s="33"/>
      <c r="J232" s="33"/>
      <c r="K232" s="34"/>
      <c r="L232" s="33"/>
      <c r="M232" s="34"/>
      <c r="N232" s="34"/>
      <c r="O232" s="35"/>
    </row>
    <row r="233" spans="1:15">
      <c r="A233" s="32"/>
      <c r="B233" s="32"/>
      <c r="C233" s="32"/>
      <c r="D233" s="32"/>
      <c r="E233" s="32"/>
      <c r="F233" s="32"/>
      <c r="G233" s="33"/>
      <c r="H233" s="33"/>
      <c r="I233" s="33"/>
      <c r="J233" s="33"/>
      <c r="K233" s="34"/>
      <c r="L233" s="33"/>
      <c r="M233" s="34"/>
      <c r="N233" s="34"/>
      <c r="O233" s="35"/>
    </row>
    <row r="234" spans="1:15">
      <c r="A234" s="32"/>
      <c r="B234" s="32"/>
      <c r="C234" s="32"/>
      <c r="D234" s="32"/>
      <c r="E234" s="32"/>
      <c r="F234" s="32"/>
      <c r="G234" s="33"/>
      <c r="H234" s="33"/>
      <c r="I234" s="33"/>
      <c r="J234" s="33"/>
      <c r="K234" s="34"/>
      <c r="L234" s="33"/>
      <c r="M234" s="34"/>
      <c r="N234" s="34"/>
      <c r="O234" s="35"/>
    </row>
    <row r="235" spans="1:15">
      <c r="A235" s="32"/>
      <c r="B235" s="32"/>
      <c r="C235" s="32"/>
      <c r="D235" s="32"/>
      <c r="E235" s="32"/>
      <c r="F235" s="32"/>
      <c r="G235" s="33"/>
      <c r="H235" s="33"/>
      <c r="I235" s="33"/>
      <c r="J235" s="33"/>
      <c r="K235" s="34"/>
      <c r="L235" s="33"/>
      <c r="M235" s="34"/>
      <c r="N235" s="34"/>
      <c r="O235" s="35"/>
    </row>
    <row r="236" spans="1:15">
      <c r="A236" s="32"/>
      <c r="B236" s="32"/>
      <c r="C236" s="32"/>
      <c r="D236" s="32"/>
      <c r="E236" s="32"/>
      <c r="F236" s="32"/>
      <c r="G236" s="33"/>
      <c r="H236" s="33"/>
      <c r="I236" s="33"/>
      <c r="J236" s="33"/>
      <c r="K236" s="34"/>
      <c r="L236" s="33"/>
      <c r="M236" s="34"/>
      <c r="N236" s="34"/>
      <c r="O236" s="35"/>
    </row>
    <row r="237" spans="1:15">
      <c r="A237" s="32"/>
      <c r="B237" s="32"/>
      <c r="C237" s="32"/>
      <c r="D237" s="32"/>
      <c r="E237" s="32"/>
      <c r="F237" s="32"/>
      <c r="G237" s="33"/>
      <c r="H237" s="33"/>
      <c r="I237" s="33"/>
      <c r="J237" s="33"/>
      <c r="K237" s="34"/>
      <c r="L237" s="33"/>
      <c r="M237" s="34"/>
      <c r="N237" s="34"/>
      <c r="O237" s="35"/>
    </row>
    <row r="238" spans="1:15">
      <c r="A238" s="32"/>
      <c r="B238" s="32"/>
      <c r="C238" s="32"/>
      <c r="D238" s="32"/>
      <c r="E238" s="32"/>
      <c r="F238" s="32"/>
      <c r="G238" s="33"/>
      <c r="H238" s="33"/>
      <c r="I238" s="33"/>
      <c r="J238" s="33"/>
      <c r="K238" s="34"/>
      <c r="L238" s="33"/>
      <c r="M238" s="34"/>
      <c r="N238" s="34"/>
      <c r="O238" s="35"/>
    </row>
    <row r="239" spans="1:15">
      <c r="A239" s="32"/>
      <c r="B239" s="32"/>
      <c r="C239" s="32"/>
      <c r="D239" s="32"/>
      <c r="E239" s="32"/>
      <c r="F239" s="32"/>
      <c r="G239" s="33"/>
      <c r="H239" s="33"/>
      <c r="I239" s="33"/>
      <c r="J239" s="33"/>
      <c r="K239" s="34"/>
      <c r="L239" s="33"/>
      <c r="M239" s="34"/>
      <c r="N239" s="34"/>
      <c r="O239" s="35"/>
    </row>
    <row r="240" spans="1:15">
      <c r="A240" s="32"/>
      <c r="B240" s="32"/>
      <c r="C240" s="32"/>
      <c r="D240" s="32"/>
      <c r="E240" s="32"/>
      <c r="F240" s="32"/>
      <c r="G240" s="33"/>
      <c r="H240" s="33"/>
      <c r="I240" s="33"/>
      <c r="J240" s="33"/>
      <c r="K240" s="34"/>
      <c r="L240" s="33"/>
      <c r="M240" s="34"/>
      <c r="N240" s="34"/>
      <c r="O240" s="35"/>
    </row>
    <row r="241" spans="1:15">
      <c r="A241" s="32"/>
      <c r="B241" s="32"/>
      <c r="C241" s="32"/>
      <c r="D241" s="32"/>
      <c r="E241" s="32"/>
      <c r="F241" s="32"/>
      <c r="G241" s="33"/>
      <c r="H241" s="33"/>
      <c r="I241" s="33"/>
      <c r="J241" s="33"/>
      <c r="K241" s="34"/>
      <c r="L241" s="33"/>
      <c r="M241" s="34"/>
      <c r="N241" s="34"/>
      <c r="O241" s="35"/>
    </row>
    <row r="242" spans="1:15">
      <c r="A242" s="32"/>
      <c r="B242" s="32"/>
      <c r="C242" s="32"/>
      <c r="D242" s="32"/>
      <c r="E242" s="32"/>
      <c r="F242" s="32"/>
      <c r="G242" s="33"/>
      <c r="H242" s="33"/>
      <c r="I242" s="33"/>
      <c r="J242" s="33"/>
      <c r="K242" s="34"/>
      <c r="L242" s="33"/>
      <c r="M242" s="34"/>
      <c r="N242" s="34"/>
      <c r="O242" s="35"/>
    </row>
    <row r="243" spans="1:15">
      <c r="A243" s="32"/>
      <c r="B243" s="32"/>
      <c r="C243" s="32"/>
      <c r="D243" s="32"/>
      <c r="E243" s="32"/>
      <c r="F243" s="32"/>
      <c r="G243" s="33"/>
      <c r="H243" s="33"/>
      <c r="I243" s="33"/>
      <c r="J243" s="33"/>
      <c r="K243" s="34"/>
      <c r="L243" s="33"/>
      <c r="M243" s="34"/>
      <c r="N243" s="34"/>
      <c r="O243" s="35"/>
    </row>
    <row r="244" spans="1:15">
      <c r="A244" s="32"/>
      <c r="B244" s="32"/>
      <c r="C244" s="32"/>
      <c r="D244" s="32"/>
      <c r="E244" s="32"/>
      <c r="F244" s="32"/>
      <c r="G244" s="33"/>
      <c r="H244" s="33"/>
      <c r="I244" s="33"/>
      <c r="J244" s="33"/>
      <c r="K244" s="34"/>
      <c r="L244" s="33"/>
      <c r="M244" s="34"/>
      <c r="N244" s="34"/>
      <c r="O244" s="35"/>
    </row>
    <row r="245" spans="1:15">
      <c r="A245" s="32"/>
      <c r="B245" s="32"/>
      <c r="C245" s="32"/>
      <c r="D245" s="32"/>
      <c r="E245" s="32"/>
      <c r="F245" s="32"/>
      <c r="G245" s="33"/>
      <c r="H245" s="33"/>
      <c r="I245" s="33"/>
      <c r="J245" s="33"/>
      <c r="K245" s="34"/>
      <c r="L245" s="33"/>
      <c r="M245" s="34"/>
      <c r="N245" s="34"/>
      <c r="O245" s="35"/>
    </row>
    <row r="246" spans="1:15">
      <c r="A246" s="32"/>
      <c r="B246" s="32"/>
      <c r="C246" s="32"/>
      <c r="D246" s="32"/>
      <c r="E246" s="32"/>
      <c r="F246" s="32"/>
      <c r="G246" s="33"/>
      <c r="H246" s="33"/>
      <c r="I246" s="33"/>
      <c r="J246" s="33"/>
      <c r="K246" s="34"/>
      <c r="L246" s="33"/>
      <c r="M246" s="34"/>
      <c r="N246" s="34"/>
      <c r="O246" s="35"/>
    </row>
    <row r="247" spans="1:15">
      <c r="A247" s="32"/>
      <c r="B247" s="32"/>
      <c r="C247" s="32"/>
      <c r="D247" s="32"/>
      <c r="E247" s="32"/>
      <c r="F247" s="32"/>
      <c r="G247" s="33"/>
      <c r="H247" s="33"/>
      <c r="I247" s="33"/>
      <c r="J247" s="33"/>
      <c r="K247" s="34"/>
      <c r="L247" s="33"/>
      <c r="M247" s="34"/>
      <c r="N247" s="34"/>
      <c r="O247" s="35"/>
    </row>
    <row r="248" spans="1:15">
      <c r="A248" s="32"/>
      <c r="B248" s="32"/>
      <c r="C248" s="32"/>
      <c r="D248" s="32"/>
      <c r="E248" s="32"/>
      <c r="F248" s="32"/>
      <c r="G248" s="33"/>
      <c r="H248" s="33"/>
      <c r="I248" s="33"/>
      <c r="J248" s="33"/>
      <c r="K248" s="34"/>
      <c r="L248" s="33"/>
      <c r="M248" s="34"/>
      <c r="N248" s="34"/>
      <c r="O248" s="35"/>
    </row>
    <row r="249" spans="1:15">
      <c r="A249" s="32"/>
      <c r="B249" s="32"/>
      <c r="C249" s="32"/>
      <c r="D249" s="32"/>
      <c r="E249" s="32"/>
      <c r="F249" s="32"/>
      <c r="G249" s="33"/>
      <c r="H249" s="33"/>
      <c r="I249" s="33"/>
      <c r="J249" s="33"/>
      <c r="K249" s="34"/>
      <c r="L249" s="33"/>
      <c r="M249" s="34"/>
      <c r="N249" s="34"/>
      <c r="O249" s="35"/>
    </row>
    <row r="250" spans="1:15">
      <c r="A250" s="32"/>
      <c r="B250" s="32"/>
      <c r="C250" s="32"/>
      <c r="D250" s="32"/>
      <c r="E250" s="32"/>
      <c r="F250" s="32"/>
      <c r="G250" s="33"/>
      <c r="H250" s="33"/>
      <c r="I250" s="33"/>
      <c r="J250" s="33"/>
      <c r="K250" s="34"/>
      <c r="L250" s="33"/>
      <c r="M250" s="34"/>
      <c r="N250" s="34"/>
      <c r="O250" s="35"/>
    </row>
    <row r="251" spans="1:15">
      <c r="A251" s="32"/>
      <c r="B251" s="32"/>
      <c r="C251" s="32"/>
      <c r="D251" s="32"/>
      <c r="E251" s="32"/>
      <c r="F251" s="32"/>
      <c r="G251" s="33"/>
      <c r="H251" s="33"/>
      <c r="I251" s="33"/>
      <c r="J251" s="33"/>
      <c r="K251" s="34"/>
      <c r="L251" s="33"/>
      <c r="M251" s="34"/>
      <c r="N251" s="34"/>
      <c r="O251" s="35"/>
    </row>
    <row r="252" spans="1:15">
      <c r="A252" s="32"/>
      <c r="B252" s="32"/>
      <c r="C252" s="32"/>
      <c r="D252" s="32"/>
      <c r="E252" s="32"/>
      <c r="F252" s="32"/>
      <c r="G252" s="33"/>
      <c r="H252" s="33"/>
      <c r="I252" s="33"/>
      <c r="J252" s="33"/>
      <c r="K252" s="34"/>
      <c r="L252" s="33"/>
      <c r="M252" s="34"/>
      <c r="N252" s="34"/>
      <c r="O252" s="35"/>
    </row>
    <row r="253" spans="1:15">
      <c r="A253" s="32"/>
      <c r="B253" s="32"/>
      <c r="C253" s="32"/>
      <c r="D253" s="32"/>
      <c r="E253" s="32"/>
      <c r="F253" s="32"/>
      <c r="G253" s="33"/>
      <c r="H253" s="33"/>
      <c r="I253" s="33"/>
      <c r="J253" s="33"/>
      <c r="K253" s="34"/>
      <c r="L253" s="33"/>
      <c r="M253" s="34"/>
      <c r="N253" s="34"/>
      <c r="O253" s="35"/>
    </row>
    <row r="254" spans="1:15">
      <c r="A254" s="32"/>
      <c r="B254" s="32"/>
      <c r="C254" s="32"/>
      <c r="D254" s="32"/>
      <c r="E254" s="32"/>
      <c r="F254" s="32"/>
      <c r="G254" s="33"/>
      <c r="H254" s="33"/>
      <c r="I254" s="33"/>
      <c r="J254" s="33"/>
      <c r="K254" s="34"/>
      <c r="L254" s="33"/>
      <c r="M254" s="34"/>
      <c r="N254" s="34"/>
      <c r="O254" s="35"/>
    </row>
    <row r="255" spans="1:15">
      <c r="A255" s="32"/>
      <c r="B255" s="32"/>
      <c r="C255" s="32"/>
      <c r="D255" s="32"/>
      <c r="E255" s="32"/>
      <c r="F255" s="32"/>
      <c r="G255" s="33"/>
      <c r="H255" s="33"/>
      <c r="I255" s="33"/>
      <c r="J255" s="33"/>
      <c r="K255" s="34"/>
      <c r="L255" s="33"/>
      <c r="M255" s="34"/>
      <c r="N255" s="34"/>
      <c r="O255" s="35"/>
    </row>
    <row r="256" spans="1:15">
      <c r="A256" s="32"/>
      <c r="B256" s="32"/>
      <c r="C256" s="32"/>
      <c r="D256" s="32"/>
      <c r="E256" s="32"/>
      <c r="F256" s="32"/>
      <c r="G256" s="33"/>
      <c r="H256" s="33"/>
      <c r="I256" s="33"/>
      <c r="J256" s="33"/>
      <c r="K256" s="34"/>
      <c r="L256" s="33"/>
      <c r="M256" s="34"/>
      <c r="N256" s="34"/>
      <c r="O256" s="35"/>
    </row>
    <row r="257" spans="1:15">
      <c r="A257" s="32"/>
      <c r="B257" s="32"/>
      <c r="C257" s="32"/>
      <c r="D257" s="32"/>
      <c r="E257" s="32"/>
      <c r="F257" s="32"/>
      <c r="G257" s="33"/>
      <c r="H257" s="33"/>
      <c r="I257" s="33"/>
      <c r="J257" s="33"/>
      <c r="K257" s="34"/>
      <c r="L257" s="33"/>
      <c r="M257" s="34"/>
      <c r="N257" s="34"/>
      <c r="O257" s="35"/>
    </row>
    <row r="258" spans="1:15">
      <c r="A258" s="32"/>
      <c r="B258" s="32"/>
      <c r="C258" s="32"/>
      <c r="D258" s="32"/>
      <c r="E258" s="32"/>
      <c r="F258" s="32"/>
      <c r="G258" s="33"/>
      <c r="H258" s="33"/>
      <c r="I258" s="33"/>
      <c r="J258" s="33"/>
      <c r="K258" s="34"/>
      <c r="L258" s="33"/>
      <c r="M258" s="34"/>
      <c r="N258" s="34"/>
      <c r="O258" s="35"/>
    </row>
    <row r="259" spans="1:15">
      <c r="A259" s="32"/>
      <c r="B259" s="32"/>
      <c r="C259" s="32"/>
      <c r="D259" s="32"/>
      <c r="E259" s="32"/>
      <c r="F259" s="32"/>
      <c r="G259" s="33"/>
      <c r="H259" s="33"/>
      <c r="I259" s="33"/>
      <c r="J259" s="33"/>
      <c r="K259" s="34"/>
      <c r="L259" s="33"/>
      <c r="M259" s="34"/>
      <c r="N259" s="34"/>
      <c r="O259" s="35"/>
    </row>
    <row r="260" spans="1:15">
      <c r="A260" s="32"/>
      <c r="B260" s="32"/>
      <c r="C260" s="32"/>
      <c r="D260" s="32"/>
      <c r="E260" s="32"/>
      <c r="F260" s="32"/>
      <c r="G260" s="33"/>
      <c r="H260" s="33"/>
      <c r="I260" s="33"/>
      <c r="J260" s="33"/>
      <c r="K260" s="34"/>
      <c r="L260" s="33"/>
      <c r="M260" s="34"/>
      <c r="N260" s="34"/>
      <c r="O260" s="35"/>
    </row>
    <row r="261" spans="1:15">
      <c r="A261" s="32"/>
      <c r="B261" s="32"/>
      <c r="C261" s="32"/>
      <c r="D261" s="32"/>
      <c r="E261" s="32"/>
      <c r="F261" s="32"/>
      <c r="G261" s="33"/>
      <c r="H261" s="33"/>
      <c r="I261" s="33"/>
      <c r="J261" s="33"/>
      <c r="K261" s="34"/>
      <c r="L261" s="33"/>
      <c r="M261" s="34"/>
      <c r="N261" s="34"/>
      <c r="O261" s="35"/>
    </row>
    <row r="262" spans="1:15">
      <c r="A262" s="32"/>
      <c r="B262" s="32"/>
      <c r="C262" s="32"/>
      <c r="D262" s="32"/>
      <c r="E262" s="32"/>
      <c r="F262" s="32"/>
      <c r="G262" s="33"/>
      <c r="H262" s="33"/>
      <c r="I262" s="33"/>
      <c r="J262" s="33"/>
      <c r="K262" s="34"/>
      <c r="L262" s="33"/>
      <c r="M262" s="34"/>
      <c r="N262" s="34"/>
      <c r="O262" s="35"/>
    </row>
    <row r="263" spans="1:15">
      <c r="A263" s="32"/>
      <c r="B263" s="32"/>
      <c r="C263" s="32"/>
      <c r="D263" s="32"/>
      <c r="E263" s="32"/>
      <c r="F263" s="32"/>
      <c r="G263" s="33"/>
      <c r="H263" s="33"/>
      <c r="I263" s="33"/>
      <c r="J263" s="33"/>
      <c r="K263" s="34"/>
      <c r="L263" s="33"/>
      <c r="M263" s="34"/>
      <c r="N263" s="34"/>
      <c r="O263" s="35"/>
    </row>
    <row r="264" spans="1:15">
      <c r="A264" s="32"/>
      <c r="B264" s="32"/>
      <c r="C264" s="32"/>
      <c r="D264" s="32"/>
      <c r="E264" s="32"/>
      <c r="F264" s="32"/>
      <c r="G264" s="33"/>
      <c r="H264" s="33"/>
      <c r="I264" s="33"/>
      <c r="J264" s="33"/>
      <c r="K264" s="34"/>
      <c r="L264" s="33"/>
      <c r="M264" s="34"/>
      <c r="N264" s="34"/>
      <c r="O264" s="35"/>
    </row>
    <row r="265" spans="1:15">
      <c r="A265" s="32"/>
      <c r="B265" s="32"/>
      <c r="C265" s="32"/>
      <c r="D265" s="32"/>
      <c r="E265" s="32"/>
      <c r="F265" s="32"/>
      <c r="G265" s="33"/>
      <c r="H265" s="33"/>
      <c r="I265" s="33"/>
      <c r="J265" s="33"/>
      <c r="K265" s="34"/>
      <c r="L265" s="33"/>
      <c r="M265" s="34"/>
      <c r="N265" s="34"/>
      <c r="O265" s="35"/>
    </row>
    <row r="266" spans="1:15">
      <c r="A266" s="32"/>
      <c r="B266" s="32"/>
      <c r="C266" s="32"/>
      <c r="D266" s="32"/>
      <c r="E266" s="32"/>
      <c r="F266" s="32"/>
      <c r="G266" s="33"/>
      <c r="H266" s="33"/>
      <c r="I266" s="33"/>
      <c r="J266" s="33"/>
      <c r="K266" s="34"/>
      <c r="L266" s="33"/>
      <c r="M266" s="34"/>
      <c r="N266" s="34"/>
      <c r="O266" s="35"/>
    </row>
    <row r="267" spans="1:15">
      <c r="A267" s="32"/>
      <c r="B267" s="32"/>
      <c r="C267" s="32"/>
      <c r="D267" s="32"/>
      <c r="E267" s="32"/>
      <c r="F267" s="32"/>
      <c r="G267" s="33"/>
      <c r="H267" s="33"/>
      <c r="I267" s="33"/>
      <c r="J267" s="33"/>
      <c r="K267" s="34"/>
      <c r="L267" s="33"/>
      <c r="M267" s="34"/>
      <c r="N267" s="34"/>
      <c r="O267" s="35"/>
    </row>
    <row r="268" spans="1:15">
      <c r="A268" s="32"/>
      <c r="B268" s="32"/>
      <c r="C268" s="32"/>
      <c r="D268" s="32"/>
      <c r="E268" s="32"/>
      <c r="F268" s="32"/>
      <c r="G268" s="33"/>
      <c r="H268" s="33"/>
      <c r="I268" s="33"/>
      <c r="J268" s="33"/>
      <c r="K268" s="34"/>
      <c r="L268" s="33"/>
      <c r="M268" s="34"/>
      <c r="N268" s="34"/>
      <c r="O268" s="35"/>
    </row>
    <row r="269" spans="1:15">
      <c r="A269" s="32"/>
      <c r="B269" s="32"/>
      <c r="C269" s="32"/>
      <c r="D269" s="32"/>
      <c r="E269" s="32"/>
      <c r="F269" s="32"/>
      <c r="G269" s="33"/>
      <c r="H269" s="33"/>
      <c r="I269" s="33"/>
      <c r="J269" s="33"/>
      <c r="K269" s="34"/>
      <c r="L269" s="33"/>
      <c r="M269" s="34"/>
      <c r="N269" s="34"/>
      <c r="O269" s="35"/>
    </row>
    <row r="270" spans="1:15">
      <c r="A270" s="32"/>
      <c r="B270" s="32"/>
      <c r="C270" s="32"/>
      <c r="D270" s="32"/>
      <c r="E270" s="32"/>
      <c r="F270" s="32"/>
      <c r="G270" s="33"/>
      <c r="H270" s="33"/>
      <c r="I270" s="33"/>
      <c r="J270" s="33"/>
      <c r="K270" s="34"/>
      <c r="L270" s="33"/>
      <c r="M270" s="34"/>
      <c r="N270" s="34"/>
      <c r="O270" s="35"/>
    </row>
    <row r="271" spans="1:15">
      <c r="A271" s="32"/>
      <c r="B271" s="32"/>
      <c r="C271" s="32"/>
      <c r="D271" s="32"/>
      <c r="E271" s="32"/>
      <c r="F271" s="32"/>
      <c r="G271" s="33"/>
      <c r="H271" s="33"/>
      <c r="I271" s="33"/>
      <c r="J271" s="33"/>
      <c r="K271" s="34"/>
      <c r="L271" s="33"/>
      <c r="M271" s="34"/>
      <c r="N271" s="34"/>
      <c r="O271" s="35"/>
    </row>
    <row r="272" spans="1:15">
      <c r="A272" s="32"/>
      <c r="B272" s="32"/>
      <c r="C272" s="32"/>
      <c r="D272" s="32"/>
      <c r="E272" s="32"/>
      <c r="F272" s="32"/>
      <c r="G272" s="33"/>
      <c r="H272" s="33"/>
      <c r="I272" s="33"/>
      <c r="J272" s="33"/>
      <c r="K272" s="34"/>
      <c r="L272" s="33"/>
      <c r="M272" s="34"/>
      <c r="N272" s="34"/>
      <c r="O272" s="35"/>
    </row>
    <row r="273" spans="1:15">
      <c r="A273" s="32"/>
      <c r="B273" s="32"/>
      <c r="C273" s="32"/>
      <c r="D273" s="32"/>
      <c r="E273" s="32"/>
      <c r="F273" s="32"/>
      <c r="G273" s="33"/>
      <c r="H273" s="33"/>
      <c r="I273" s="33"/>
      <c r="J273" s="33"/>
      <c r="K273" s="34"/>
      <c r="L273" s="33"/>
      <c r="M273" s="34"/>
      <c r="N273" s="34"/>
      <c r="O273" s="35"/>
    </row>
    <row r="274" spans="1:15">
      <c r="A274" s="32"/>
      <c r="B274" s="32"/>
      <c r="C274" s="32"/>
      <c r="D274" s="32"/>
      <c r="E274" s="32"/>
      <c r="F274" s="32"/>
      <c r="G274" s="33"/>
      <c r="H274" s="33"/>
      <c r="I274" s="33"/>
      <c r="J274" s="33"/>
      <c r="K274" s="34"/>
      <c r="L274" s="33"/>
      <c r="M274" s="34"/>
      <c r="N274" s="34"/>
      <c r="O274" s="35"/>
    </row>
    <row r="275" spans="1:15">
      <c r="A275" s="32"/>
      <c r="B275" s="32"/>
      <c r="C275" s="32"/>
      <c r="D275" s="32"/>
      <c r="E275" s="32"/>
      <c r="F275" s="32"/>
      <c r="G275" s="33"/>
      <c r="H275" s="33"/>
      <c r="I275" s="33"/>
      <c r="J275" s="33"/>
      <c r="K275" s="34"/>
      <c r="L275" s="33"/>
      <c r="M275" s="34"/>
      <c r="N275" s="34"/>
      <c r="O275" s="35"/>
    </row>
    <row r="276" spans="1:15">
      <c r="A276" s="32"/>
      <c r="B276" s="32"/>
      <c r="C276" s="32"/>
      <c r="D276" s="32"/>
      <c r="E276" s="32"/>
      <c r="F276" s="32"/>
      <c r="G276" s="33"/>
      <c r="H276" s="33"/>
      <c r="I276" s="33"/>
      <c r="J276" s="33"/>
      <c r="K276" s="34"/>
      <c r="L276" s="33"/>
      <c r="M276" s="34"/>
      <c r="N276" s="34"/>
      <c r="O276" s="35"/>
    </row>
    <row r="277" spans="1:15">
      <c r="A277" s="32"/>
      <c r="B277" s="32"/>
      <c r="C277" s="32"/>
      <c r="D277" s="32"/>
      <c r="E277" s="32"/>
      <c r="F277" s="32"/>
      <c r="G277" s="33"/>
      <c r="H277" s="33"/>
      <c r="I277" s="33"/>
      <c r="J277" s="33"/>
      <c r="K277" s="34"/>
      <c r="L277" s="33"/>
      <c r="M277" s="34"/>
      <c r="N277" s="34"/>
      <c r="O277" s="35"/>
    </row>
    <row r="278" spans="1:15">
      <c r="A278" s="32"/>
      <c r="B278" s="32"/>
      <c r="C278" s="32"/>
      <c r="D278" s="32"/>
      <c r="E278" s="32"/>
      <c r="F278" s="32"/>
      <c r="G278" s="33"/>
      <c r="H278" s="33"/>
      <c r="I278" s="33"/>
      <c r="J278" s="33"/>
      <c r="K278" s="34"/>
      <c r="L278" s="33"/>
      <c r="M278" s="34"/>
      <c r="N278" s="34"/>
      <c r="O278" s="35"/>
    </row>
    <row r="279" spans="1:15">
      <c r="A279" s="32"/>
      <c r="B279" s="32"/>
      <c r="C279" s="32"/>
      <c r="D279" s="32"/>
      <c r="E279" s="32"/>
      <c r="F279" s="32"/>
      <c r="G279" s="33"/>
      <c r="H279" s="33"/>
      <c r="I279" s="33"/>
      <c r="J279" s="33"/>
      <c r="K279" s="34"/>
      <c r="L279" s="33"/>
      <c r="M279" s="34"/>
      <c r="N279" s="34"/>
      <c r="O279" s="35"/>
    </row>
    <row r="280" spans="1:15">
      <c r="A280" s="32"/>
      <c r="B280" s="32"/>
      <c r="C280" s="32"/>
      <c r="D280" s="32"/>
      <c r="E280" s="32"/>
      <c r="F280" s="32"/>
      <c r="G280" s="33"/>
      <c r="H280" s="33"/>
      <c r="I280" s="33"/>
      <c r="J280" s="33"/>
      <c r="K280" s="34"/>
      <c r="L280" s="33"/>
      <c r="M280" s="34"/>
      <c r="N280" s="34"/>
      <c r="O280" s="35"/>
    </row>
    <row r="281" spans="1:15">
      <c r="A281" s="32"/>
      <c r="B281" s="32"/>
      <c r="C281" s="32"/>
      <c r="D281" s="32"/>
      <c r="E281" s="32"/>
      <c r="F281" s="32"/>
      <c r="G281" s="33"/>
      <c r="H281" s="33"/>
      <c r="I281" s="33"/>
      <c r="J281" s="33"/>
      <c r="K281" s="34"/>
      <c r="L281" s="33"/>
      <c r="M281" s="34"/>
      <c r="N281" s="34"/>
      <c r="O281" s="35"/>
    </row>
    <row r="282" spans="1:15">
      <c r="A282" s="32"/>
      <c r="B282" s="32"/>
      <c r="C282" s="32"/>
      <c r="D282" s="32"/>
      <c r="E282" s="32"/>
      <c r="F282" s="32"/>
      <c r="G282" s="33"/>
      <c r="H282" s="33"/>
      <c r="I282" s="33"/>
      <c r="J282" s="33"/>
      <c r="K282" s="34"/>
      <c r="L282" s="33"/>
      <c r="M282" s="34"/>
      <c r="N282" s="34"/>
      <c r="O282" s="35"/>
    </row>
    <row r="283" spans="1:15">
      <c r="A283" s="32"/>
      <c r="B283" s="32"/>
      <c r="C283" s="32"/>
      <c r="D283" s="32"/>
      <c r="E283" s="32"/>
      <c r="F283" s="32"/>
      <c r="G283" s="33"/>
      <c r="H283" s="33"/>
      <c r="I283" s="33"/>
      <c r="J283" s="33"/>
      <c r="K283" s="34"/>
      <c r="L283" s="33"/>
      <c r="M283" s="34"/>
      <c r="N283" s="34"/>
      <c r="O283" s="35"/>
    </row>
    <row r="284" spans="1:15">
      <c r="A284" s="32"/>
      <c r="B284" s="32"/>
      <c r="C284" s="32"/>
      <c r="D284" s="32"/>
      <c r="E284" s="32"/>
      <c r="F284" s="32"/>
      <c r="G284" s="33"/>
      <c r="H284" s="33"/>
      <c r="I284" s="33"/>
      <c r="J284" s="33"/>
      <c r="K284" s="34"/>
      <c r="L284" s="33"/>
      <c r="M284" s="34"/>
      <c r="N284" s="34"/>
      <c r="O284" s="35"/>
    </row>
    <row r="285" spans="1:15">
      <c r="A285" s="32"/>
      <c r="B285" s="32"/>
      <c r="C285" s="32"/>
      <c r="D285" s="32"/>
      <c r="E285" s="32"/>
      <c r="F285" s="32"/>
      <c r="G285" s="33"/>
      <c r="H285" s="33"/>
      <c r="I285" s="33"/>
      <c r="J285" s="33"/>
      <c r="K285" s="34"/>
      <c r="L285" s="33"/>
      <c r="M285" s="34"/>
      <c r="N285" s="34"/>
      <c r="O285" s="35"/>
    </row>
    <row r="286" spans="1:15">
      <c r="A286" s="32"/>
      <c r="B286" s="32"/>
      <c r="C286" s="32"/>
      <c r="D286" s="32"/>
      <c r="E286" s="32"/>
      <c r="F286" s="32"/>
      <c r="G286" s="33"/>
      <c r="H286" s="33"/>
      <c r="I286" s="33"/>
      <c r="J286" s="33"/>
      <c r="K286" s="34"/>
      <c r="L286" s="33"/>
      <c r="M286" s="34"/>
      <c r="N286" s="34"/>
      <c r="O286" s="35"/>
    </row>
    <row r="287" spans="1:15">
      <c r="A287" s="32"/>
      <c r="B287" s="32"/>
      <c r="C287" s="32"/>
      <c r="D287" s="32"/>
      <c r="E287" s="32"/>
      <c r="F287" s="32"/>
      <c r="G287" s="33"/>
      <c r="H287" s="33"/>
      <c r="I287" s="33"/>
      <c r="J287" s="33"/>
      <c r="K287" s="34"/>
      <c r="L287" s="33"/>
      <c r="M287" s="34"/>
      <c r="N287" s="34"/>
      <c r="O287" s="35"/>
    </row>
    <row r="288" spans="1:15">
      <c r="A288" s="32"/>
      <c r="B288" s="32"/>
      <c r="C288" s="32"/>
      <c r="D288" s="32"/>
      <c r="E288" s="32"/>
      <c r="F288" s="32"/>
      <c r="G288" s="33"/>
      <c r="H288" s="33"/>
      <c r="I288" s="33"/>
      <c r="J288" s="33"/>
      <c r="K288" s="34"/>
      <c r="L288" s="33"/>
      <c r="M288" s="34"/>
      <c r="N288" s="34"/>
      <c r="O288" s="35"/>
    </row>
    <row r="289" spans="1:15">
      <c r="A289" s="32"/>
      <c r="B289" s="32"/>
      <c r="C289" s="32"/>
      <c r="D289" s="32"/>
      <c r="E289" s="32"/>
      <c r="F289" s="32"/>
      <c r="G289" s="33"/>
      <c r="H289" s="33"/>
      <c r="I289" s="33"/>
      <c r="J289" s="33"/>
      <c r="K289" s="34"/>
      <c r="L289" s="33"/>
      <c r="M289" s="34"/>
      <c r="N289" s="34"/>
      <c r="O289" s="35"/>
    </row>
    <row r="290" spans="1:15">
      <c r="A290" s="32"/>
      <c r="B290" s="32"/>
      <c r="C290" s="32"/>
      <c r="D290" s="32"/>
      <c r="E290" s="32"/>
      <c r="F290" s="32"/>
      <c r="G290" s="33"/>
      <c r="H290" s="33"/>
      <c r="I290" s="33"/>
      <c r="J290" s="33"/>
      <c r="K290" s="34"/>
      <c r="L290" s="33"/>
      <c r="M290" s="34"/>
      <c r="N290" s="34"/>
      <c r="O290" s="35"/>
    </row>
    <row r="291" spans="1:15">
      <c r="A291" s="32"/>
      <c r="B291" s="32"/>
      <c r="C291" s="32"/>
      <c r="D291" s="32"/>
      <c r="E291" s="32"/>
      <c r="F291" s="32"/>
      <c r="G291" s="33"/>
      <c r="H291" s="33"/>
      <c r="I291" s="33"/>
      <c r="J291" s="33"/>
      <c r="K291" s="34"/>
      <c r="L291" s="33"/>
      <c r="M291" s="34"/>
      <c r="N291" s="34"/>
      <c r="O291" s="35"/>
    </row>
    <row r="292" spans="1:15">
      <c r="A292" s="32"/>
      <c r="B292" s="32"/>
      <c r="C292" s="32"/>
      <c r="D292" s="32"/>
      <c r="E292" s="32"/>
      <c r="F292" s="32"/>
      <c r="G292" s="33"/>
      <c r="H292" s="33"/>
      <c r="I292" s="33"/>
      <c r="J292" s="33"/>
      <c r="K292" s="34"/>
      <c r="L292" s="33"/>
      <c r="M292" s="34"/>
      <c r="N292" s="34"/>
      <c r="O292" s="35"/>
    </row>
    <row r="293" spans="1:15">
      <c r="A293" s="32"/>
      <c r="B293" s="32"/>
      <c r="C293" s="32"/>
      <c r="D293" s="32"/>
      <c r="E293" s="32"/>
      <c r="F293" s="32"/>
      <c r="G293" s="33"/>
      <c r="H293" s="33"/>
      <c r="I293" s="33"/>
      <c r="J293" s="33"/>
      <c r="K293" s="34"/>
      <c r="L293" s="33"/>
      <c r="M293" s="34"/>
      <c r="N293" s="34"/>
      <c r="O293" s="35"/>
    </row>
    <row r="294" spans="1:15">
      <c r="A294" s="32"/>
      <c r="B294" s="32"/>
      <c r="C294" s="32"/>
      <c r="D294" s="32"/>
      <c r="E294" s="32"/>
      <c r="F294" s="32"/>
      <c r="G294" s="33"/>
      <c r="H294" s="33"/>
      <c r="I294" s="33"/>
      <c r="J294" s="33"/>
      <c r="K294" s="34"/>
      <c r="L294" s="33"/>
      <c r="M294" s="34"/>
      <c r="N294" s="34"/>
      <c r="O294" s="35"/>
    </row>
    <row r="295" spans="1:15">
      <c r="A295" s="32"/>
      <c r="B295" s="32"/>
      <c r="C295" s="32"/>
      <c r="D295" s="32"/>
      <c r="E295" s="32"/>
      <c r="F295" s="32"/>
      <c r="G295" s="33"/>
      <c r="H295" s="33"/>
      <c r="I295" s="33"/>
      <c r="J295" s="33"/>
      <c r="K295" s="34"/>
      <c r="L295" s="33"/>
      <c r="M295" s="34"/>
      <c r="N295" s="34"/>
      <c r="O295" s="35"/>
    </row>
    <row r="296" spans="1:15">
      <c r="A296" s="32"/>
      <c r="B296" s="32"/>
      <c r="C296" s="32"/>
      <c r="D296" s="32"/>
      <c r="E296" s="32"/>
      <c r="F296" s="32"/>
      <c r="G296" s="33"/>
      <c r="H296" s="33"/>
      <c r="I296" s="33"/>
      <c r="J296" s="33"/>
      <c r="K296" s="34"/>
      <c r="L296" s="33"/>
      <c r="M296" s="34"/>
      <c r="N296" s="34"/>
      <c r="O296" s="35"/>
    </row>
    <row r="297" spans="1:15">
      <c r="A297" s="32"/>
      <c r="B297" s="32"/>
      <c r="C297" s="32"/>
      <c r="D297" s="32"/>
      <c r="E297" s="32"/>
      <c r="F297" s="32"/>
      <c r="G297" s="33"/>
      <c r="H297" s="33"/>
      <c r="I297" s="33"/>
      <c r="J297" s="33"/>
      <c r="K297" s="34"/>
      <c r="L297" s="33"/>
      <c r="M297" s="34"/>
      <c r="N297" s="34"/>
      <c r="O297" s="35"/>
    </row>
    <row r="298" spans="1:15">
      <c r="A298" s="32"/>
      <c r="B298" s="32"/>
      <c r="C298" s="32"/>
      <c r="D298" s="32"/>
      <c r="E298" s="32"/>
      <c r="F298" s="32"/>
      <c r="G298" s="33"/>
      <c r="H298" s="33"/>
      <c r="I298" s="33"/>
      <c r="J298" s="33"/>
      <c r="K298" s="34"/>
      <c r="L298" s="33"/>
      <c r="M298" s="34"/>
      <c r="N298" s="34"/>
      <c r="O298" s="35"/>
    </row>
    <row r="299" spans="1:15">
      <c r="A299" s="32"/>
      <c r="B299" s="32"/>
      <c r="C299" s="32"/>
      <c r="D299" s="32"/>
      <c r="E299" s="32"/>
      <c r="F299" s="32"/>
      <c r="G299" s="33"/>
      <c r="H299" s="33"/>
      <c r="I299" s="33"/>
      <c r="J299" s="33"/>
      <c r="K299" s="34"/>
      <c r="L299" s="33"/>
      <c r="M299" s="34"/>
      <c r="N299" s="34"/>
      <c r="O299" s="35"/>
    </row>
    <row r="300" spans="1:15">
      <c r="A300" s="32"/>
      <c r="B300" s="32"/>
      <c r="C300" s="32"/>
      <c r="D300" s="32"/>
      <c r="E300" s="32"/>
      <c r="F300" s="32"/>
      <c r="G300" s="33"/>
      <c r="H300" s="33"/>
      <c r="I300" s="33"/>
      <c r="J300" s="33"/>
      <c r="K300" s="34"/>
      <c r="L300" s="33"/>
      <c r="M300" s="34"/>
      <c r="N300" s="34"/>
      <c r="O300" s="35"/>
    </row>
    <row r="301" spans="1:15">
      <c r="A301" s="32"/>
      <c r="B301" s="32"/>
      <c r="C301" s="32"/>
      <c r="D301" s="32"/>
      <c r="E301" s="32"/>
      <c r="F301" s="32"/>
      <c r="G301" s="33"/>
      <c r="H301" s="33"/>
      <c r="I301" s="33"/>
      <c r="J301" s="33"/>
      <c r="K301" s="34"/>
      <c r="L301" s="33"/>
      <c r="M301" s="34"/>
      <c r="N301" s="34"/>
      <c r="O301" s="35"/>
    </row>
    <row r="302" spans="1:15">
      <c r="A302" s="32"/>
      <c r="B302" s="32"/>
      <c r="C302" s="32"/>
      <c r="D302" s="32"/>
      <c r="E302" s="32"/>
      <c r="F302" s="32"/>
      <c r="G302" s="33"/>
      <c r="H302" s="33"/>
      <c r="I302" s="33"/>
      <c r="J302" s="33"/>
      <c r="K302" s="34"/>
      <c r="L302" s="33"/>
      <c r="M302" s="34"/>
      <c r="N302" s="34"/>
      <c r="O302" s="35"/>
    </row>
    <row r="303" spans="1:15">
      <c r="A303" s="32"/>
      <c r="B303" s="32"/>
      <c r="C303" s="32"/>
      <c r="D303" s="32"/>
      <c r="E303" s="32"/>
      <c r="F303" s="32"/>
      <c r="G303" s="33"/>
      <c r="H303" s="33"/>
      <c r="I303" s="33"/>
      <c r="J303" s="33"/>
      <c r="K303" s="34"/>
      <c r="L303" s="33"/>
      <c r="M303" s="34"/>
      <c r="N303" s="34"/>
      <c r="O303" s="35"/>
    </row>
    <row r="304" spans="1:15">
      <c r="A304" s="32"/>
      <c r="B304" s="32"/>
      <c r="C304" s="32"/>
      <c r="D304" s="32"/>
      <c r="E304" s="32"/>
      <c r="F304" s="32"/>
      <c r="G304" s="33"/>
      <c r="H304" s="33"/>
      <c r="I304" s="33"/>
      <c r="J304" s="33"/>
      <c r="K304" s="34"/>
      <c r="L304" s="33"/>
      <c r="M304" s="34"/>
      <c r="N304" s="34"/>
      <c r="O304" s="35"/>
    </row>
    <row r="305" spans="1:15">
      <c r="A305" s="32"/>
      <c r="B305" s="32"/>
      <c r="C305" s="32"/>
      <c r="D305" s="32"/>
      <c r="E305" s="32"/>
      <c r="F305" s="32"/>
      <c r="G305" s="33"/>
      <c r="H305" s="33"/>
      <c r="I305" s="33"/>
      <c r="J305" s="33"/>
      <c r="K305" s="34"/>
      <c r="L305" s="33"/>
      <c r="M305" s="34"/>
      <c r="N305" s="34"/>
      <c r="O305" s="35"/>
    </row>
    <row r="306" spans="1:15">
      <c r="A306" s="32"/>
      <c r="B306" s="32"/>
      <c r="C306" s="32"/>
      <c r="D306" s="32"/>
      <c r="E306" s="32"/>
      <c r="F306" s="32"/>
      <c r="G306" s="33"/>
      <c r="H306" s="33"/>
      <c r="I306" s="33"/>
      <c r="J306" s="33"/>
      <c r="K306" s="34"/>
      <c r="L306" s="33"/>
      <c r="M306" s="34"/>
      <c r="N306" s="34"/>
      <c r="O306" s="35"/>
    </row>
    <row r="307" spans="1:15">
      <c r="A307" s="32"/>
      <c r="B307" s="32"/>
      <c r="C307" s="32"/>
      <c r="D307" s="32"/>
      <c r="E307" s="32"/>
      <c r="F307" s="32"/>
      <c r="G307" s="33"/>
      <c r="H307" s="33"/>
      <c r="I307" s="33"/>
      <c r="J307" s="33"/>
      <c r="K307" s="34"/>
      <c r="L307" s="33"/>
      <c r="M307" s="34"/>
      <c r="N307" s="34"/>
      <c r="O307" s="35"/>
    </row>
    <row r="308" spans="1:15">
      <c r="A308" s="32"/>
      <c r="B308" s="32"/>
      <c r="C308" s="32"/>
      <c r="D308" s="32"/>
      <c r="E308" s="32"/>
      <c r="F308" s="32"/>
      <c r="G308" s="33"/>
      <c r="H308" s="33"/>
      <c r="I308" s="33"/>
      <c r="J308" s="33"/>
      <c r="K308" s="34"/>
      <c r="L308" s="33"/>
      <c r="M308" s="34"/>
      <c r="N308" s="34"/>
      <c r="O308" s="35"/>
    </row>
    <row r="309" spans="1:15">
      <c r="A309" s="32"/>
      <c r="B309" s="32"/>
      <c r="C309" s="32"/>
      <c r="D309" s="32"/>
      <c r="E309" s="32"/>
      <c r="F309" s="32"/>
      <c r="G309" s="33"/>
      <c r="H309" s="33"/>
      <c r="I309" s="33"/>
      <c r="J309" s="33"/>
      <c r="K309" s="34"/>
      <c r="L309" s="33"/>
      <c r="M309" s="34"/>
      <c r="N309" s="34"/>
      <c r="O309" s="35"/>
    </row>
    <row r="310" spans="1:15">
      <c r="A310" s="32"/>
      <c r="B310" s="32"/>
      <c r="C310" s="32"/>
      <c r="D310" s="32"/>
      <c r="E310" s="32"/>
      <c r="F310" s="32"/>
      <c r="G310" s="33"/>
      <c r="H310" s="33"/>
      <c r="I310" s="33"/>
      <c r="J310" s="33"/>
      <c r="K310" s="34"/>
      <c r="L310" s="33"/>
      <c r="M310" s="34"/>
      <c r="N310" s="34"/>
      <c r="O310" s="35"/>
    </row>
    <row r="311" spans="1:15">
      <c r="A311" s="32"/>
      <c r="B311" s="32"/>
      <c r="C311" s="32"/>
      <c r="D311" s="32"/>
      <c r="E311" s="32"/>
      <c r="F311" s="32"/>
      <c r="G311" s="33"/>
      <c r="H311" s="33"/>
      <c r="I311" s="33"/>
      <c r="J311" s="33"/>
      <c r="K311" s="34"/>
      <c r="L311" s="33"/>
      <c r="M311" s="34"/>
      <c r="N311" s="34"/>
      <c r="O311" s="35"/>
    </row>
    <row r="312" spans="1:15">
      <c r="A312" s="32"/>
      <c r="B312" s="32"/>
      <c r="C312" s="32"/>
      <c r="D312" s="32"/>
      <c r="E312" s="32"/>
      <c r="F312" s="32"/>
      <c r="G312" s="33"/>
      <c r="H312" s="33"/>
      <c r="I312" s="33"/>
      <c r="J312" s="33"/>
      <c r="K312" s="34"/>
      <c r="L312" s="33"/>
      <c r="M312" s="34"/>
      <c r="N312" s="34"/>
      <c r="O312" s="35"/>
    </row>
    <row r="313" spans="1:15">
      <c r="A313" s="32"/>
      <c r="B313" s="32"/>
      <c r="C313" s="32"/>
      <c r="D313" s="32"/>
      <c r="E313" s="32"/>
      <c r="F313" s="32"/>
      <c r="G313" s="33"/>
      <c r="H313" s="33"/>
      <c r="I313" s="33"/>
      <c r="J313" s="33"/>
      <c r="K313" s="34"/>
      <c r="L313" s="33"/>
      <c r="M313" s="34"/>
      <c r="N313" s="34"/>
      <c r="O313" s="35"/>
    </row>
    <row r="314" spans="1:15">
      <c r="A314" s="32"/>
      <c r="B314" s="32"/>
      <c r="C314" s="32"/>
      <c r="D314" s="32"/>
      <c r="E314" s="32"/>
      <c r="F314" s="32"/>
      <c r="G314" s="33"/>
      <c r="H314" s="33"/>
      <c r="I314" s="33"/>
      <c r="J314" s="33"/>
      <c r="K314" s="34"/>
      <c r="L314" s="33"/>
      <c r="M314" s="34"/>
      <c r="N314" s="34"/>
      <c r="O314" s="35"/>
    </row>
    <row r="315" spans="1:15">
      <c r="A315" s="32"/>
      <c r="B315" s="32"/>
      <c r="C315" s="32"/>
      <c r="D315" s="32"/>
      <c r="E315" s="32"/>
      <c r="F315" s="32"/>
      <c r="G315" s="33"/>
      <c r="H315" s="33"/>
      <c r="I315" s="33"/>
      <c r="J315" s="33"/>
      <c r="K315" s="34"/>
      <c r="L315" s="33"/>
      <c r="M315" s="34"/>
      <c r="N315" s="34"/>
      <c r="O315" s="35"/>
    </row>
    <row r="316" spans="1:15">
      <c r="A316" s="32"/>
      <c r="B316" s="32"/>
      <c r="C316" s="32"/>
      <c r="D316" s="32"/>
      <c r="E316" s="32"/>
      <c r="F316" s="32"/>
      <c r="G316" s="33"/>
      <c r="H316" s="33"/>
      <c r="I316" s="33"/>
      <c r="J316" s="33"/>
      <c r="K316" s="34"/>
      <c r="L316" s="33"/>
      <c r="M316" s="34"/>
      <c r="N316" s="34"/>
      <c r="O316" s="35"/>
    </row>
    <row r="317" spans="1:15">
      <c r="A317" s="32"/>
      <c r="B317" s="32"/>
      <c r="C317" s="32"/>
      <c r="D317" s="32"/>
      <c r="E317" s="32"/>
      <c r="F317" s="32"/>
      <c r="G317" s="33"/>
      <c r="H317" s="33"/>
      <c r="I317" s="33"/>
      <c r="J317" s="33"/>
      <c r="K317" s="34"/>
      <c r="L317" s="33"/>
      <c r="M317" s="34"/>
      <c r="N317" s="34"/>
      <c r="O317" s="35"/>
    </row>
    <row r="318" spans="1:15">
      <c r="A318" s="32"/>
      <c r="B318" s="32"/>
      <c r="C318" s="32"/>
      <c r="D318" s="32"/>
      <c r="E318" s="32"/>
      <c r="F318" s="32"/>
      <c r="G318" s="33"/>
      <c r="H318" s="33"/>
      <c r="I318" s="33"/>
      <c r="J318" s="33"/>
      <c r="K318" s="34"/>
      <c r="L318" s="33"/>
      <c r="M318" s="34"/>
      <c r="N318" s="34"/>
      <c r="O318" s="35"/>
    </row>
    <row r="319" spans="1:15">
      <c r="A319" s="32"/>
      <c r="B319" s="32"/>
      <c r="C319" s="32"/>
      <c r="D319" s="32"/>
      <c r="E319" s="32"/>
      <c r="F319" s="32"/>
      <c r="G319" s="33"/>
      <c r="H319" s="33"/>
      <c r="I319" s="33"/>
      <c r="J319" s="33"/>
      <c r="K319" s="34"/>
      <c r="L319" s="33"/>
      <c r="M319" s="34"/>
      <c r="N319" s="34"/>
      <c r="O319" s="35"/>
    </row>
    <row r="320" spans="1:15">
      <c r="A320" s="32"/>
      <c r="B320" s="32"/>
      <c r="C320" s="32"/>
      <c r="D320" s="32"/>
      <c r="E320" s="32"/>
      <c r="F320" s="32"/>
      <c r="G320" s="33"/>
      <c r="H320" s="33"/>
      <c r="I320" s="33"/>
      <c r="J320" s="33"/>
      <c r="K320" s="34"/>
      <c r="L320" s="33"/>
      <c r="M320" s="34"/>
      <c r="N320" s="34"/>
      <c r="O320" s="35"/>
    </row>
    <row r="321" spans="1:15">
      <c r="A321" s="32"/>
      <c r="B321" s="32"/>
      <c r="C321" s="32"/>
      <c r="D321" s="32"/>
      <c r="E321" s="32"/>
      <c r="F321" s="32"/>
      <c r="G321" s="33"/>
      <c r="H321" s="33"/>
      <c r="I321" s="33"/>
      <c r="J321" s="33"/>
      <c r="K321" s="34"/>
      <c r="L321" s="33"/>
      <c r="M321" s="34"/>
      <c r="N321" s="34"/>
      <c r="O321" s="35"/>
    </row>
    <row r="322" spans="1:15">
      <c r="A322" s="32"/>
      <c r="B322" s="32"/>
      <c r="C322" s="32"/>
      <c r="D322" s="32"/>
      <c r="E322" s="32"/>
      <c r="F322" s="32"/>
      <c r="G322" s="33"/>
      <c r="H322" s="33"/>
      <c r="I322" s="33"/>
      <c r="J322" s="33"/>
      <c r="K322" s="34"/>
      <c r="L322" s="33"/>
      <c r="M322" s="34"/>
      <c r="N322" s="34"/>
      <c r="O322" s="35"/>
    </row>
    <row r="323" spans="1:15">
      <c r="A323" s="32"/>
      <c r="B323" s="32"/>
      <c r="C323" s="32"/>
      <c r="D323" s="32"/>
      <c r="E323" s="32"/>
      <c r="F323" s="32"/>
      <c r="G323" s="33"/>
      <c r="H323" s="33"/>
      <c r="I323" s="33"/>
      <c r="J323" s="33"/>
      <c r="K323" s="34"/>
      <c r="L323" s="33"/>
      <c r="M323" s="34"/>
      <c r="N323" s="34"/>
      <c r="O323" s="35"/>
    </row>
    <row r="324" spans="1:15">
      <c r="A324" s="32"/>
      <c r="B324" s="32"/>
      <c r="C324" s="32"/>
      <c r="D324" s="32"/>
      <c r="E324" s="32"/>
      <c r="F324" s="32"/>
      <c r="G324" s="33"/>
      <c r="H324" s="33"/>
      <c r="I324" s="33"/>
      <c r="J324" s="33"/>
      <c r="K324" s="34"/>
      <c r="L324" s="33"/>
      <c r="M324" s="34"/>
      <c r="N324" s="34"/>
      <c r="O324" s="35"/>
    </row>
    <row r="325" spans="1:15">
      <c r="A325" s="32"/>
      <c r="B325" s="32"/>
      <c r="C325" s="32"/>
      <c r="D325" s="32"/>
      <c r="E325" s="32"/>
      <c r="F325" s="32"/>
      <c r="G325" s="33"/>
      <c r="H325" s="33"/>
      <c r="I325" s="33"/>
      <c r="J325" s="33"/>
      <c r="K325" s="34"/>
      <c r="L325" s="33"/>
      <c r="M325" s="34"/>
      <c r="N325" s="34"/>
      <c r="O325" s="35"/>
    </row>
    <row r="326" spans="1:15">
      <c r="A326" s="32"/>
      <c r="B326" s="32"/>
      <c r="C326" s="32"/>
      <c r="D326" s="32"/>
      <c r="E326" s="32"/>
      <c r="F326" s="32"/>
      <c r="G326" s="33"/>
      <c r="H326" s="33"/>
      <c r="I326" s="33"/>
      <c r="J326" s="33"/>
      <c r="K326" s="34"/>
      <c r="L326" s="33"/>
      <c r="M326" s="34"/>
      <c r="N326" s="34"/>
      <c r="O326" s="35"/>
    </row>
    <row r="327" spans="1:15">
      <c r="A327" s="32"/>
      <c r="B327" s="32"/>
      <c r="C327" s="32"/>
      <c r="D327" s="32"/>
      <c r="E327" s="32"/>
      <c r="F327" s="32"/>
      <c r="G327" s="33"/>
      <c r="H327" s="33"/>
      <c r="I327" s="33"/>
      <c r="J327" s="33"/>
      <c r="K327" s="34"/>
      <c r="L327" s="33"/>
      <c r="M327" s="34"/>
      <c r="N327" s="34"/>
      <c r="O327" s="35"/>
    </row>
    <row r="328" spans="1:15">
      <c r="A328" s="32"/>
      <c r="B328" s="32"/>
      <c r="C328" s="32"/>
      <c r="D328" s="32"/>
      <c r="E328" s="32"/>
      <c r="F328" s="32"/>
      <c r="G328" s="33"/>
      <c r="H328" s="33"/>
      <c r="I328" s="33"/>
      <c r="J328" s="33"/>
      <c r="K328" s="34"/>
      <c r="L328" s="33"/>
      <c r="M328" s="34"/>
      <c r="N328" s="34"/>
      <c r="O328" s="35"/>
    </row>
    <row r="329" spans="1:15">
      <c r="A329" s="32"/>
      <c r="B329" s="32"/>
      <c r="C329" s="32"/>
      <c r="D329" s="32"/>
      <c r="E329" s="32"/>
      <c r="F329" s="32"/>
      <c r="G329" s="33"/>
      <c r="H329" s="33"/>
      <c r="I329" s="33"/>
      <c r="J329" s="33"/>
      <c r="K329" s="34"/>
      <c r="L329" s="33"/>
      <c r="M329" s="34"/>
      <c r="N329" s="34"/>
      <c r="O329" s="35"/>
    </row>
    <row r="330" spans="1:15">
      <c r="A330" s="32"/>
      <c r="B330" s="32"/>
      <c r="C330" s="32"/>
      <c r="D330" s="32"/>
      <c r="E330" s="32"/>
      <c r="F330" s="32"/>
      <c r="G330" s="33"/>
      <c r="H330" s="33"/>
      <c r="I330" s="33"/>
      <c r="J330" s="33"/>
      <c r="K330" s="34"/>
      <c r="L330" s="33"/>
      <c r="M330" s="34"/>
      <c r="N330" s="34"/>
      <c r="O330" s="35"/>
    </row>
    <row r="331" spans="1:15">
      <c r="A331" s="32"/>
      <c r="B331" s="32"/>
      <c r="C331" s="32"/>
      <c r="D331" s="32"/>
      <c r="E331" s="32"/>
      <c r="F331" s="32"/>
      <c r="G331" s="33"/>
      <c r="H331" s="33"/>
      <c r="I331" s="33"/>
      <c r="J331" s="33"/>
      <c r="K331" s="34"/>
      <c r="L331" s="33"/>
      <c r="M331" s="34"/>
      <c r="N331" s="34"/>
      <c r="O331" s="35"/>
    </row>
    <row r="332" spans="1:15">
      <c r="A332" s="32"/>
      <c r="B332" s="32"/>
      <c r="C332" s="32"/>
      <c r="D332" s="32"/>
      <c r="E332" s="32"/>
      <c r="F332" s="32"/>
      <c r="G332" s="33"/>
      <c r="H332" s="33"/>
      <c r="I332" s="33"/>
      <c r="J332" s="33"/>
      <c r="K332" s="34"/>
      <c r="L332" s="33"/>
      <c r="M332" s="34"/>
      <c r="N332" s="34"/>
      <c r="O332" s="35"/>
    </row>
    <row r="333" spans="1:15">
      <c r="A333" s="32"/>
      <c r="B333" s="32"/>
      <c r="C333" s="32"/>
      <c r="D333" s="32"/>
      <c r="E333" s="32"/>
      <c r="F333" s="32"/>
      <c r="G333" s="33"/>
      <c r="H333" s="33"/>
      <c r="I333" s="33"/>
      <c r="J333" s="33"/>
      <c r="K333" s="34"/>
      <c r="L333" s="33"/>
      <c r="M333" s="34"/>
      <c r="N333" s="34"/>
      <c r="O333" s="35"/>
    </row>
    <row r="334" spans="1:15">
      <c r="A334" s="32"/>
      <c r="B334" s="32"/>
      <c r="C334" s="32"/>
      <c r="D334" s="32"/>
      <c r="E334" s="32"/>
      <c r="F334" s="32"/>
      <c r="G334" s="33"/>
      <c r="H334" s="33"/>
      <c r="I334" s="33"/>
      <c r="J334" s="33"/>
      <c r="K334" s="34"/>
      <c r="L334" s="33"/>
      <c r="M334" s="34"/>
      <c r="N334" s="34"/>
      <c r="O334" s="35"/>
    </row>
    <row r="335" spans="1:15">
      <c r="A335" s="32"/>
      <c r="B335" s="32"/>
      <c r="C335" s="32"/>
      <c r="D335" s="32"/>
      <c r="E335" s="32"/>
      <c r="F335" s="32"/>
      <c r="G335" s="33"/>
      <c r="H335" s="33"/>
      <c r="I335" s="33"/>
      <c r="J335" s="33"/>
      <c r="K335" s="34"/>
      <c r="L335" s="33"/>
      <c r="M335" s="34"/>
      <c r="N335" s="34"/>
      <c r="O335" s="35"/>
    </row>
    <row r="336" spans="1:15">
      <c r="A336" s="32"/>
      <c r="B336" s="32"/>
      <c r="C336" s="32"/>
      <c r="D336" s="32"/>
      <c r="E336" s="32"/>
      <c r="F336" s="32"/>
      <c r="G336" s="33"/>
      <c r="H336" s="33"/>
      <c r="I336" s="33"/>
      <c r="J336" s="33"/>
      <c r="K336" s="34"/>
      <c r="L336" s="33"/>
      <c r="M336" s="34"/>
      <c r="N336" s="34"/>
      <c r="O336" s="35"/>
    </row>
    <row r="337" spans="1:15">
      <c r="A337" s="32"/>
      <c r="B337" s="32"/>
      <c r="C337" s="32"/>
      <c r="D337" s="32"/>
      <c r="E337" s="32"/>
      <c r="F337" s="32"/>
      <c r="G337" s="33"/>
      <c r="H337" s="33"/>
      <c r="I337" s="33"/>
      <c r="J337" s="33"/>
      <c r="K337" s="34"/>
      <c r="L337" s="33"/>
      <c r="M337" s="34"/>
      <c r="N337" s="34"/>
      <c r="O337" s="35"/>
    </row>
    <row r="338" spans="1:15">
      <c r="A338" s="32"/>
      <c r="B338" s="32"/>
      <c r="C338" s="32"/>
      <c r="D338" s="32"/>
      <c r="E338" s="32"/>
      <c r="F338" s="32"/>
      <c r="G338" s="33"/>
      <c r="H338" s="33"/>
      <c r="I338" s="33"/>
      <c r="J338" s="33"/>
      <c r="K338" s="34"/>
      <c r="L338" s="33"/>
      <c r="M338" s="34"/>
      <c r="N338" s="34"/>
      <c r="O338" s="35"/>
    </row>
    <row r="339" spans="1:15">
      <c r="A339" s="32"/>
      <c r="B339" s="32"/>
      <c r="C339" s="32"/>
      <c r="D339" s="32"/>
      <c r="E339" s="32"/>
      <c r="F339" s="32"/>
      <c r="G339" s="33"/>
      <c r="H339" s="33"/>
      <c r="I339" s="33"/>
      <c r="J339" s="33"/>
      <c r="K339" s="34"/>
      <c r="L339" s="33"/>
      <c r="M339" s="34"/>
      <c r="N339" s="34"/>
      <c r="O339" s="35"/>
    </row>
    <row r="340" spans="1:15">
      <c r="A340" s="32"/>
      <c r="B340" s="32"/>
      <c r="C340" s="32"/>
      <c r="D340" s="32"/>
      <c r="E340" s="32"/>
      <c r="F340" s="32"/>
      <c r="G340" s="33"/>
      <c r="H340" s="33"/>
      <c r="I340" s="33"/>
      <c r="J340" s="33"/>
      <c r="K340" s="34"/>
      <c r="L340" s="33"/>
      <c r="M340" s="34"/>
      <c r="N340" s="34"/>
      <c r="O340" s="35"/>
    </row>
    <row r="341" spans="1:15">
      <c r="A341" s="32"/>
      <c r="B341" s="32"/>
      <c r="C341" s="32"/>
      <c r="D341" s="32"/>
      <c r="E341" s="32"/>
      <c r="F341" s="32"/>
      <c r="G341" s="33"/>
      <c r="H341" s="33"/>
      <c r="I341" s="33"/>
      <c r="J341" s="33"/>
      <c r="K341" s="34"/>
      <c r="L341" s="33"/>
      <c r="M341" s="34"/>
      <c r="N341" s="34"/>
      <c r="O341" s="35"/>
    </row>
    <row r="342" spans="1:15">
      <c r="A342" s="32"/>
      <c r="B342" s="32"/>
      <c r="C342" s="32"/>
      <c r="D342" s="32"/>
      <c r="E342" s="32"/>
      <c r="F342" s="32"/>
      <c r="G342" s="33"/>
      <c r="H342" s="33"/>
      <c r="I342" s="33"/>
      <c r="J342" s="33"/>
      <c r="K342" s="34"/>
      <c r="L342" s="33"/>
      <c r="M342" s="34"/>
      <c r="N342" s="34"/>
      <c r="O342" s="35"/>
    </row>
    <row r="343" spans="1:15">
      <c r="A343" s="32"/>
      <c r="B343" s="32"/>
      <c r="C343" s="32"/>
      <c r="D343" s="32"/>
      <c r="E343" s="32"/>
      <c r="F343" s="32"/>
      <c r="G343" s="33"/>
      <c r="H343" s="33"/>
      <c r="I343" s="33"/>
      <c r="J343" s="33"/>
      <c r="K343" s="34"/>
      <c r="L343" s="33"/>
      <c r="M343" s="34"/>
      <c r="N343" s="34"/>
      <c r="O343" s="35"/>
    </row>
    <row r="344" spans="1:15">
      <c r="A344" s="32"/>
      <c r="B344" s="32"/>
      <c r="C344" s="32"/>
      <c r="D344" s="32"/>
      <c r="E344" s="32"/>
      <c r="F344" s="32"/>
      <c r="G344" s="33"/>
      <c r="H344" s="33"/>
      <c r="I344" s="33"/>
      <c r="J344" s="33"/>
      <c r="K344" s="34"/>
      <c r="L344" s="33"/>
      <c r="M344" s="34"/>
      <c r="N344" s="34"/>
      <c r="O344" s="35"/>
    </row>
    <row r="345" spans="1:15">
      <c r="A345" s="32"/>
      <c r="B345" s="32"/>
      <c r="C345" s="32"/>
      <c r="D345" s="32"/>
      <c r="E345" s="32"/>
      <c r="F345" s="32"/>
      <c r="G345" s="33"/>
      <c r="H345" s="33"/>
      <c r="I345" s="33"/>
      <c r="J345" s="33"/>
      <c r="K345" s="34"/>
      <c r="L345" s="33"/>
      <c r="M345" s="34"/>
      <c r="N345" s="34"/>
      <c r="O345" s="35"/>
    </row>
    <row r="346" spans="1:15">
      <c r="A346" s="32"/>
      <c r="B346" s="32"/>
      <c r="C346" s="32"/>
      <c r="D346" s="32"/>
      <c r="E346" s="32"/>
      <c r="F346" s="32"/>
      <c r="G346" s="33"/>
      <c r="H346" s="33"/>
      <c r="I346" s="33"/>
      <c r="J346" s="33"/>
      <c r="K346" s="34"/>
      <c r="L346" s="33"/>
      <c r="M346" s="34"/>
      <c r="N346" s="34"/>
      <c r="O346" s="35"/>
    </row>
    <row r="347" spans="1:15">
      <c r="A347" s="32"/>
      <c r="B347" s="32"/>
      <c r="C347" s="32"/>
      <c r="D347" s="32"/>
      <c r="E347" s="32"/>
      <c r="F347" s="32"/>
      <c r="G347" s="33"/>
      <c r="H347" s="33"/>
      <c r="I347" s="33"/>
      <c r="J347" s="33"/>
      <c r="K347" s="34"/>
      <c r="L347" s="33"/>
      <c r="M347" s="34"/>
      <c r="N347" s="34"/>
      <c r="O347" s="35"/>
    </row>
    <row r="348" spans="1:15">
      <c r="A348" s="32"/>
      <c r="B348" s="32"/>
      <c r="C348" s="32"/>
      <c r="D348" s="32"/>
      <c r="E348" s="32"/>
      <c r="F348" s="32"/>
      <c r="G348" s="33"/>
      <c r="H348" s="33"/>
      <c r="I348" s="33"/>
      <c r="J348" s="33"/>
      <c r="K348" s="34"/>
      <c r="L348" s="33"/>
      <c r="M348" s="34"/>
      <c r="N348" s="34"/>
      <c r="O348" s="35"/>
    </row>
    <row r="349" spans="1:15">
      <c r="A349" s="32"/>
      <c r="B349" s="32"/>
      <c r="C349" s="32"/>
      <c r="D349" s="32"/>
      <c r="E349" s="32"/>
      <c r="F349" s="32"/>
      <c r="G349" s="33"/>
      <c r="H349" s="33"/>
      <c r="I349" s="33"/>
      <c r="J349" s="33"/>
      <c r="K349" s="34"/>
      <c r="L349" s="33"/>
      <c r="M349" s="34"/>
      <c r="N349" s="34"/>
      <c r="O349" s="35"/>
    </row>
    <row r="350" spans="1:15">
      <c r="A350" s="32"/>
      <c r="B350" s="32"/>
      <c r="C350" s="32"/>
      <c r="D350" s="32"/>
      <c r="E350" s="32"/>
      <c r="F350" s="32"/>
      <c r="G350" s="33"/>
      <c r="H350" s="33"/>
      <c r="I350" s="33"/>
      <c r="J350" s="33"/>
      <c r="K350" s="34"/>
      <c r="L350" s="33"/>
      <c r="M350" s="34"/>
      <c r="N350" s="34"/>
      <c r="O350" s="35"/>
    </row>
    <row r="351" spans="1:15">
      <c r="A351" s="32"/>
      <c r="B351" s="32"/>
      <c r="C351" s="32"/>
      <c r="D351" s="32"/>
      <c r="E351" s="32"/>
      <c r="F351" s="32"/>
      <c r="G351" s="33"/>
      <c r="H351" s="33"/>
      <c r="I351" s="33"/>
      <c r="J351" s="33"/>
      <c r="K351" s="34"/>
      <c r="L351" s="33"/>
      <c r="M351" s="34"/>
      <c r="N351" s="34"/>
      <c r="O351" s="35"/>
    </row>
    <row r="352" spans="1:15">
      <c r="A352" s="32"/>
      <c r="B352" s="32"/>
      <c r="C352" s="32"/>
      <c r="D352" s="32"/>
      <c r="E352" s="32"/>
      <c r="F352" s="32"/>
      <c r="G352" s="33"/>
      <c r="H352" s="33"/>
      <c r="I352" s="33"/>
      <c r="J352" s="33"/>
      <c r="K352" s="34"/>
      <c r="L352" s="33"/>
      <c r="M352" s="34"/>
      <c r="N352" s="34"/>
      <c r="O352" s="35"/>
    </row>
    <row r="353" spans="1:15">
      <c r="A353" s="32"/>
      <c r="B353" s="32"/>
      <c r="C353" s="32"/>
      <c r="D353" s="32"/>
      <c r="E353" s="32"/>
      <c r="F353" s="32"/>
      <c r="G353" s="33"/>
      <c r="H353" s="33"/>
      <c r="I353" s="33"/>
      <c r="J353" s="33"/>
      <c r="K353" s="34"/>
      <c r="L353" s="33"/>
      <c r="M353" s="34"/>
      <c r="N353" s="34"/>
      <c r="O353" s="35"/>
    </row>
    <row r="354" spans="1:15">
      <c r="A354" s="32"/>
      <c r="B354" s="32"/>
      <c r="C354" s="32"/>
      <c r="D354" s="32"/>
      <c r="E354" s="32"/>
      <c r="F354" s="32"/>
      <c r="G354" s="33"/>
      <c r="H354" s="33"/>
      <c r="I354" s="33"/>
      <c r="J354" s="33"/>
      <c r="K354" s="34"/>
      <c r="L354" s="33"/>
      <c r="M354" s="34"/>
      <c r="N354" s="34"/>
      <c r="O354" s="35"/>
    </row>
    <row r="355" spans="1:15">
      <c r="A355" s="32"/>
      <c r="B355" s="32"/>
      <c r="C355" s="32"/>
      <c r="D355" s="32"/>
      <c r="E355" s="32"/>
      <c r="F355" s="32"/>
      <c r="G355" s="33"/>
      <c r="H355" s="33"/>
      <c r="I355" s="33"/>
      <c r="J355" s="33"/>
      <c r="K355" s="34"/>
      <c r="L355" s="33"/>
      <c r="M355" s="34"/>
      <c r="N355" s="34"/>
      <c r="O355" s="35"/>
    </row>
    <row r="356" spans="1:15">
      <c r="A356" s="32"/>
      <c r="B356" s="32"/>
      <c r="C356" s="32"/>
      <c r="D356" s="32"/>
      <c r="E356" s="32"/>
      <c r="F356" s="32"/>
      <c r="G356" s="33"/>
      <c r="H356" s="33"/>
      <c r="I356" s="33"/>
      <c r="J356" s="33"/>
      <c r="K356" s="34"/>
      <c r="L356" s="33"/>
      <c r="M356" s="34"/>
      <c r="N356" s="34"/>
      <c r="O356" s="35"/>
    </row>
    <row r="357" spans="1:15">
      <c r="A357" s="32"/>
      <c r="B357" s="32"/>
      <c r="C357" s="32"/>
      <c r="D357" s="32"/>
      <c r="E357" s="32"/>
      <c r="F357" s="32"/>
      <c r="G357" s="33"/>
      <c r="H357" s="33"/>
      <c r="I357" s="33"/>
      <c r="J357" s="33"/>
      <c r="K357" s="34"/>
      <c r="L357" s="33"/>
      <c r="M357" s="34"/>
      <c r="N357" s="34"/>
      <c r="O357" s="35"/>
    </row>
    <row r="358" spans="1:15">
      <c r="A358" s="32"/>
      <c r="B358" s="32"/>
      <c r="C358" s="32"/>
      <c r="D358" s="32"/>
      <c r="E358" s="32"/>
      <c r="F358" s="32"/>
      <c r="G358" s="33"/>
      <c r="H358" s="33"/>
      <c r="I358" s="33"/>
      <c r="J358" s="33"/>
      <c r="K358" s="34"/>
      <c r="L358" s="33"/>
      <c r="M358" s="34"/>
      <c r="N358" s="34"/>
      <c r="O358" s="35"/>
    </row>
    <row r="359" spans="1:15">
      <c r="A359" s="32"/>
      <c r="B359" s="32"/>
      <c r="C359" s="32"/>
      <c r="D359" s="32"/>
      <c r="E359" s="32"/>
      <c r="F359" s="32"/>
      <c r="G359" s="33"/>
      <c r="H359" s="33"/>
      <c r="I359" s="33"/>
      <c r="J359" s="33"/>
      <c r="K359" s="34"/>
      <c r="L359" s="33"/>
      <c r="M359" s="34"/>
      <c r="N359" s="34"/>
      <c r="O359" s="35"/>
    </row>
    <row r="360" spans="1:15">
      <c r="A360" s="32"/>
      <c r="B360" s="32"/>
      <c r="C360" s="32"/>
      <c r="D360" s="32"/>
      <c r="E360" s="32"/>
      <c r="F360" s="32"/>
      <c r="G360" s="33"/>
      <c r="H360" s="33"/>
      <c r="I360" s="33"/>
      <c r="J360" s="33"/>
      <c r="K360" s="34"/>
      <c r="L360" s="33"/>
      <c r="M360" s="34"/>
      <c r="N360" s="34"/>
      <c r="O360" s="35"/>
    </row>
    <row r="361" spans="1:15">
      <c r="A361" s="32"/>
      <c r="B361" s="32"/>
      <c r="C361" s="32"/>
      <c r="D361" s="32"/>
      <c r="E361" s="32"/>
      <c r="F361" s="32"/>
      <c r="G361" s="33"/>
      <c r="H361" s="33"/>
      <c r="I361" s="33"/>
      <c r="J361" s="33"/>
      <c r="K361" s="34"/>
      <c r="L361" s="33"/>
      <c r="M361" s="34"/>
      <c r="N361" s="34"/>
      <c r="O361" s="35"/>
    </row>
    <row r="362" spans="1:15">
      <c r="A362" s="32"/>
      <c r="B362" s="32"/>
      <c r="C362" s="32"/>
      <c r="D362" s="32"/>
      <c r="E362" s="32"/>
      <c r="F362" s="32"/>
      <c r="G362" s="33"/>
      <c r="H362" s="33"/>
      <c r="I362" s="33"/>
      <c r="J362" s="33"/>
      <c r="K362" s="34"/>
      <c r="L362" s="33"/>
      <c r="M362" s="34"/>
      <c r="N362" s="34"/>
      <c r="O362" s="35"/>
    </row>
    <row r="363" spans="1:15">
      <c r="A363" s="32"/>
      <c r="B363" s="32"/>
      <c r="C363" s="32"/>
      <c r="D363" s="32"/>
      <c r="E363" s="32"/>
      <c r="F363" s="32"/>
      <c r="G363" s="33"/>
      <c r="H363" s="33"/>
      <c r="I363" s="33"/>
      <c r="J363" s="33"/>
      <c r="K363" s="34"/>
      <c r="L363" s="33"/>
      <c r="M363" s="34"/>
      <c r="N363" s="34"/>
      <c r="O363" s="35"/>
    </row>
    <row r="364" spans="1:15">
      <c r="A364" s="32"/>
      <c r="B364" s="32"/>
      <c r="C364" s="32"/>
      <c r="D364" s="32"/>
      <c r="E364" s="32"/>
      <c r="F364" s="32"/>
      <c r="G364" s="33"/>
      <c r="H364" s="33"/>
      <c r="I364" s="33"/>
      <c r="J364" s="33"/>
      <c r="K364" s="34"/>
      <c r="L364" s="33"/>
      <c r="M364" s="34"/>
      <c r="N364" s="34"/>
      <c r="O364" s="35"/>
    </row>
    <row r="365" spans="1:15">
      <c r="A365" s="32"/>
      <c r="B365" s="32"/>
      <c r="C365" s="32"/>
      <c r="D365" s="32"/>
      <c r="E365" s="32"/>
      <c r="F365" s="32"/>
      <c r="G365" s="33"/>
      <c r="H365" s="33"/>
      <c r="I365" s="33"/>
      <c r="J365" s="33"/>
      <c r="K365" s="34"/>
      <c r="L365" s="33"/>
      <c r="M365" s="34"/>
      <c r="N365" s="34"/>
      <c r="O365" s="35"/>
    </row>
    <row r="366" spans="1:15">
      <c r="A366" s="32"/>
      <c r="B366" s="32"/>
      <c r="C366" s="32"/>
      <c r="D366" s="32"/>
      <c r="E366" s="32"/>
      <c r="F366" s="32"/>
      <c r="G366" s="33"/>
      <c r="H366" s="33"/>
      <c r="I366" s="33"/>
      <c r="J366" s="33"/>
      <c r="K366" s="34"/>
      <c r="L366" s="33"/>
      <c r="M366" s="34"/>
      <c r="N366" s="34"/>
      <c r="O366" s="35"/>
    </row>
    <row r="367" spans="1:15">
      <c r="A367" s="32"/>
      <c r="B367" s="32"/>
      <c r="C367" s="32"/>
      <c r="D367" s="32"/>
      <c r="E367" s="32"/>
      <c r="F367" s="32"/>
      <c r="G367" s="33"/>
      <c r="H367" s="33"/>
      <c r="I367" s="33"/>
      <c r="J367" s="33"/>
      <c r="K367" s="34"/>
      <c r="L367" s="33"/>
      <c r="M367" s="34"/>
      <c r="N367" s="34"/>
      <c r="O367" s="35"/>
    </row>
    <row r="368" spans="1:15">
      <c r="A368" s="32"/>
      <c r="B368" s="32"/>
      <c r="C368" s="32"/>
      <c r="D368" s="32"/>
      <c r="E368" s="32"/>
      <c r="F368" s="32"/>
      <c r="G368" s="33"/>
      <c r="H368" s="33"/>
      <c r="I368" s="33"/>
      <c r="J368" s="33"/>
      <c r="K368" s="34"/>
      <c r="L368" s="33"/>
      <c r="M368" s="34"/>
      <c r="N368" s="34"/>
      <c r="O368" s="35"/>
    </row>
    <row r="369" spans="1:15">
      <c r="A369" s="32"/>
      <c r="B369" s="32"/>
      <c r="C369" s="32"/>
      <c r="D369" s="32"/>
      <c r="E369" s="32"/>
      <c r="F369" s="32"/>
      <c r="G369" s="33"/>
      <c r="H369" s="33"/>
      <c r="I369" s="33"/>
      <c r="J369" s="33"/>
      <c r="K369" s="34"/>
      <c r="L369" s="33"/>
      <c r="M369" s="34"/>
      <c r="N369" s="34"/>
      <c r="O369" s="35"/>
    </row>
    <row r="370" spans="1:15">
      <c r="A370" s="32"/>
      <c r="B370" s="32"/>
      <c r="C370" s="32"/>
      <c r="D370" s="32"/>
      <c r="E370" s="32"/>
      <c r="F370" s="32"/>
      <c r="G370" s="33"/>
      <c r="H370" s="33"/>
      <c r="I370" s="33"/>
      <c r="J370" s="33"/>
      <c r="K370" s="34"/>
      <c r="L370" s="33"/>
      <c r="M370" s="34"/>
      <c r="N370" s="34"/>
      <c r="O370" s="35"/>
    </row>
    <row r="371" spans="1:15">
      <c r="A371" s="32"/>
      <c r="B371" s="32"/>
      <c r="C371" s="32"/>
      <c r="D371" s="32"/>
      <c r="E371" s="32"/>
      <c r="F371" s="32"/>
      <c r="G371" s="33"/>
      <c r="H371" s="33"/>
      <c r="I371" s="33"/>
      <c r="J371" s="33"/>
      <c r="K371" s="34"/>
      <c r="L371" s="33"/>
      <c r="M371" s="34"/>
      <c r="N371" s="34"/>
      <c r="O371" s="35"/>
    </row>
    <row r="372" spans="1:15">
      <c r="A372" s="32"/>
      <c r="B372" s="32"/>
      <c r="C372" s="32"/>
      <c r="D372" s="32"/>
      <c r="E372" s="32"/>
      <c r="F372" s="32"/>
      <c r="G372" s="33"/>
      <c r="H372" s="33"/>
      <c r="I372" s="33"/>
      <c r="J372" s="33"/>
      <c r="K372" s="34"/>
      <c r="L372" s="33"/>
      <c r="M372" s="34"/>
      <c r="N372" s="34"/>
      <c r="O372" s="35"/>
    </row>
    <row r="373" spans="1:15">
      <c r="A373" s="32"/>
      <c r="B373" s="32"/>
      <c r="C373" s="32"/>
      <c r="D373" s="32"/>
      <c r="E373" s="32"/>
      <c r="F373" s="32"/>
      <c r="G373" s="33"/>
      <c r="H373" s="33"/>
      <c r="I373" s="33"/>
      <c r="J373" s="33"/>
      <c r="K373" s="34"/>
      <c r="L373" s="33"/>
      <c r="M373" s="34"/>
      <c r="N373" s="34"/>
      <c r="O373" s="35"/>
    </row>
    <row r="374" spans="1:15">
      <c r="A374" s="32"/>
      <c r="B374" s="32"/>
      <c r="C374" s="32"/>
      <c r="D374" s="32"/>
      <c r="E374" s="32"/>
      <c r="F374" s="32"/>
      <c r="G374" s="33"/>
      <c r="H374" s="33"/>
      <c r="I374" s="33"/>
      <c r="J374" s="33"/>
      <c r="K374" s="34"/>
      <c r="L374" s="33"/>
      <c r="M374" s="34"/>
      <c r="N374" s="34"/>
      <c r="O374" s="35"/>
    </row>
    <row r="375" spans="1:15">
      <c r="A375" s="32"/>
      <c r="B375" s="32"/>
      <c r="C375" s="32"/>
      <c r="D375" s="32"/>
      <c r="E375" s="32"/>
      <c r="F375" s="32"/>
      <c r="G375" s="33"/>
      <c r="H375" s="33"/>
      <c r="I375" s="33"/>
      <c r="J375" s="33"/>
      <c r="K375" s="34"/>
      <c r="L375" s="33"/>
      <c r="M375" s="34"/>
      <c r="N375" s="34"/>
      <c r="O375" s="35"/>
    </row>
    <row r="376" spans="1:15">
      <c r="A376" s="32"/>
      <c r="B376" s="32"/>
      <c r="C376" s="32"/>
      <c r="D376" s="32"/>
      <c r="E376" s="32"/>
      <c r="F376" s="32"/>
      <c r="G376" s="33"/>
      <c r="H376" s="33"/>
      <c r="I376" s="33"/>
      <c r="J376" s="33"/>
      <c r="K376" s="34"/>
      <c r="L376" s="33"/>
      <c r="M376" s="34"/>
      <c r="N376" s="34"/>
      <c r="O376" s="35"/>
    </row>
    <row r="377" spans="1:15">
      <c r="A377" s="32"/>
      <c r="B377" s="32"/>
      <c r="C377" s="32"/>
      <c r="D377" s="32"/>
      <c r="E377" s="32"/>
      <c r="F377" s="32"/>
      <c r="G377" s="33"/>
      <c r="H377" s="33"/>
      <c r="I377" s="33"/>
      <c r="J377" s="33"/>
      <c r="K377" s="34"/>
      <c r="L377" s="33"/>
      <c r="M377" s="34"/>
      <c r="N377" s="34"/>
      <c r="O377" s="35"/>
    </row>
    <row r="378" spans="1:15">
      <c r="A378" s="32"/>
      <c r="B378" s="32"/>
      <c r="C378" s="32"/>
      <c r="D378" s="32"/>
      <c r="E378" s="32"/>
      <c r="F378" s="32"/>
      <c r="G378" s="33"/>
      <c r="H378" s="33"/>
      <c r="I378" s="33"/>
      <c r="J378" s="33"/>
      <c r="K378" s="34"/>
      <c r="L378" s="33"/>
      <c r="M378" s="34"/>
      <c r="N378" s="34"/>
      <c r="O378" s="35"/>
    </row>
    <row r="379" spans="1:15">
      <c r="A379" s="32"/>
      <c r="B379" s="32"/>
      <c r="C379" s="32"/>
      <c r="D379" s="32"/>
      <c r="E379" s="32"/>
      <c r="F379" s="32"/>
      <c r="G379" s="33"/>
      <c r="H379" s="33"/>
      <c r="I379" s="33"/>
      <c r="J379" s="33"/>
      <c r="K379" s="34"/>
      <c r="L379" s="33"/>
      <c r="M379" s="34"/>
      <c r="N379" s="34"/>
      <c r="O379" s="35"/>
    </row>
    <row r="380" spans="1:15">
      <c r="A380" s="32"/>
      <c r="B380" s="32"/>
      <c r="C380" s="32"/>
      <c r="D380" s="32"/>
      <c r="E380" s="32"/>
      <c r="F380" s="32"/>
      <c r="G380" s="33"/>
      <c r="H380" s="33"/>
      <c r="I380" s="33"/>
      <c r="J380" s="33"/>
      <c r="K380" s="34"/>
      <c r="L380" s="33"/>
      <c r="M380" s="34"/>
      <c r="N380" s="34"/>
      <c r="O380" s="35"/>
    </row>
    <row r="381" spans="1:15">
      <c r="A381" s="32"/>
      <c r="B381" s="32"/>
      <c r="C381" s="32"/>
      <c r="D381" s="32"/>
      <c r="E381" s="32"/>
      <c r="F381" s="32"/>
      <c r="G381" s="33"/>
      <c r="H381" s="33"/>
      <c r="I381" s="33"/>
      <c r="J381" s="33"/>
      <c r="K381" s="34"/>
      <c r="L381" s="33"/>
      <c r="M381" s="34"/>
      <c r="N381" s="34"/>
      <c r="O381" s="35"/>
    </row>
    <row r="382" spans="1:15">
      <c r="A382" s="32"/>
      <c r="B382" s="32"/>
      <c r="C382" s="32"/>
      <c r="D382" s="32"/>
      <c r="E382" s="32"/>
      <c r="F382" s="32"/>
      <c r="G382" s="33"/>
      <c r="H382" s="33"/>
      <c r="I382" s="33"/>
      <c r="J382" s="33"/>
      <c r="K382" s="34"/>
      <c r="L382" s="33"/>
      <c r="M382" s="34"/>
      <c r="N382" s="34"/>
      <c r="O382" s="35"/>
    </row>
    <row r="383" spans="1:15">
      <c r="A383" s="32"/>
      <c r="B383" s="32"/>
      <c r="C383" s="32"/>
      <c r="D383" s="32"/>
      <c r="E383" s="32"/>
      <c r="F383" s="32"/>
      <c r="G383" s="33"/>
      <c r="H383" s="33"/>
      <c r="I383" s="33"/>
      <c r="J383" s="33"/>
      <c r="K383" s="34"/>
      <c r="L383" s="33"/>
      <c r="M383" s="34"/>
      <c r="N383" s="34"/>
      <c r="O383" s="35"/>
    </row>
    <row r="384" spans="1:15">
      <c r="A384" s="32"/>
      <c r="B384" s="32"/>
      <c r="C384" s="32"/>
      <c r="D384" s="32"/>
      <c r="E384" s="32"/>
      <c r="F384" s="32"/>
      <c r="G384" s="33"/>
      <c r="H384" s="33"/>
      <c r="I384" s="33"/>
      <c r="J384" s="33"/>
      <c r="K384" s="34"/>
      <c r="L384" s="33"/>
      <c r="M384" s="34"/>
      <c r="N384" s="34"/>
      <c r="O384" s="35"/>
    </row>
    <row r="385" spans="1:15">
      <c r="A385" s="32"/>
      <c r="B385" s="32"/>
      <c r="C385" s="32"/>
      <c r="D385" s="32"/>
      <c r="E385" s="32"/>
      <c r="F385" s="32"/>
      <c r="G385" s="33"/>
      <c r="H385" s="33"/>
      <c r="I385" s="33"/>
      <c r="J385" s="33"/>
      <c r="K385" s="34"/>
      <c r="L385" s="33"/>
      <c r="M385" s="34"/>
      <c r="N385" s="34"/>
      <c r="O385" s="35"/>
    </row>
    <row r="386" spans="1:15">
      <c r="A386" s="32"/>
      <c r="B386" s="32"/>
      <c r="C386" s="32"/>
      <c r="D386" s="32"/>
      <c r="E386" s="32"/>
      <c r="F386" s="32"/>
      <c r="G386" s="33"/>
      <c r="H386" s="33"/>
      <c r="I386" s="33"/>
      <c r="J386" s="33"/>
      <c r="K386" s="34"/>
      <c r="L386" s="33"/>
      <c r="M386" s="34"/>
      <c r="N386" s="34"/>
      <c r="O386" s="35"/>
    </row>
    <row r="387" spans="1:15">
      <c r="A387" s="32"/>
      <c r="B387" s="32"/>
      <c r="C387" s="32"/>
      <c r="D387" s="32"/>
      <c r="E387" s="32"/>
      <c r="F387" s="32"/>
      <c r="G387" s="33"/>
      <c r="H387" s="33"/>
      <c r="I387" s="33"/>
      <c r="J387" s="33"/>
      <c r="K387" s="34"/>
      <c r="L387" s="33"/>
      <c r="M387" s="34"/>
      <c r="N387" s="34"/>
      <c r="O387" s="35"/>
    </row>
    <row r="388" spans="1:15">
      <c r="A388" s="32"/>
      <c r="B388" s="32"/>
      <c r="C388" s="32"/>
      <c r="D388" s="32"/>
      <c r="E388" s="32"/>
      <c r="F388" s="32"/>
      <c r="G388" s="33"/>
      <c r="H388" s="33"/>
      <c r="I388" s="33"/>
      <c r="J388" s="33"/>
      <c r="K388" s="34"/>
      <c r="L388" s="33"/>
      <c r="M388" s="34"/>
      <c r="N388" s="34"/>
      <c r="O388" s="35"/>
    </row>
    <row r="389" spans="1:15">
      <c r="A389" s="32"/>
      <c r="B389" s="32"/>
      <c r="C389" s="32"/>
      <c r="D389" s="32"/>
      <c r="E389" s="32"/>
      <c r="F389" s="32"/>
      <c r="G389" s="33"/>
      <c r="H389" s="33"/>
      <c r="I389" s="33"/>
      <c r="J389" s="33"/>
      <c r="K389" s="34"/>
      <c r="L389" s="33"/>
      <c r="M389" s="34"/>
      <c r="N389" s="34"/>
      <c r="O389" s="35"/>
    </row>
    <row r="390" spans="1:15">
      <c r="A390" s="32"/>
      <c r="B390" s="32"/>
      <c r="C390" s="32"/>
      <c r="D390" s="32"/>
      <c r="E390" s="32"/>
      <c r="F390" s="32"/>
      <c r="G390" s="33"/>
      <c r="H390" s="33"/>
      <c r="I390" s="33"/>
      <c r="J390" s="33"/>
      <c r="K390" s="34"/>
      <c r="L390" s="33"/>
      <c r="M390" s="34"/>
      <c r="N390" s="34"/>
      <c r="O390" s="35"/>
    </row>
    <row r="391" spans="1:15">
      <c r="A391" s="32"/>
      <c r="B391" s="32"/>
      <c r="C391" s="32"/>
      <c r="D391" s="32"/>
      <c r="E391" s="32"/>
      <c r="F391" s="32"/>
      <c r="G391" s="33"/>
      <c r="H391" s="33"/>
      <c r="I391" s="33"/>
      <c r="J391" s="33"/>
      <c r="K391" s="34"/>
      <c r="L391" s="33"/>
      <c r="M391" s="34"/>
      <c r="N391" s="34"/>
      <c r="O391" s="35"/>
    </row>
    <row r="392" spans="1:15">
      <c r="A392" s="32"/>
      <c r="B392" s="32"/>
      <c r="C392" s="32"/>
      <c r="D392" s="32"/>
      <c r="E392" s="32"/>
      <c r="F392" s="32"/>
      <c r="G392" s="33"/>
      <c r="H392" s="33"/>
      <c r="I392" s="33"/>
      <c r="J392" s="33"/>
      <c r="K392" s="34"/>
      <c r="L392" s="33"/>
      <c r="M392" s="34"/>
      <c r="N392" s="34"/>
      <c r="O392" s="35"/>
    </row>
    <row r="393" spans="1:15">
      <c r="A393" s="32"/>
      <c r="B393" s="32"/>
      <c r="C393" s="32"/>
      <c r="D393" s="32"/>
      <c r="E393" s="32"/>
      <c r="F393" s="32"/>
      <c r="G393" s="33"/>
      <c r="H393" s="33"/>
      <c r="I393" s="33"/>
      <c r="J393" s="33"/>
      <c r="K393" s="34"/>
      <c r="L393" s="33"/>
      <c r="M393" s="34"/>
      <c r="N393" s="34"/>
      <c r="O393" s="35"/>
    </row>
    <row r="394" spans="1:15">
      <c r="A394" s="32"/>
      <c r="B394" s="32"/>
      <c r="C394" s="32"/>
      <c r="D394" s="32"/>
      <c r="E394" s="32"/>
      <c r="F394" s="32"/>
      <c r="G394" s="33"/>
      <c r="H394" s="33"/>
      <c r="I394" s="33"/>
      <c r="J394" s="33"/>
      <c r="K394" s="34"/>
      <c r="L394" s="33"/>
      <c r="M394" s="34"/>
      <c r="N394" s="34"/>
      <c r="O394" s="35"/>
    </row>
    <row r="395" spans="1:15">
      <c r="A395" s="32"/>
      <c r="B395" s="32"/>
      <c r="C395" s="32"/>
      <c r="D395" s="32"/>
      <c r="E395" s="32"/>
      <c r="F395" s="32"/>
      <c r="G395" s="33"/>
      <c r="H395" s="33"/>
      <c r="I395" s="33"/>
      <c r="J395" s="33"/>
      <c r="K395" s="34"/>
      <c r="L395" s="33"/>
      <c r="M395" s="34"/>
      <c r="N395" s="34"/>
      <c r="O395" s="35"/>
    </row>
    <row r="396" spans="1:15">
      <c r="A396" s="32"/>
      <c r="B396" s="32"/>
      <c r="C396" s="32"/>
      <c r="D396" s="32"/>
      <c r="E396" s="32"/>
      <c r="F396" s="32"/>
      <c r="G396" s="33"/>
      <c r="H396" s="33"/>
      <c r="I396" s="33"/>
      <c r="J396" s="33"/>
      <c r="K396" s="34"/>
      <c r="L396" s="33"/>
      <c r="M396" s="34"/>
      <c r="N396" s="34"/>
      <c r="O396" s="35"/>
    </row>
    <row r="397" spans="1:15">
      <c r="A397" s="32"/>
      <c r="B397" s="32"/>
      <c r="C397" s="32"/>
      <c r="D397" s="32"/>
      <c r="E397" s="32"/>
      <c r="F397" s="32"/>
      <c r="G397" s="33"/>
      <c r="H397" s="33"/>
      <c r="I397" s="33"/>
      <c r="J397" s="33"/>
      <c r="K397" s="34"/>
      <c r="L397" s="33"/>
      <c r="M397" s="34"/>
      <c r="N397" s="34"/>
      <c r="O397" s="35"/>
    </row>
    <row r="398" spans="1:15">
      <c r="A398" s="32"/>
      <c r="B398" s="32"/>
      <c r="C398" s="32"/>
      <c r="D398" s="32"/>
      <c r="E398" s="32"/>
      <c r="F398" s="32"/>
      <c r="G398" s="33"/>
      <c r="H398" s="33"/>
      <c r="I398" s="33"/>
      <c r="J398" s="33"/>
      <c r="K398" s="34"/>
      <c r="L398" s="33"/>
      <c r="M398" s="34"/>
      <c r="N398" s="34"/>
      <c r="O398" s="35"/>
    </row>
    <row r="399" spans="1:15">
      <c r="A399" s="32"/>
      <c r="B399" s="32"/>
      <c r="C399" s="32"/>
      <c r="D399" s="32"/>
      <c r="E399" s="32"/>
      <c r="F399" s="32"/>
      <c r="G399" s="33"/>
      <c r="H399" s="33"/>
      <c r="I399" s="33"/>
      <c r="J399" s="33"/>
      <c r="K399" s="34"/>
      <c r="L399" s="33"/>
      <c r="M399" s="34"/>
      <c r="N399" s="34"/>
      <c r="O399" s="35"/>
    </row>
    <row r="400" spans="1:15">
      <c r="A400" s="32"/>
      <c r="B400" s="32"/>
      <c r="C400" s="32"/>
      <c r="D400" s="32"/>
      <c r="E400" s="32"/>
      <c r="F400" s="32"/>
      <c r="G400" s="33"/>
      <c r="H400" s="33"/>
      <c r="I400" s="33"/>
      <c r="J400" s="33"/>
      <c r="K400" s="34"/>
      <c r="L400" s="33"/>
      <c r="M400" s="34"/>
      <c r="N400" s="34"/>
      <c r="O400" s="35"/>
    </row>
    <row r="401" spans="1:15">
      <c r="A401" s="32"/>
      <c r="B401" s="32"/>
      <c r="C401" s="32"/>
      <c r="D401" s="32"/>
      <c r="E401" s="32"/>
      <c r="F401" s="32"/>
      <c r="G401" s="33"/>
      <c r="H401" s="33"/>
      <c r="I401" s="33"/>
      <c r="J401" s="33"/>
      <c r="K401" s="34"/>
      <c r="L401" s="33"/>
      <c r="M401" s="34"/>
      <c r="N401" s="34"/>
      <c r="O401" s="35"/>
    </row>
    <row r="402" spans="1:15">
      <c r="A402" s="32"/>
      <c r="B402" s="32"/>
      <c r="C402" s="32"/>
      <c r="D402" s="32"/>
      <c r="E402" s="32"/>
      <c r="F402" s="32"/>
      <c r="G402" s="33"/>
      <c r="H402" s="33"/>
      <c r="I402" s="33"/>
      <c r="J402" s="33"/>
      <c r="K402" s="34"/>
      <c r="L402" s="33"/>
      <c r="M402" s="34"/>
      <c r="N402" s="34"/>
      <c r="O402" s="35"/>
    </row>
    <row r="403" spans="1:15">
      <c r="A403" s="32"/>
      <c r="B403" s="32"/>
      <c r="C403" s="32"/>
      <c r="D403" s="32"/>
      <c r="E403" s="32"/>
      <c r="F403" s="32"/>
      <c r="G403" s="33"/>
      <c r="H403" s="33"/>
      <c r="I403" s="33"/>
      <c r="J403" s="33"/>
      <c r="K403" s="34"/>
      <c r="L403" s="33"/>
      <c r="M403" s="34"/>
      <c r="N403" s="34"/>
      <c r="O403" s="35"/>
    </row>
    <row r="404" spans="1:15">
      <c r="A404" s="32"/>
      <c r="B404" s="32"/>
      <c r="C404" s="32"/>
      <c r="D404" s="32"/>
      <c r="E404" s="32"/>
      <c r="F404" s="32"/>
      <c r="G404" s="33"/>
      <c r="H404" s="33"/>
      <c r="I404" s="33"/>
      <c r="J404" s="33"/>
      <c r="K404" s="34"/>
      <c r="L404" s="33"/>
      <c r="M404" s="34"/>
      <c r="N404" s="34"/>
      <c r="O404" s="35"/>
    </row>
    <row r="405" spans="1:15">
      <c r="A405" s="32"/>
      <c r="B405" s="32"/>
      <c r="C405" s="32"/>
      <c r="D405" s="32"/>
      <c r="E405" s="32"/>
      <c r="F405" s="32"/>
      <c r="G405" s="33"/>
      <c r="H405" s="33"/>
      <c r="I405" s="33"/>
      <c r="J405" s="33"/>
      <c r="K405" s="34"/>
      <c r="L405" s="33"/>
      <c r="M405" s="34"/>
      <c r="N405" s="34"/>
      <c r="O405" s="35"/>
    </row>
    <row r="406" spans="1:15">
      <c r="A406" s="32"/>
      <c r="B406" s="32"/>
      <c r="C406" s="32"/>
      <c r="D406" s="32"/>
      <c r="E406" s="32"/>
      <c r="F406" s="32"/>
      <c r="G406" s="33"/>
      <c r="H406" s="33"/>
      <c r="I406" s="33"/>
      <c r="J406" s="33"/>
      <c r="K406" s="34"/>
      <c r="L406" s="33"/>
      <c r="M406" s="34"/>
      <c r="N406" s="34"/>
      <c r="O406" s="35"/>
    </row>
    <row r="407" spans="1:15">
      <c r="A407" s="32"/>
      <c r="B407" s="32"/>
      <c r="C407" s="32"/>
      <c r="D407" s="32"/>
      <c r="E407" s="32"/>
      <c r="F407" s="32"/>
      <c r="G407" s="33"/>
      <c r="H407" s="33"/>
      <c r="I407" s="33"/>
      <c r="J407" s="33"/>
      <c r="K407" s="34"/>
      <c r="L407" s="33"/>
      <c r="M407" s="34"/>
      <c r="N407" s="34"/>
      <c r="O407" s="35"/>
    </row>
    <row r="408" spans="1:15">
      <c r="A408" s="32"/>
      <c r="B408" s="32"/>
      <c r="C408" s="32"/>
      <c r="D408" s="32"/>
      <c r="E408" s="32"/>
      <c r="F408" s="32"/>
      <c r="G408" s="33"/>
      <c r="H408" s="33"/>
      <c r="I408" s="33"/>
      <c r="J408" s="33"/>
      <c r="K408" s="34"/>
      <c r="L408" s="33"/>
      <c r="M408" s="34"/>
      <c r="N408" s="34"/>
      <c r="O408" s="35"/>
    </row>
    <row r="409" spans="1:15">
      <c r="A409" s="32"/>
      <c r="B409" s="32"/>
      <c r="C409" s="32"/>
      <c r="D409" s="32"/>
      <c r="E409" s="32"/>
      <c r="F409" s="32"/>
      <c r="G409" s="33"/>
      <c r="H409" s="33"/>
      <c r="I409" s="33"/>
      <c r="J409" s="33"/>
      <c r="K409" s="34"/>
      <c r="L409" s="33"/>
      <c r="M409" s="34"/>
      <c r="N409" s="34"/>
      <c r="O409" s="35"/>
    </row>
    <row r="410" spans="1:15">
      <c r="A410" s="32"/>
      <c r="B410" s="32"/>
      <c r="C410" s="32"/>
      <c r="D410" s="32"/>
      <c r="E410" s="32"/>
      <c r="F410" s="32"/>
      <c r="G410" s="33"/>
      <c r="H410" s="33"/>
      <c r="I410" s="33"/>
      <c r="J410" s="33"/>
      <c r="K410" s="34"/>
      <c r="L410" s="33"/>
      <c r="M410" s="34"/>
      <c r="N410" s="34"/>
      <c r="O410" s="35"/>
    </row>
    <row r="411" spans="1:15">
      <c r="A411" s="32"/>
      <c r="B411" s="32"/>
      <c r="C411" s="32"/>
      <c r="D411" s="32"/>
      <c r="E411" s="32"/>
      <c r="F411" s="32"/>
      <c r="G411" s="33"/>
      <c r="H411" s="33"/>
      <c r="I411" s="33"/>
      <c r="J411" s="33"/>
      <c r="K411" s="34"/>
      <c r="L411" s="33"/>
      <c r="M411" s="34"/>
      <c r="N411" s="34"/>
      <c r="O411" s="35"/>
    </row>
    <row r="412" spans="1:15">
      <c r="A412" s="32"/>
      <c r="B412" s="32"/>
      <c r="C412" s="32"/>
      <c r="D412" s="32"/>
      <c r="E412" s="32"/>
      <c r="F412" s="32"/>
      <c r="G412" s="33"/>
      <c r="H412" s="33"/>
      <c r="I412" s="33"/>
      <c r="J412" s="33"/>
      <c r="K412" s="34"/>
      <c r="L412" s="33"/>
      <c r="M412" s="34"/>
      <c r="N412" s="34"/>
      <c r="O412" s="35"/>
    </row>
    <row r="413" spans="1:15">
      <c r="A413" s="32"/>
      <c r="B413" s="32"/>
      <c r="C413" s="32"/>
      <c r="D413" s="32"/>
      <c r="E413" s="32"/>
      <c r="F413" s="32"/>
      <c r="G413" s="33"/>
      <c r="H413" s="33"/>
      <c r="I413" s="33"/>
      <c r="J413" s="33"/>
      <c r="K413" s="34"/>
      <c r="L413" s="33"/>
      <c r="M413" s="34"/>
      <c r="N413" s="34"/>
      <c r="O413" s="35"/>
    </row>
    <row r="414" spans="1:15">
      <c r="A414" s="32"/>
      <c r="B414" s="32"/>
      <c r="C414" s="32"/>
      <c r="D414" s="32"/>
      <c r="E414" s="32"/>
      <c r="F414" s="32"/>
      <c r="G414" s="33"/>
      <c r="H414" s="33"/>
      <c r="I414" s="33"/>
      <c r="J414" s="33"/>
      <c r="K414" s="34"/>
      <c r="L414" s="33"/>
      <c r="M414" s="34"/>
      <c r="N414" s="34"/>
      <c r="O414" s="35"/>
    </row>
    <row r="415" spans="1:15">
      <c r="A415" s="32"/>
      <c r="B415" s="32"/>
      <c r="C415" s="32"/>
      <c r="D415" s="32"/>
      <c r="E415" s="32"/>
      <c r="F415" s="32"/>
      <c r="G415" s="33"/>
      <c r="H415" s="33"/>
      <c r="I415" s="33"/>
      <c r="J415" s="33"/>
      <c r="K415" s="34"/>
      <c r="L415" s="33"/>
      <c r="M415" s="34"/>
      <c r="N415" s="34"/>
      <c r="O415" s="35"/>
    </row>
    <row r="416" spans="1:15">
      <c r="A416" s="32"/>
      <c r="B416" s="32"/>
      <c r="C416" s="32"/>
      <c r="D416" s="32"/>
      <c r="E416" s="32"/>
      <c r="F416" s="32"/>
      <c r="G416" s="33"/>
      <c r="H416" s="33"/>
      <c r="I416" s="33"/>
      <c r="J416" s="33"/>
      <c r="K416" s="34"/>
      <c r="L416" s="33"/>
      <c r="M416" s="34"/>
      <c r="N416" s="34"/>
      <c r="O416" s="35"/>
    </row>
    <row r="417" spans="1:15">
      <c r="A417" s="32"/>
      <c r="B417" s="32"/>
      <c r="C417" s="32"/>
      <c r="D417" s="32"/>
      <c r="E417" s="32"/>
      <c r="F417" s="32"/>
      <c r="G417" s="33"/>
      <c r="H417" s="33"/>
      <c r="I417" s="33"/>
      <c r="J417" s="33"/>
      <c r="K417" s="34"/>
      <c r="L417" s="33"/>
      <c r="M417" s="34"/>
      <c r="N417" s="34"/>
      <c r="O417" s="35"/>
    </row>
    <row r="418" spans="1:15">
      <c r="A418" s="32"/>
      <c r="B418" s="32"/>
      <c r="C418" s="32"/>
      <c r="D418" s="32"/>
      <c r="E418" s="32"/>
      <c r="F418" s="32"/>
      <c r="G418" s="33"/>
      <c r="H418" s="33"/>
      <c r="I418" s="33"/>
      <c r="J418" s="33"/>
      <c r="K418" s="34"/>
      <c r="L418" s="33"/>
      <c r="M418" s="34"/>
      <c r="N418" s="34"/>
      <c r="O418" s="35"/>
    </row>
    <row r="419" spans="1:15">
      <c r="A419" s="32"/>
      <c r="B419" s="32"/>
      <c r="C419" s="32"/>
      <c r="D419" s="32"/>
      <c r="E419" s="32"/>
      <c r="F419" s="32"/>
      <c r="G419" s="33"/>
      <c r="H419" s="33"/>
      <c r="I419" s="33"/>
      <c r="J419" s="33"/>
      <c r="K419" s="34"/>
      <c r="L419" s="33"/>
      <c r="M419" s="34"/>
      <c r="N419" s="34"/>
      <c r="O419" s="35"/>
    </row>
    <row r="420" spans="1:15">
      <c r="A420" s="32"/>
      <c r="B420" s="32"/>
      <c r="C420" s="32"/>
      <c r="D420" s="32"/>
      <c r="E420" s="32"/>
      <c r="F420" s="32"/>
      <c r="G420" s="33"/>
      <c r="H420" s="33"/>
      <c r="I420" s="33"/>
      <c r="J420" s="33"/>
      <c r="K420" s="34"/>
      <c r="L420" s="33"/>
      <c r="M420" s="34"/>
      <c r="N420" s="34"/>
      <c r="O420" s="35"/>
    </row>
    <row r="421" spans="1:15">
      <c r="A421" s="32"/>
      <c r="B421" s="32"/>
      <c r="C421" s="32"/>
      <c r="D421" s="32"/>
      <c r="E421" s="32"/>
      <c r="F421" s="32"/>
      <c r="G421" s="33"/>
      <c r="H421" s="33"/>
      <c r="I421" s="33"/>
      <c r="J421" s="33"/>
      <c r="K421" s="34"/>
      <c r="L421" s="33"/>
      <c r="M421" s="34"/>
      <c r="N421" s="34"/>
      <c r="O421" s="35"/>
    </row>
    <row r="422" spans="1:15">
      <c r="A422" s="32"/>
      <c r="B422" s="32"/>
      <c r="C422" s="32"/>
      <c r="D422" s="32"/>
      <c r="E422" s="32"/>
      <c r="F422" s="32"/>
      <c r="G422" s="33"/>
      <c r="H422" s="33"/>
      <c r="I422" s="33"/>
      <c r="J422" s="33"/>
      <c r="K422" s="34"/>
      <c r="L422" s="33"/>
      <c r="M422" s="34"/>
      <c r="N422" s="34"/>
      <c r="O422" s="35"/>
    </row>
    <row r="423" spans="1:15">
      <c r="A423" s="32"/>
      <c r="B423" s="32"/>
      <c r="C423" s="32"/>
      <c r="D423" s="32"/>
      <c r="E423" s="32"/>
      <c r="F423" s="32"/>
      <c r="G423" s="33"/>
      <c r="H423" s="33"/>
      <c r="I423" s="33"/>
      <c r="J423" s="33"/>
      <c r="K423" s="34"/>
      <c r="L423" s="33"/>
      <c r="M423" s="34"/>
      <c r="N423" s="34"/>
      <c r="O423" s="35"/>
    </row>
    <row r="424" spans="1:15">
      <c r="A424" s="32"/>
      <c r="B424" s="32"/>
      <c r="C424" s="32"/>
      <c r="D424" s="32"/>
      <c r="E424" s="32"/>
      <c r="F424" s="32"/>
      <c r="G424" s="33"/>
      <c r="H424" s="33"/>
      <c r="I424" s="33"/>
      <c r="J424" s="33"/>
      <c r="K424" s="34"/>
      <c r="L424" s="33"/>
      <c r="M424" s="34"/>
      <c r="N424" s="34"/>
      <c r="O424" s="35"/>
    </row>
    <row r="425" spans="1:15">
      <c r="A425" s="32"/>
      <c r="B425" s="32"/>
      <c r="C425" s="32"/>
      <c r="D425" s="32"/>
      <c r="E425" s="32"/>
      <c r="F425" s="32"/>
      <c r="G425" s="33"/>
      <c r="H425" s="33"/>
      <c r="I425" s="33"/>
      <c r="J425" s="33"/>
      <c r="K425" s="34"/>
      <c r="L425" s="33"/>
      <c r="M425" s="34"/>
      <c r="N425" s="34"/>
      <c r="O425" s="35"/>
    </row>
    <row r="426" spans="1:15">
      <c r="A426" s="32"/>
      <c r="B426" s="32"/>
      <c r="C426" s="32"/>
      <c r="D426" s="32"/>
      <c r="E426" s="32"/>
      <c r="F426" s="32"/>
      <c r="G426" s="33"/>
      <c r="H426" s="33"/>
      <c r="I426" s="33"/>
      <c r="J426" s="33"/>
      <c r="K426" s="34"/>
      <c r="L426" s="33"/>
      <c r="M426" s="34"/>
      <c r="N426" s="34"/>
      <c r="O426" s="35"/>
    </row>
    <row r="427" spans="1:15">
      <c r="A427" s="32"/>
      <c r="B427" s="32"/>
      <c r="C427" s="32"/>
      <c r="D427" s="32"/>
      <c r="E427" s="32"/>
      <c r="F427" s="32"/>
      <c r="G427" s="33"/>
      <c r="H427" s="33"/>
      <c r="I427" s="33"/>
      <c r="J427" s="33"/>
      <c r="K427" s="34"/>
      <c r="L427" s="33"/>
      <c r="M427" s="34"/>
      <c r="N427" s="34"/>
      <c r="O427" s="35"/>
    </row>
    <row r="428" spans="1:15">
      <c r="A428" s="32"/>
      <c r="B428" s="32"/>
      <c r="C428" s="32"/>
      <c r="D428" s="32"/>
      <c r="E428" s="32"/>
      <c r="F428" s="32"/>
      <c r="G428" s="33"/>
      <c r="H428" s="33"/>
      <c r="I428" s="33"/>
      <c r="J428" s="33"/>
      <c r="K428" s="34"/>
      <c r="L428" s="33"/>
      <c r="M428" s="34"/>
      <c r="N428" s="34"/>
      <c r="O428" s="35"/>
    </row>
    <row r="429" spans="1:15">
      <c r="A429" s="32"/>
      <c r="B429" s="32"/>
      <c r="C429" s="32"/>
      <c r="D429" s="32"/>
      <c r="E429" s="32"/>
      <c r="F429" s="32"/>
      <c r="G429" s="33"/>
      <c r="H429" s="33"/>
      <c r="I429" s="33"/>
      <c r="J429" s="33"/>
      <c r="K429" s="34"/>
      <c r="L429" s="33"/>
      <c r="M429" s="34"/>
      <c r="N429" s="34"/>
      <c r="O429" s="35"/>
    </row>
    <row r="430" spans="1:15">
      <c r="A430" s="32"/>
      <c r="B430" s="32"/>
      <c r="C430" s="32"/>
      <c r="D430" s="32"/>
      <c r="E430" s="32"/>
      <c r="F430" s="32"/>
      <c r="G430" s="33"/>
      <c r="H430" s="33"/>
      <c r="I430" s="33"/>
      <c r="J430" s="33"/>
      <c r="K430" s="34"/>
      <c r="L430" s="33"/>
      <c r="M430" s="34"/>
      <c r="N430" s="34"/>
      <c r="O430" s="35"/>
    </row>
    <row r="431" spans="1:15">
      <c r="A431" s="32"/>
      <c r="B431" s="32"/>
      <c r="C431" s="32"/>
      <c r="D431" s="32"/>
      <c r="E431" s="32"/>
      <c r="F431" s="32"/>
      <c r="G431" s="33"/>
      <c r="H431" s="33"/>
      <c r="I431" s="33"/>
      <c r="J431" s="33"/>
      <c r="K431" s="34"/>
      <c r="L431" s="33"/>
      <c r="M431" s="34"/>
      <c r="N431" s="34"/>
      <c r="O431" s="35"/>
    </row>
    <row r="432" spans="1:15">
      <c r="A432" s="32"/>
      <c r="B432" s="32"/>
      <c r="C432" s="32"/>
      <c r="D432" s="32"/>
      <c r="E432" s="32"/>
      <c r="F432" s="32"/>
      <c r="G432" s="33"/>
      <c r="H432" s="33"/>
      <c r="I432" s="33"/>
      <c r="J432" s="33"/>
      <c r="K432" s="34"/>
      <c r="L432" s="33"/>
      <c r="M432" s="34"/>
      <c r="N432" s="34"/>
      <c r="O432" s="35"/>
    </row>
    <row r="433" spans="1:15">
      <c r="A433" s="32"/>
      <c r="B433" s="32"/>
      <c r="C433" s="32"/>
      <c r="D433" s="32"/>
      <c r="E433" s="32"/>
      <c r="F433" s="32"/>
      <c r="G433" s="33"/>
      <c r="H433" s="33"/>
      <c r="I433" s="33"/>
      <c r="J433" s="33"/>
      <c r="K433" s="34"/>
      <c r="L433" s="33"/>
      <c r="M433" s="34"/>
      <c r="N433" s="34"/>
      <c r="O433" s="35"/>
    </row>
    <row r="434" spans="1:15">
      <c r="A434" s="32"/>
      <c r="B434" s="32"/>
      <c r="C434" s="32"/>
      <c r="D434" s="32"/>
      <c r="E434" s="32"/>
      <c r="F434" s="32"/>
      <c r="G434" s="33"/>
      <c r="H434" s="33"/>
      <c r="I434" s="33"/>
      <c r="J434" s="33"/>
      <c r="K434" s="34"/>
      <c r="L434" s="33"/>
      <c r="M434" s="34"/>
      <c r="N434" s="34"/>
      <c r="O434" s="35"/>
    </row>
    <row r="435" spans="1:15">
      <c r="A435" s="32"/>
      <c r="B435" s="32"/>
      <c r="C435" s="32"/>
      <c r="D435" s="32"/>
      <c r="E435" s="32"/>
      <c r="F435" s="32"/>
      <c r="G435" s="33"/>
      <c r="H435" s="33"/>
      <c r="I435" s="33"/>
      <c r="J435" s="33"/>
      <c r="K435" s="34"/>
      <c r="L435" s="33"/>
      <c r="M435" s="34"/>
      <c r="N435" s="34"/>
      <c r="O435" s="35"/>
    </row>
    <row r="436" spans="1:15">
      <c r="A436" s="32"/>
      <c r="B436" s="32"/>
      <c r="C436" s="32"/>
      <c r="D436" s="32"/>
      <c r="E436" s="32"/>
      <c r="F436" s="32"/>
      <c r="G436" s="33"/>
      <c r="H436" s="33"/>
      <c r="I436" s="33"/>
      <c r="J436" s="33"/>
      <c r="K436" s="34"/>
      <c r="L436" s="33"/>
      <c r="M436" s="34"/>
      <c r="N436" s="34"/>
      <c r="O436" s="35"/>
    </row>
    <row r="437" spans="1:15">
      <c r="A437" s="32"/>
      <c r="B437" s="32"/>
      <c r="C437" s="32"/>
      <c r="D437" s="32"/>
      <c r="E437" s="32"/>
      <c r="F437" s="32"/>
      <c r="G437" s="33"/>
      <c r="H437" s="33"/>
      <c r="I437" s="33"/>
      <c r="J437" s="33"/>
      <c r="K437" s="34"/>
      <c r="L437" s="33"/>
      <c r="M437" s="34"/>
      <c r="N437" s="34"/>
      <c r="O437" s="35"/>
    </row>
    <row r="438" spans="1:15">
      <c r="A438" s="32"/>
      <c r="B438" s="32"/>
      <c r="C438" s="32"/>
      <c r="D438" s="32"/>
      <c r="E438" s="32"/>
      <c r="F438" s="32"/>
      <c r="G438" s="33"/>
      <c r="H438" s="33"/>
      <c r="I438" s="33"/>
      <c r="J438" s="33"/>
      <c r="K438" s="34"/>
      <c r="L438" s="33"/>
      <c r="M438" s="34"/>
      <c r="N438" s="34"/>
      <c r="O438" s="35"/>
    </row>
    <row r="439" spans="1:15">
      <c r="A439" s="32"/>
      <c r="B439" s="32"/>
      <c r="C439" s="32"/>
      <c r="D439" s="32"/>
      <c r="E439" s="32"/>
      <c r="F439" s="32"/>
      <c r="G439" s="33"/>
      <c r="H439" s="33"/>
      <c r="I439" s="33"/>
      <c r="J439" s="33"/>
      <c r="K439" s="34"/>
      <c r="L439" s="33"/>
      <c r="M439" s="34"/>
      <c r="N439" s="34"/>
      <c r="O439" s="35"/>
    </row>
    <row r="440" spans="1:15">
      <c r="A440" s="32"/>
      <c r="B440" s="32"/>
      <c r="C440" s="32"/>
      <c r="D440" s="32"/>
      <c r="E440" s="32"/>
      <c r="F440" s="32"/>
      <c r="G440" s="33"/>
      <c r="H440" s="33"/>
      <c r="I440" s="33"/>
      <c r="J440" s="33"/>
      <c r="K440" s="34"/>
      <c r="L440" s="33"/>
      <c r="M440" s="34"/>
      <c r="N440" s="34"/>
      <c r="O440" s="35"/>
    </row>
    <row r="441" spans="1:15">
      <c r="A441" s="32"/>
      <c r="B441" s="32"/>
      <c r="C441" s="32"/>
      <c r="D441" s="32"/>
      <c r="E441" s="32"/>
      <c r="F441" s="32"/>
      <c r="G441" s="33"/>
      <c r="H441" s="33"/>
      <c r="I441" s="33"/>
      <c r="J441" s="33"/>
      <c r="K441" s="34"/>
      <c r="L441" s="33"/>
      <c r="M441" s="34"/>
      <c r="N441" s="34"/>
      <c r="O441" s="35"/>
    </row>
    <row r="442" spans="1:15">
      <c r="A442" s="32"/>
      <c r="B442" s="32"/>
      <c r="C442" s="32"/>
      <c r="D442" s="32"/>
      <c r="E442" s="32"/>
      <c r="F442" s="32"/>
      <c r="G442" s="33"/>
      <c r="H442" s="33"/>
      <c r="I442" s="33"/>
      <c r="J442" s="33"/>
      <c r="K442" s="34"/>
      <c r="L442" s="33"/>
      <c r="M442" s="34"/>
      <c r="N442" s="34"/>
      <c r="O442" s="35"/>
    </row>
    <row r="443" spans="1:15">
      <c r="A443" s="32"/>
      <c r="B443" s="32"/>
      <c r="C443" s="32"/>
      <c r="D443" s="32"/>
      <c r="E443" s="32"/>
      <c r="F443" s="32"/>
      <c r="G443" s="33"/>
      <c r="H443" s="33"/>
      <c r="I443" s="33"/>
      <c r="J443" s="33"/>
      <c r="K443" s="34"/>
      <c r="L443" s="33"/>
      <c r="M443" s="34"/>
      <c r="N443" s="34"/>
      <c r="O443" s="35"/>
    </row>
    <row r="444" spans="1:15">
      <c r="A444" s="32"/>
      <c r="B444" s="32"/>
      <c r="C444" s="32"/>
      <c r="D444" s="32"/>
      <c r="E444" s="32"/>
      <c r="F444" s="32"/>
      <c r="G444" s="33"/>
      <c r="H444" s="33"/>
      <c r="I444" s="33"/>
      <c r="J444" s="33"/>
      <c r="K444" s="34"/>
      <c r="L444" s="33"/>
      <c r="M444" s="34"/>
      <c r="N444" s="34"/>
      <c r="O444" s="35"/>
    </row>
    <row r="445" spans="1:15">
      <c r="A445" s="32"/>
      <c r="B445" s="32"/>
      <c r="C445" s="32"/>
      <c r="D445" s="32"/>
      <c r="E445" s="32"/>
      <c r="F445" s="32"/>
      <c r="G445" s="33"/>
      <c r="H445" s="33"/>
      <c r="I445" s="33"/>
      <c r="J445" s="33"/>
      <c r="K445" s="34"/>
      <c r="L445" s="33"/>
      <c r="M445" s="34"/>
      <c r="N445" s="34"/>
      <c r="O445" s="35"/>
    </row>
    <row r="446" spans="1:15">
      <c r="A446" s="32"/>
      <c r="B446" s="32"/>
      <c r="C446" s="32"/>
      <c r="D446" s="32"/>
      <c r="E446" s="32"/>
      <c r="F446" s="32"/>
      <c r="G446" s="33"/>
      <c r="H446" s="33"/>
      <c r="I446" s="33"/>
      <c r="J446" s="33"/>
      <c r="K446" s="34"/>
      <c r="L446" s="33"/>
      <c r="M446" s="34"/>
      <c r="N446" s="34"/>
      <c r="O446" s="35"/>
    </row>
    <row r="447" spans="1:15">
      <c r="A447" s="32"/>
      <c r="B447" s="32"/>
      <c r="C447" s="32"/>
      <c r="D447" s="32"/>
      <c r="E447" s="32"/>
      <c r="F447" s="32"/>
      <c r="G447" s="33"/>
      <c r="H447" s="33"/>
      <c r="I447" s="33"/>
      <c r="J447" s="33"/>
      <c r="K447" s="34"/>
      <c r="L447" s="33"/>
      <c r="M447" s="34"/>
      <c r="N447" s="34"/>
      <c r="O447" s="35"/>
    </row>
    <row r="448" spans="1:15">
      <c r="A448" s="32"/>
      <c r="B448" s="32"/>
      <c r="C448" s="32"/>
      <c r="D448" s="32"/>
      <c r="E448" s="32"/>
      <c r="F448" s="32"/>
      <c r="G448" s="33"/>
      <c r="H448" s="33"/>
      <c r="I448" s="33"/>
      <c r="J448" s="33"/>
      <c r="K448" s="34"/>
      <c r="L448" s="33"/>
      <c r="M448" s="34"/>
      <c r="N448" s="34"/>
      <c r="O448" s="35"/>
    </row>
    <row r="449" spans="1:15">
      <c r="A449" s="32"/>
      <c r="B449" s="32"/>
      <c r="C449" s="32"/>
      <c r="D449" s="32"/>
      <c r="E449" s="32"/>
      <c r="F449" s="32"/>
      <c r="G449" s="33"/>
      <c r="H449" s="33"/>
      <c r="I449" s="33"/>
      <c r="J449" s="33"/>
      <c r="K449" s="34"/>
      <c r="L449" s="33"/>
      <c r="M449" s="34"/>
      <c r="N449" s="34"/>
      <c r="O449" s="35"/>
    </row>
    <row r="450" spans="1:15">
      <c r="A450" s="32"/>
      <c r="B450" s="32"/>
      <c r="C450" s="32"/>
      <c r="D450" s="32"/>
      <c r="E450" s="32"/>
      <c r="F450" s="32"/>
      <c r="G450" s="33"/>
      <c r="H450" s="33"/>
      <c r="I450" s="33"/>
      <c r="J450" s="33"/>
      <c r="K450" s="34"/>
      <c r="L450" s="33"/>
      <c r="M450" s="34"/>
      <c r="N450" s="34"/>
      <c r="O450" s="35"/>
    </row>
    <row r="451" spans="1:15">
      <c r="A451" s="32"/>
      <c r="B451" s="32"/>
      <c r="C451" s="32"/>
      <c r="D451" s="32"/>
      <c r="E451" s="32"/>
      <c r="F451" s="32"/>
      <c r="G451" s="33"/>
      <c r="H451" s="33"/>
      <c r="I451" s="33"/>
      <c r="J451" s="33"/>
      <c r="K451" s="34"/>
      <c r="L451" s="33"/>
      <c r="M451" s="34"/>
      <c r="N451" s="34"/>
      <c r="O451" s="35"/>
    </row>
    <row r="452" spans="1:15">
      <c r="A452" s="32"/>
      <c r="B452" s="32"/>
      <c r="C452" s="32"/>
      <c r="D452" s="32"/>
      <c r="E452" s="32"/>
      <c r="F452" s="32"/>
      <c r="G452" s="33"/>
      <c r="H452" s="33"/>
      <c r="I452" s="33"/>
      <c r="J452" s="33"/>
      <c r="K452" s="34"/>
      <c r="L452" s="33"/>
      <c r="M452" s="34"/>
      <c r="N452" s="34"/>
      <c r="O452" s="35"/>
    </row>
    <row r="453" spans="1:15">
      <c r="A453" s="32"/>
      <c r="B453" s="32"/>
      <c r="C453" s="32"/>
      <c r="D453" s="32"/>
      <c r="E453" s="32"/>
      <c r="F453" s="32"/>
      <c r="G453" s="33"/>
      <c r="H453" s="33"/>
      <c r="I453" s="33"/>
      <c r="J453" s="33"/>
      <c r="K453" s="34"/>
      <c r="L453" s="33"/>
      <c r="M453" s="34"/>
      <c r="N453" s="34"/>
      <c r="O453" s="35"/>
    </row>
    <row r="454" spans="1:15">
      <c r="A454" s="32"/>
      <c r="B454" s="32"/>
      <c r="C454" s="32"/>
      <c r="D454" s="32"/>
      <c r="E454" s="32"/>
      <c r="F454" s="32"/>
      <c r="G454" s="33"/>
      <c r="H454" s="33"/>
      <c r="I454" s="33"/>
      <c r="J454" s="33"/>
      <c r="K454" s="34"/>
      <c r="L454" s="33"/>
      <c r="M454" s="34"/>
      <c r="N454" s="34"/>
      <c r="O454" s="35"/>
    </row>
    <row r="455" spans="1:15">
      <c r="A455" s="32"/>
      <c r="B455" s="32"/>
      <c r="C455" s="32"/>
      <c r="D455" s="32"/>
      <c r="E455" s="32"/>
      <c r="F455" s="32"/>
      <c r="G455" s="33"/>
      <c r="H455" s="33"/>
      <c r="I455" s="33"/>
      <c r="J455" s="33"/>
      <c r="K455" s="34"/>
      <c r="L455" s="33"/>
      <c r="M455" s="34"/>
      <c r="N455" s="34"/>
      <c r="O455" s="35"/>
    </row>
    <row r="456" spans="1:15">
      <c r="A456" s="32"/>
      <c r="B456" s="32"/>
      <c r="C456" s="32"/>
      <c r="D456" s="32"/>
      <c r="E456" s="32"/>
      <c r="F456" s="32"/>
      <c r="G456" s="33"/>
      <c r="H456" s="33"/>
      <c r="I456" s="33"/>
      <c r="J456" s="33"/>
      <c r="K456" s="34"/>
      <c r="L456" s="33"/>
      <c r="M456" s="34"/>
      <c r="N456" s="34"/>
      <c r="O456" s="35"/>
    </row>
    <row r="457" spans="1:15">
      <c r="A457" s="32"/>
      <c r="B457" s="32"/>
      <c r="C457" s="32"/>
      <c r="D457" s="32"/>
      <c r="E457" s="32"/>
      <c r="F457" s="32"/>
      <c r="G457" s="33"/>
      <c r="H457" s="33"/>
      <c r="I457" s="33"/>
      <c r="J457" s="33"/>
      <c r="K457" s="34"/>
      <c r="L457" s="33"/>
      <c r="M457" s="34"/>
      <c r="N457" s="34"/>
      <c r="O457" s="35"/>
    </row>
    <row r="458" spans="1:15">
      <c r="A458" s="32"/>
      <c r="B458" s="32"/>
      <c r="C458" s="32"/>
      <c r="D458" s="32"/>
      <c r="E458" s="32"/>
      <c r="F458" s="32"/>
      <c r="G458" s="33"/>
      <c r="H458" s="33"/>
      <c r="I458" s="33"/>
      <c r="J458" s="33"/>
      <c r="K458" s="34"/>
      <c r="L458" s="33"/>
      <c r="M458" s="34"/>
      <c r="N458" s="34"/>
      <c r="O458" s="35"/>
    </row>
    <row r="459" spans="1:15">
      <c r="A459" s="32"/>
      <c r="B459" s="32"/>
      <c r="C459" s="32"/>
      <c r="D459" s="32"/>
      <c r="E459" s="32"/>
      <c r="F459" s="32"/>
      <c r="G459" s="33"/>
      <c r="H459" s="33"/>
      <c r="I459" s="33"/>
      <c r="J459" s="33"/>
      <c r="K459" s="34"/>
      <c r="L459" s="33"/>
      <c r="M459" s="34"/>
      <c r="N459" s="34"/>
      <c r="O459" s="35"/>
    </row>
    <row r="460" spans="1:15">
      <c r="A460" s="32"/>
      <c r="B460" s="32"/>
      <c r="C460" s="32"/>
      <c r="D460" s="32"/>
      <c r="E460" s="32"/>
      <c r="F460" s="32"/>
      <c r="G460" s="33"/>
      <c r="H460" s="33"/>
      <c r="I460" s="33"/>
      <c r="J460" s="33"/>
      <c r="K460" s="34"/>
      <c r="L460" s="33"/>
      <c r="M460" s="34"/>
      <c r="N460" s="34"/>
      <c r="O460" s="35"/>
    </row>
    <row r="461" spans="1:15">
      <c r="A461" s="32"/>
      <c r="B461" s="32"/>
      <c r="C461" s="32"/>
      <c r="D461" s="32"/>
      <c r="E461" s="32"/>
      <c r="F461" s="32"/>
      <c r="G461" s="33"/>
      <c r="H461" s="33"/>
      <c r="I461" s="33"/>
      <c r="J461" s="33"/>
      <c r="K461" s="34"/>
      <c r="L461" s="33"/>
      <c r="M461" s="34"/>
      <c r="N461" s="34"/>
      <c r="O461" s="35"/>
    </row>
    <row r="462" spans="1:15">
      <c r="A462" s="32"/>
      <c r="B462" s="32"/>
      <c r="C462" s="32"/>
      <c r="D462" s="32"/>
      <c r="E462" s="32"/>
      <c r="F462" s="32"/>
      <c r="G462" s="33"/>
      <c r="H462" s="33"/>
      <c r="I462" s="33"/>
      <c r="J462" s="33"/>
      <c r="K462" s="34"/>
      <c r="L462" s="33"/>
      <c r="M462" s="34"/>
      <c r="N462" s="34"/>
      <c r="O462" s="35"/>
    </row>
    <row r="463" spans="1:15">
      <c r="A463" s="32"/>
      <c r="B463" s="32"/>
      <c r="C463" s="32"/>
      <c r="D463" s="32"/>
      <c r="E463" s="32"/>
      <c r="F463" s="32"/>
      <c r="G463" s="33"/>
      <c r="H463" s="33"/>
      <c r="I463" s="33"/>
      <c r="J463" s="33"/>
      <c r="K463" s="34"/>
      <c r="L463" s="33"/>
      <c r="M463" s="34"/>
      <c r="N463" s="34"/>
      <c r="O463" s="35"/>
    </row>
    <row r="464" spans="1:15">
      <c r="A464" s="32"/>
      <c r="B464" s="32"/>
      <c r="C464" s="32"/>
      <c r="D464" s="32"/>
      <c r="E464" s="32"/>
      <c r="F464" s="32"/>
      <c r="G464" s="33"/>
      <c r="H464" s="33"/>
      <c r="I464" s="33"/>
      <c r="J464" s="33"/>
      <c r="K464" s="34"/>
      <c r="L464" s="33"/>
      <c r="M464" s="34"/>
      <c r="N464" s="34"/>
      <c r="O464" s="35"/>
    </row>
    <row r="465" spans="1:15">
      <c r="A465" s="32"/>
      <c r="B465" s="32"/>
      <c r="C465" s="32"/>
      <c r="D465" s="32"/>
      <c r="E465" s="32"/>
      <c r="F465" s="32"/>
      <c r="G465" s="33"/>
      <c r="H465" s="33"/>
      <c r="I465" s="33"/>
      <c r="J465" s="33"/>
      <c r="K465" s="34"/>
      <c r="L465" s="33"/>
      <c r="M465" s="34"/>
      <c r="N465" s="34"/>
      <c r="O465" s="35"/>
    </row>
    <row r="466" spans="1:15">
      <c r="A466" s="32"/>
      <c r="B466" s="32"/>
      <c r="C466" s="32"/>
      <c r="D466" s="32"/>
      <c r="E466" s="32"/>
      <c r="F466" s="32"/>
      <c r="G466" s="33"/>
      <c r="H466" s="33"/>
      <c r="I466" s="33"/>
      <c r="J466" s="33"/>
      <c r="K466" s="34"/>
      <c r="L466" s="33"/>
      <c r="M466" s="34"/>
      <c r="N466" s="34"/>
      <c r="O466" s="35"/>
    </row>
    <row r="467" spans="1:15">
      <c r="A467" s="32"/>
      <c r="B467" s="32"/>
      <c r="C467" s="32"/>
      <c r="D467" s="32"/>
      <c r="E467" s="32"/>
      <c r="F467" s="32"/>
      <c r="G467" s="33"/>
      <c r="H467" s="33"/>
      <c r="I467" s="33"/>
      <c r="J467" s="33"/>
      <c r="K467" s="34"/>
      <c r="L467" s="33"/>
      <c r="M467" s="34"/>
      <c r="N467" s="34"/>
      <c r="O467" s="35"/>
    </row>
    <row r="468" spans="1:15">
      <c r="A468" s="32"/>
      <c r="B468" s="32"/>
      <c r="C468" s="32"/>
      <c r="D468" s="32"/>
      <c r="E468" s="32"/>
      <c r="F468" s="32"/>
      <c r="G468" s="33"/>
      <c r="H468" s="33"/>
      <c r="I468" s="33"/>
      <c r="J468" s="33"/>
      <c r="K468" s="34"/>
      <c r="L468" s="33"/>
      <c r="M468" s="34"/>
      <c r="N468" s="34"/>
      <c r="O468" s="35"/>
    </row>
    <row r="469" spans="1:15">
      <c r="A469" s="32"/>
      <c r="B469" s="32"/>
      <c r="C469" s="32"/>
      <c r="D469" s="32"/>
      <c r="E469" s="32"/>
      <c r="F469" s="32"/>
      <c r="G469" s="33"/>
      <c r="H469" s="33"/>
      <c r="I469" s="33"/>
      <c r="J469" s="33"/>
      <c r="K469" s="34"/>
      <c r="L469" s="33"/>
      <c r="M469" s="34"/>
      <c r="N469" s="34"/>
      <c r="O469" s="35"/>
    </row>
    <row r="470" spans="1:15">
      <c r="A470" s="32"/>
      <c r="B470" s="32"/>
      <c r="C470" s="32"/>
      <c r="D470" s="32"/>
      <c r="E470" s="32"/>
      <c r="F470" s="32"/>
      <c r="G470" s="33"/>
      <c r="H470" s="33"/>
      <c r="I470" s="33"/>
      <c r="J470" s="33"/>
      <c r="K470" s="34"/>
      <c r="L470" s="33"/>
      <c r="M470" s="34"/>
      <c r="N470" s="34"/>
      <c r="O470" s="35"/>
    </row>
    <row r="471" spans="1:15">
      <c r="A471" s="32"/>
      <c r="B471" s="32"/>
      <c r="C471" s="32"/>
      <c r="D471" s="32"/>
      <c r="E471" s="32"/>
      <c r="F471" s="32"/>
      <c r="G471" s="33"/>
      <c r="H471" s="33"/>
      <c r="I471" s="33"/>
      <c r="J471" s="33"/>
      <c r="K471" s="34"/>
      <c r="L471" s="33"/>
      <c r="M471" s="34"/>
      <c r="N471" s="34"/>
      <c r="O471" s="35"/>
    </row>
    <row r="472" spans="1:15">
      <c r="A472" s="32"/>
      <c r="B472" s="32"/>
      <c r="C472" s="32"/>
      <c r="D472" s="32"/>
      <c r="E472" s="32"/>
      <c r="F472" s="32"/>
      <c r="G472" s="33"/>
      <c r="H472" s="33"/>
      <c r="I472" s="33"/>
      <c r="J472" s="33"/>
      <c r="K472" s="34"/>
      <c r="L472" s="33"/>
      <c r="M472" s="34"/>
      <c r="N472" s="34"/>
      <c r="O472" s="35"/>
    </row>
    <row r="473" spans="1:15">
      <c r="A473" s="32"/>
      <c r="B473" s="32"/>
      <c r="C473" s="32"/>
      <c r="D473" s="32"/>
      <c r="E473" s="32"/>
      <c r="F473" s="32"/>
      <c r="G473" s="33"/>
      <c r="H473" s="33"/>
      <c r="I473" s="33"/>
      <c r="J473" s="33"/>
      <c r="K473" s="34"/>
      <c r="L473" s="33"/>
      <c r="M473" s="34"/>
      <c r="N473" s="34"/>
      <c r="O473" s="35"/>
    </row>
    <row r="474" spans="1:15">
      <c r="A474" s="32"/>
      <c r="B474" s="32"/>
      <c r="C474" s="32"/>
      <c r="D474" s="32"/>
      <c r="E474" s="32"/>
      <c r="F474" s="32"/>
      <c r="G474" s="33"/>
      <c r="H474" s="33"/>
      <c r="I474" s="33"/>
      <c r="J474" s="33"/>
      <c r="K474" s="34"/>
      <c r="L474" s="33"/>
      <c r="M474" s="34"/>
      <c r="N474" s="34"/>
      <c r="O474" s="35"/>
    </row>
    <row r="475" spans="1:15">
      <c r="A475" s="32"/>
      <c r="B475" s="32"/>
      <c r="C475" s="32"/>
      <c r="D475" s="32"/>
      <c r="E475" s="32"/>
      <c r="F475" s="32"/>
      <c r="G475" s="33"/>
      <c r="H475" s="33"/>
      <c r="I475" s="33"/>
      <c r="J475" s="33"/>
      <c r="K475" s="34"/>
      <c r="L475" s="33"/>
      <c r="M475" s="34"/>
      <c r="N475" s="34"/>
      <c r="O475" s="35"/>
    </row>
    <row r="476" spans="1:15">
      <c r="A476" s="32"/>
      <c r="B476" s="32"/>
      <c r="C476" s="32"/>
      <c r="D476" s="32"/>
      <c r="E476" s="32"/>
      <c r="F476" s="32"/>
      <c r="G476" s="33"/>
      <c r="H476" s="33"/>
      <c r="I476" s="33"/>
      <c r="J476" s="33"/>
      <c r="K476" s="34"/>
      <c r="L476" s="33"/>
      <c r="M476" s="34"/>
      <c r="N476" s="34"/>
      <c r="O476" s="35"/>
    </row>
    <row r="477" spans="1:15">
      <c r="A477" s="32"/>
      <c r="B477" s="32"/>
      <c r="C477" s="32"/>
      <c r="D477" s="32"/>
      <c r="E477" s="32"/>
      <c r="F477" s="32"/>
      <c r="G477" s="33"/>
      <c r="H477" s="33"/>
      <c r="I477" s="33"/>
      <c r="J477" s="33"/>
      <c r="K477" s="34"/>
      <c r="L477" s="33"/>
      <c r="M477" s="34"/>
      <c r="N477" s="34"/>
      <c r="O477" s="35"/>
    </row>
    <row r="478" spans="1:15">
      <c r="A478" s="32"/>
      <c r="B478" s="32"/>
      <c r="C478" s="32"/>
      <c r="D478" s="32"/>
      <c r="E478" s="32"/>
      <c r="F478" s="32"/>
      <c r="G478" s="33"/>
      <c r="H478" s="33"/>
      <c r="I478" s="33"/>
      <c r="J478" s="33"/>
      <c r="K478" s="34"/>
      <c r="L478" s="33"/>
      <c r="M478" s="34"/>
      <c r="N478" s="34"/>
      <c r="O478" s="35"/>
    </row>
    <row r="479" spans="1:15">
      <c r="A479" s="32"/>
      <c r="B479" s="32"/>
      <c r="C479" s="32"/>
      <c r="D479" s="32"/>
      <c r="E479" s="32"/>
      <c r="F479" s="32"/>
      <c r="G479" s="33"/>
      <c r="H479" s="33"/>
      <c r="I479" s="33"/>
      <c r="J479" s="33"/>
      <c r="K479" s="34"/>
      <c r="L479" s="33"/>
      <c r="M479" s="34"/>
      <c r="N479" s="34"/>
      <c r="O479" s="35"/>
    </row>
    <row r="480" spans="1:15">
      <c r="A480" s="32"/>
      <c r="B480" s="32"/>
      <c r="C480" s="32"/>
      <c r="D480" s="32"/>
      <c r="E480" s="32"/>
      <c r="F480" s="32"/>
      <c r="G480" s="33"/>
      <c r="H480" s="33"/>
      <c r="I480" s="33"/>
      <c r="J480" s="33"/>
      <c r="K480" s="34"/>
      <c r="L480" s="33"/>
      <c r="M480" s="34"/>
      <c r="N480" s="34"/>
      <c r="O480" s="35"/>
    </row>
    <row r="481" spans="1:15">
      <c r="A481" s="32"/>
      <c r="B481" s="32"/>
      <c r="C481" s="32"/>
      <c r="D481" s="32"/>
      <c r="E481" s="32"/>
      <c r="F481" s="32"/>
      <c r="G481" s="33"/>
      <c r="H481" s="33"/>
      <c r="I481" s="33"/>
      <c r="J481" s="33"/>
      <c r="K481" s="34"/>
      <c r="L481" s="33"/>
      <c r="M481" s="34"/>
      <c r="N481" s="34"/>
      <c r="O481" s="35"/>
    </row>
    <row r="482" spans="1:15">
      <c r="A482" s="32"/>
      <c r="B482" s="32"/>
      <c r="C482" s="32"/>
      <c r="D482" s="32"/>
      <c r="E482" s="32"/>
      <c r="F482" s="32"/>
      <c r="G482" s="33"/>
      <c r="H482" s="33"/>
      <c r="I482" s="33"/>
      <c r="J482" s="33"/>
      <c r="K482" s="34"/>
      <c r="L482" s="33"/>
      <c r="M482" s="34"/>
      <c r="N482" s="34"/>
      <c r="O482" s="35"/>
    </row>
    <row r="483" spans="1:15">
      <c r="A483" s="32"/>
      <c r="B483" s="32"/>
      <c r="C483" s="32"/>
      <c r="D483" s="32"/>
      <c r="E483" s="32"/>
      <c r="F483" s="32"/>
      <c r="G483" s="33"/>
      <c r="H483" s="33"/>
      <c r="I483" s="33"/>
      <c r="J483" s="33"/>
      <c r="K483" s="34"/>
      <c r="L483" s="33"/>
      <c r="M483" s="34"/>
      <c r="N483" s="34"/>
      <c r="O483" s="35"/>
    </row>
    <row r="484" spans="1:15">
      <c r="A484" s="32"/>
      <c r="B484" s="32"/>
      <c r="C484" s="32"/>
      <c r="D484" s="32"/>
      <c r="E484" s="32"/>
      <c r="F484" s="32"/>
      <c r="G484" s="33"/>
      <c r="H484" s="33"/>
      <c r="I484" s="33"/>
      <c r="J484" s="33"/>
      <c r="K484" s="34"/>
      <c r="L484" s="33"/>
      <c r="M484" s="34"/>
      <c r="N484" s="34"/>
      <c r="O484" s="35"/>
    </row>
    <row r="485" spans="1:15">
      <c r="A485" s="32"/>
      <c r="B485" s="32"/>
      <c r="C485" s="32"/>
      <c r="D485" s="32"/>
      <c r="E485" s="32"/>
      <c r="F485" s="32"/>
      <c r="G485" s="33"/>
      <c r="H485" s="33"/>
      <c r="I485" s="33"/>
      <c r="J485" s="33"/>
      <c r="K485" s="34"/>
      <c r="L485" s="33"/>
      <c r="M485" s="34"/>
      <c r="N485" s="34"/>
      <c r="O485" s="35"/>
    </row>
    <row r="486" spans="1:15">
      <c r="A486" s="32"/>
      <c r="B486" s="32"/>
      <c r="C486" s="32"/>
      <c r="D486" s="32"/>
      <c r="E486" s="32"/>
      <c r="F486" s="32"/>
      <c r="G486" s="33"/>
      <c r="H486" s="33"/>
      <c r="I486" s="33"/>
      <c r="J486" s="33"/>
      <c r="K486" s="34"/>
      <c r="L486" s="33"/>
      <c r="M486" s="34"/>
      <c r="N486" s="34"/>
      <c r="O486" s="35"/>
    </row>
    <row r="487" spans="1:15">
      <c r="A487" s="32"/>
      <c r="B487" s="32"/>
      <c r="C487" s="32"/>
      <c r="D487" s="32"/>
      <c r="E487" s="32"/>
      <c r="F487" s="32"/>
      <c r="G487" s="33"/>
      <c r="H487" s="33"/>
      <c r="I487" s="33"/>
      <c r="J487" s="33"/>
      <c r="K487" s="34"/>
      <c r="L487" s="33"/>
      <c r="M487" s="34"/>
      <c r="N487" s="34"/>
      <c r="O487" s="35"/>
    </row>
    <row r="488" spans="1:15">
      <c r="A488" s="32"/>
      <c r="B488" s="32"/>
      <c r="C488" s="32"/>
      <c r="D488" s="32"/>
      <c r="E488" s="32"/>
      <c r="F488" s="32"/>
      <c r="G488" s="33"/>
      <c r="H488" s="33"/>
      <c r="I488" s="33"/>
      <c r="J488" s="33"/>
      <c r="K488" s="34"/>
      <c r="L488" s="33"/>
      <c r="M488" s="34"/>
      <c r="N488" s="34"/>
      <c r="O488" s="35"/>
    </row>
    <row r="489" spans="1:15">
      <c r="A489" s="32"/>
      <c r="B489" s="32"/>
      <c r="C489" s="32"/>
      <c r="D489" s="32"/>
      <c r="E489" s="32"/>
      <c r="F489" s="32"/>
      <c r="G489" s="33"/>
      <c r="H489" s="33"/>
      <c r="I489" s="33"/>
      <c r="J489" s="33"/>
      <c r="K489" s="34"/>
      <c r="L489" s="33"/>
      <c r="M489" s="34"/>
      <c r="N489" s="34"/>
      <c r="O489" s="35"/>
    </row>
    <row r="490" spans="1:15">
      <c r="A490" s="32"/>
      <c r="B490" s="32"/>
      <c r="C490" s="32"/>
      <c r="D490" s="32"/>
      <c r="E490" s="32"/>
      <c r="F490" s="32"/>
      <c r="G490" s="33"/>
      <c r="H490" s="33"/>
      <c r="I490" s="33"/>
      <c r="J490" s="33"/>
      <c r="K490" s="34"/>
      <c r="L490" s="33"/>
      <c r="M490" s="34"/>
      <c r="N490" s="34"/>
      <c r="O490" s="35"/>
    </row>
    <row r="491" spans="1:15">
      <c r="A491" s="32"/>
      <c r="B491" s="32"/>
      <c r="C491" s="32"/>
      <c r="D491" s="32"/>
      <c r="E491" s="32"/>
      <c r="F491" s="32"/>
      <c r="G491" s="33"/>
      <c r="H491" s="33"/>
      <c r="I491" s="33"/>
      <c r="J491" s="33"/>
      <c r="K491" s="34"/>
      <c r="L491" s="33"/>
      <c r="M491" s="34"/>
      <c r="N491" s="34"/>
      <c r="O491" s="35"/>
    </row>
    <row r="492" spans="1:15">
      <c r="A492" s="32"/>
      <c r="B492" s="32"/>
      <c r="C492" s="32"/>
      <c r="D492" s="32"/>
      <c r="E492" s="32"/>
      <c r="F492" s="32"/>
      <c r="G492" s="33"/>
      <c r="H492" s="33"/>
      <c r="I492" s="33"/>
      <c r="J492" s="33"/>
      <c r="K492" s="34"/>
      <c r="L492" s="33"/>
      <c r="M492" s="34"/>
      <c r="N492" s="34"/>
      <c r="O492" s="35"/>
    </row>
    <row r="493" spans="1:15">
      <c r="A493" s="32"/>
      <c r="B493" s="32"/>
      <c r="C493" s="32"/>
      <c r="D493" s="32"/>
      <c r="E493" s="32"/>
      <c r="F493" s="32"/>
      <c r="G493" s="33"/>
      <c r="H493" s="33"/>
      <c r="I493" s="33"/>
      <c r="J493" s="33"/>
      <c r="K493" s="34"/>
      <c r="L493" s="33"/>
      <c r="M493" s="34"/>
      <c r="N493" s="34"/>
      <c r="O493" s="35"/>
    </row>
    <row r="494" spans="1:15">
      <c r="A494" s="32"/>
      <c r="B494" s="32"/>
      <c r="C494" s="32"/>
      <c r="D494" s="32"/>
      <c r="E494" s="32"/>
      <c r="F494" s="32"/>
      <c r="G494" s="33"/>
      <c r="H494" s="33"/>
      <c r="I494" s="33"/>
      <c r="J494" s="33"/>
      <c r="K494" s="34"/>
      <c r="L494" s="33"/>
      <c r="M494" s="34"/>
      <c r="N494" s="34"/>
      <c r="O494" s="35"/>
    </row>
    <row r="495" spans="1:15">
      <c r="A495" s="32"/>
      <c r="B495" s="32"/>
      <c r="C495" s="32"/>
      <c r="D495" s="32"/>
      <c r="E495" s="32"/>
      <c r="F495" s="32"/>
      <c r="G495" s="33"/>
      <c r="H495" s="33"/>
      <c r="I495" s="33"/>
      <c r="J495" s="33"/>
      <c r="K495" s="34"/>
      <c r="L495" s="33"/>
      <c r="M495" s="34"/>
      <c r="N495" s="34"/>
      <c r="O495" s="35"/>
    </row>
    <row r="496" spans="1:15">
      <c r="A496" s="32"/>
      <c r="B496" s="32"/>
      <c r="C496" s="32"/>
      <c r="D496" s="32"/>
      <c r="E496" s="32"/>
      <c r="F496" s="32"/>
      <c r="G496" s="33"/>
      <c r="H496" s="33"/>
      <c r="I496" s="33"/>
      <c r="J496" s="33"/>
      <c r="K496" s="34"/>
      <c r="L496" s="33"/>
      <c r="M496" s="34"/>
      <c r="N496" s="34"/>
      <c r="O496" s="35"/>
    </row>
    <row r="497" spans="1:15">
      <c r="A497" s="32"/>
      <c r="B497" s="32"/>
      <c r="C497" s="32"/>
      <c r="D497" s="32"/>
      <c r="E497" s="32"/>
      <c r="F497" s="32"/>
      <c r="G497" s="33"/>
      <c r="H497" s="33"/>
      <c r="I497" s="33"/>
      <c r="J497" s="33"/>
      <c r="K497" s="34"/>
      <c r="L497" s="33"/>
      <c r="M497" s="34"/>
      <c r="N497" s="34"/>
      <c r="O497" s="35"/>
    </row>
    <row r="498" spans="1:15">
      <c r="A498" s="32"/>
      <c r="B498" s="32"/>
      <c r="C498" s="32"/>
      <c r="D498" s="32"/>
      <c r="E498" s="32"/>
      <c r="F498" s="32"/>
      <c r="G498" s="33"/>
      <c r="H498" s="33"/>
      <c r="I498" s="33"/>
      <c r="J498" s="33"/>
      <c r="K498" s="34"/>
      <c r="L498" s="33"/>
      <c r="M498" s="34"/>
      <c r="N498" s="34"/>
      <c r="O498" s="35"/>
    </row>
    <row r="499" spans="1:15">
      <c r="A499" s="32"/>
      <c r="B499" s="32"/>
      <c r="C499" s="32"/>
      <c r="D499" s="32"/>
      <c r="E499" s="32"/>
      <c r="F499" s="32"/>
      <c r="G499" s="33"/>
      <c r="H499" s="33"/>
      <c r="I499" s="33"/>
      <c r="J499" s="33"/>
      <c r="K499" s="34"/>
      <c r="L499" s="33"/>
      <c r="M499" s="34"/>
      <c r="N499" s="34"/>
      <c r="O499" s="35"/>
    </row>
    <row r="500" spans="1:15">
      <c r="A500" s="32"/>
      <c r="B500" s="32"/>
      <c r="C500" s="32"/>
      <c r="D500" s="32"/>
      <c r="E500" s="32"/>
      <c r="F500" s="32"/>
      <c r="G500" s="33"/>
      <c r="H500" s="33"/>
      <c r="I500" s="33"/>
      <c r="J500" s="33"/>
      <c r="K500" s="34"/>
      <c r="L500" s="33"/>
      <c r="M500" s="34"/>
      <c r="N500" s="34"/>
      <c r="O500" s="35"/>
    </row>
    <row r="501" spans="1:15">
      <c r="A501" s="32"/>
      <c r="B501" s="32"/>
      <c r="C501" s="32"/>
      <c r="D501" s="32"/>
      <c r="E501" s="32"/>
      <c r="F501" s="32"/>
      <c r="G501" s="33"/>
      <c r="H501" s="33"/>
      <c r="I501" s="33"/>
      <c r="J501" s="33"/>
      <c r="K501" s="34"/>
      <c r="L501" s="33"/>
      <c r="M501" s="34"/>
      <c r="N501" s="34"/>
      <c r="O501" s="35"/>
    </row>
    <row r="502" spans="1:15">
      <c r="A502" s="32"/>
      <c r="B502" s="32"/>
      <c r="C502" s="32"/>
      <c r="D502" s="32"/>
      <c r="E502" s="32"/>
      <c r="F502" s="32"/>
      <c r="G502" s="33"/>
      <c r="H502" s="33"/>
      <c r="I502" s="33"/>
      <c r="J502" s="33"/>
      <c r="K502" s="34"/>
      <c r="L502" s="33"/>
      <c r="M502" s="34"/>
      <c r="N502" s="34"/>
      <c r="O502" s="35"/>
    </row>
    <row r="503" spans="1:15">
      <c r="A503" s="32"/>
      <c r="B503" s="32"/>
      <c r="C503" s="32"/>
      <c r="D503" s="32"/>
      <c r="E503" s="32"/>
      <c r="F503" s="32"/>
      <c r="G503" s="33"/>
      <c r="H503" s="33"/>
      <c r="I503" s="33"/>
      <c r="J503" s="33"/>
      <c r="K503" s="34"/>
      <c r="L503" s="33"/>
      <c r="M503" s="34"/>
      <c r="N503" s="34"/>
      <c r="O503" s="35"/>
    </row>
    <row r="504" spans="1:15">
      <c r="A504" s="32"/>
      <c r="B504" s="32"/>
      <c r="C504" s="32"/>
      <c r="D504" s="32"/>
      <c r="E504" s="32"/>
      <c r="F504" s="32"/>
      <c r="G504" s="33"/>
      <c r="H504" s="33"/>
      <c r="I504" s="33"/>
      <c r="J504" s="33"/>
      <c r="K504" s="34"/>
      <c r="L504" s="33"/>
      <c r="M504" s="34"/>
      <c r="N504" s="34"/>
      <c r="O504" s="35"/>
    </row>
    <row r="505" spans="1:15">
      <c r="A505" s="32"/>
      <c r="B505" s="32"/>
      <c r="C505" s="32"/>
      <c r="D505" s="32"/>
      <c r="E505" s="32"/>
      <c r="F505" s="32"/>
      <c r="G505" s="33"/>
      <c r="H505" s="33"/>
      <c r="I505" s="33"/>
      <c r="J505" s="33"/>
      <c r="K505" s="34"/>
      <c r="L505" s="33"/>
      <c r="M505" s="34"/>
      <c r="N505" s="34"/>
      <c r="O505" s="35"/>
    </row>
    <row r="506" spans="1:15">
      <c r="A506" s="32"/>
      <c r="B506" s="32"/>
      <c r="C506" s="32"/>
      <c r="D506" s="32"/>
      <c r="E506" s="32"/>
      <c r="F506" s="32"/>
      <c r="G506" s="33"/>
      <c r="H506" s="33"/>
      <c r="I506" s="33"/>
      <c r="J506" s="33"/>
      <c r="K506" s="34"/>
      <c r="L506" s="33"/>
      <c r="M506" s="34"/>
      <c r="N506" s="34"/>
      <c r="O506" s="35"/>
    </row>
    <row r="507" spans="1:15">
      <c r="A507" s="32"/>
      <c r="B507" s="32"/>
      <c r="C507" s="32"/>
      <c r="D507" s="32"/>
      <c r="E507" s="32"/>
      <c r="F507" s="32"/>
      <c r="G507" s="33"/>
      <c r="H507" s="33"/>
      <c r="I507" s="33"/>
      <c r="J507" s="33"/>
      <c r="K507" s="34"/>
      <c r="L507" s="33"/>
      <c r="M507" s="34"/>
      <c r="N507" s="34"/>
      <c r="O507" s="35"/>
    </row>
    <row r="508" spans="1:15">
      <c r="A508" s="32"/>
      <c r="B508" s="32"/>
      <c r="C508" s="32"/>
      <c r="D508" s="32"/>
      <c r="E508" s="32"/>
      <c r="F508" s="32"/>
      <c r="G508" s="33"/>
      <c r="H508" s="33"/>
      <c r="I508" s="33"/>
      <c r="J508" s="33"/>
      <c r="K508" s="34"/>
      <c r="L508" s="33"/>
      <c r="M508" s="34"/>
      <c r="N508" s="34"/>
      <c r="O508" s="35"/>
    </row>
    <row r="509" spans="1:15">
      <c r="A509" s="32"/>
      <c r="B509" s="32"/>
      <c r="C509" s="32"/>
      <c r="D509" s="32"/>
      <c r="E509" s="32"/>
      <c r="F509" s="32"/>
      <c r="G509" s="33"/>
      <c r="H509" s="33"/>
      <c r="I509" s="33"/>
      <c r="J509" s="33"/>
      <c r="K509" s="34"/>
      <c r="L509" s="33"/>
      <c r="M509" s="34"/>
      <c r="N509" s="34"/>
      <c r="O509" s="35"/>
    </row>
    <row r="510" spans="1:15">
      <c r="A510" s="32"/>
      <c r="B510" s="32"/>
      <c r="C510" s="32"/>
      <c r="D510" s="32"/>
      <c r="E510" s="32"/>
      <c r="F510" s="32"/>
      <c r="G510" s="33"/>
      <c r="H510" s="33"/>
      <c r="I510" s="33"/>
      <c r="J510" s="33"/>
      <c r="K510" s="34"/>
      <c r="L510" s="33"/>
      <c r="M510" s="34"/>
      <c r="N510" s="34"/>
      <c r="O510" s="35"/>
    </row>
    <row r="511" spans="1:15">
      <c r="A511" s="32"/>
      <c r="B511" s="32"/>
      <c r="C511" s="32"/>
      <c r="D511" s="32"/>
      <c r="E511" s="32"/>
      <c r="F511" s="32"/>
      <c r="G511" s="33"/>
      <c r="H511" s="33"/>
      <c r="I511" s="33"/>
      <c r="J511" s="33"/>
      <c r="K511" s="34"/>
      <c r="L511" s="33"/>
      <c r="M511" s="34"/>
      <c r="N511" s="34"/>
      <c r="O511" s="35"/>
    </row>
    <row r="512" spans="1:15">
      <c r="A512" s="32"/>
      <c r="B512" s="32"/>
      <c r="C512" s="32"/>
      <c r="D512" s="32"/>
      <c r="E512" s="32"/>
      <c r="F512" s="32"/>
      <c r="G512" s="33"/>
      <c r="H512" s="33"/>
      <c r="I512" s="33"/>
      <c r="J512" s="33"/>
      <c r="K512" s="34"/>
      <c r="L512" s="33"/>
      <c r="M512" s="34"/>
      <c r="N512" s="34"/>
      <c r="O512" s="35"/>
    </row>
    <row r="513" spans="1:15">
      <c r="A513" s="32"/>
      <c r="B513" s="32"/>
      <c r="C513" s="32"/>
      <c r="D513" s="32"/>
      <c r="E513" s="32"/>
      <c r="F513" s="32"/>
      <c r="G513" s="33"/>
      <c r="H513" s="33"/>
      <c r="I513" s="33"/>
      <c r="J513" s="33"/>
      <c r="K513" s="34"/>
      <c r="L513" s="33"/>
      <c r="M513" s="34"/>
      <c r="N513" s="34"/>
      <c r="O513" s="35"/>
    </row>
    <row r="514" spans="1:15">
      <c r="A514" s="32"/>
      <c r="B514" s="32"/>
      <c r="C514" s="32"/>
      <c r="D514" s="32"/>
      <c r="E514" s="32"/>
      <c r="F514" s="32"/>
      <c r="G514" s="33"/>
      <c r="H514" s="33"/>
      <c r="I514" s="33"/>
      <c r="J514" s="33"/>
      <c r="K514" s="34"/>
      <c r="L514" s="33"/>
      <c r="M514" s="34"/>
      <c r="N514" s="34"/>
      <c r="O514" s="35"/>
    </row>
    <row r="515" spans="1:15">
      <c r="A515" s="32"/>
      <c r="B515" s="32"/>
      <c r="C515" s="32"/>
      <c r="D515" s="32"/>
      <c r="E515" s="32"/>
      <c r="F515" s="32"/>
      <c r="G515" s="33"/>
      <c r="H515" s="33"/>
      <c r="I515" s="33"/>
      <c r="J515" s="33"/>
      <c r="K515" s="34"/>
      <c r="L515" s="33"/>
      <c r="M515" s="34"/>
      <c r="N515" s="34"/>
      <c r="O515" s="35"/>
    </row>
    <row r="516" spans="1:15">
      <c r="A516" s="32"/>
      <c r="B516" s="32"/>
      <c r="C516" s="32"/>
      <c r="D516" s="32"/>
      <c r="E516" s="32"/>
      <c r="F516" s="32"/>
      <c r="G516" s="33"/>
      <c r="H516" s="33"/>
      <c r="I516" s="33"/>
      <c r="J516" s="33"/>
      <c r="K516" s="34"/>
      <c r="L516" s="33"/>
      <c r="M516" s="34"/>
      <c r="N516" s="34"/>
      <c r="O516" s="35"/>
    </row>
    <row r="517" spans="1:15">
      <c r="A517" s="32"/>
      <c r="B517" s="32"/>
      <c r="C517" s="32"/>
      <c r="D517" s="32"/>
      <c r="E517" s="32"/>
      <c r="F517" s="32"/>
      <c r="G517" s="33"/>
      <c r="H517" s="33"/>
      <c r="I517" s="33"/>
      <c r="J517" s="33"/>
      <c r="K517" s="34"/>
      <c r="L517" s="33"/>
      <c r="M517" s="34"/>
      <c r="N517" s="34"/>
      <c r="O517" s="35"/>
    </row>
    <row r="518" spans="1:15">
      <c r="A518" s="32"/>
      <c r="B518" s="32"/>
      <c r="C518" s="32"/>
      <c r="D518" s="32"/>
      <c r="E518" s="32"/>
      <c r="F518" s="32"/>
      <c r="G518" s="33"/>
      <c r="H518" s="33"/>
      <c r="I518" s="33"/>
      <c r="J518" s="33"/>
      <c r="K518" s="34"/>
      <c r="L518" s="33"/>
      <c r="M518" s="34"/>
      <c r="N518" s="34"/>
      <c r="O518" s="35"/>
    </row>
    <row r="519" spans="1:15">
      <c r="A519" s="32"/>
      <c r="B519" s="32"/>
      <c r="C519" s="32"/>
      <c r="D519" s="32"/>
      <c r="E519" s="32"/>
      <c r="F519" s="32"/>
      <c r="G519" s="33"/>
      <c r="H519" s="33"/>
      <c r="I519" s="33"/>
      <c r="J519" s="33"/>
      <c r="K519" s="34"/>
      <c r="L519" s="33"/>
      <c r="M519" s="34"/>
      <c r="N519" s="34"/>
      <c r="O519" s="35"/>
    </row>
    <row r="520" spans="1:15">
      <c r="A520" s="32"/>
      <c r="B520" s="32"/>
      <c r="C520" s="32"/>
      <c r="D520" s="32"/>
      <c r="E520" s="32"/>
      <c r="F520" s="32"/>
      <c r="G520" s="33"/>
      <c r="H520" s="33"/>
      <c r="I520" s="33"/>
      <c r="J520" s="33"/>
      <c r="K520" s="34"/>
      <c r="L520" s="33"/>
      <c r="M520" s="34"/>
      <c r="N520" s="34"/>
      <c r="O520" s="35"/>
    </row>
    <row r="521" spans="1:15">
      <c r="A521" s="32"/>
      <c r="B521" s="32"/>
      <c r="C521" s="32"/>
      <c r="D521" s="32"/>
      <c r="E521" s="32"/>
      <c r="F521" s="32"/>
      <c r="G521" s="33"/>
      <c r="H521" s="33"/>
      <c r="I521" s="33"/>
      <c r="J521" s="33"/>
      <c r="K521" s="34"/>
      <c r="L521" s="33"/>
      <c r="M521" s="34"/>
      <c r="N521" s="34"/>
      <c r="O521" s="35"/>
    </row>
    <row r="522" spans="1:15">
      <c r="A522" s="32"/>
      <c r="B522" s="32"/>
      <c r="C522" s="32"/>
      <c r="D522" s="32"/>
      <c r="E522" s="32"/>
      <c r="F522" s="32"/>
      <c r="G522" s="33"/>
      <c r="H522" s="33"/>
      <c r="I522" s="33"/>
      <c r="J522" s="33"/>
      <c r="K522" s="34"/>
      <c r="L522" s="33"/>
      <c r="M522" s="34"/>
      <c r="N522" s="34"/>
      <c r="O522" s="35"/>
    </row>
    <row r="523" spans="1:15">
      <c r="A523" s="32"/>
      <c r="B523" s="32"/>
      <c r="C523" s="32"/>
      <c r="D523" s="32"/>
      <c r="E523" s="32"/>
      <c r="F523" s="32"/>
      <c r="G523" s="33"/>
      <c r="H523" s="33"/>
      <c r="I523" s="33"/>
      <c r="J523" s="33"/>
      <c r="K523" s="34"/>
      <c r="L523" s="33"/>
      <c r="M523" s="34"/>
      <c r="N523" s="34"/>
      <c r="O523" s="35"/>
    </row>
    <row r="524" spans="1:15">
      <c r="A524" s="32"/>
      <c r="B524" s="32"/>
      <c r="C524" s="32"/>
      <c r="D524" s="32"/>
      <c r="E524" s="32"/>
      <c r="F524" s="32"/>
      <c r="G524" s="33"/>
      <c r="H524" s="33"/>
      <c r="I524" s="33"/>
      <c r="J524" s="33"/>
      <c r="K524" s="34"/>
      <c r="L524" s="33"/>
      <c r="M524" s="34"/>
      <c r="N524" s="34"/>
      <c r="O524" s="35"/>
    </row>
    <row r="525" spans="1:15">
      <c r="A525" s="32"/>
      <c r="B525" s="32"/>
      <c r="C525" s="32"/>
      <c r="D525" s="32"/>
      <c r="E525" s="32"/>
      <c r="F525" s="32"/>
      <c r="G525" s="33"/>
      <c r="H525" s="33"/>
      <c r="I525" s="33"/>
      <c r="J525" s="33"/>
      <c r="K525" s="34"/>
      <c r="L525" s="33"/>
      <c r="M525" s="34"/>
      <c r="N525" s="34"/>
      <c r="O525" s="35"/>
    </row>
    <row r="526" spans="1:15">
      <c r="A526" s="32"/>
      <c r="B526" s="32"/>
      <c r="C526" s="32"/>
      <c r="D526" s="32"/>
      <c r="E526" s="32"/>
      <c r="F526" s="32"/>
      <c r="G526" s="33"/>
      <c r="H526" s="33"/>
      <c r="I526" s="33"/>
      <c r="J526" s="33"/>
      <c r="K526" s="34"/>
      <c r="L526" s="33"/>
      <c r="M526" s="34"/>
      <c r="N526" s="34"/>
      <c r="O526" s="35"/>
    </row>
    <row r="527" spans="1:15">
      <c r="A527" s="32"/>
      <c r="B527" s="32"/>
      <c r="C527" s="32"/>
      <c r="D527" s="32"/>
      <c r="E527" s="32"/>
      <c r="F527" s="32"/>
      <c r="G527" s="33"/>
      <c r="H527" s="33"/>
      <c r="I527" s="33"/>
      <c r="J527" s="33"/>
      <c r="K527" s="34"/>
      <c r="L527" s="33"/>
      <c r="M527" s="34"/>
      <c r="N527" s="34"/>
      <c r="O527" s="35"/>
    </row>
    <row r="528" spans="1:15">
      <c r="A528" s="32"/>
      <c r="B528" s="32"/>
      <c r="C528" s="32"/>
      <c r="D528" s="32"/>
      <c r="E528" s="32"/>
      <c r="F528" s="32"/>
      <c r="G528" s="33"/>
      <c r="H528" s="33"/>
      <c r="I528" s="33"/>
      <c r="J528" s="33"/>
      <c r="K528" s="34"/>
      <c r="L528" s="33"/>
      <c r="M528" s="34"/>
      <c r="N528" s="34"/>
      <c r="O528" s="35"/>
    </row>
    <row r="529" spans="1:15">
      <c r="A529" s="32"/>
      <c r="B529" s="32"/>
      <c r="C529" s="32"/>
      <c r="D529" s="32"/>
      <c r="E529" s="32"/>
      <c r="F529" s="32"/>
      <c r="G529" s="33"/>
      <c r="H529" s="33"/>
      <c r="I529" s="33"/>
      <c r="J529" s="33"/>
      <c r="K529" s="34"/>
      <c r="L529" s="33"/>
      <c r="M529" s="34"/>
      <c r="N529" s="34"/>
      <c r="O529" s="35"/>
    </row>
    <row r="530" spans="1:15">
      <c r="A530" s="32"/>
      <c r="B530" s="32"/>
      <c r="C530" s="32"/>
      <c r="D530" s="32"/>
      <c r="E530" s="32"/>
      <c r="F530" s="32"/>
      <c r="G530" s="33"/>
      <c r="H530" s="33"/>
      <c r="I530" s="33"/>
      <c r="J530" s="33"/>
      <c r="K530" s="34"/>
      <c r="L530" s="33"/>
      <c r="M530" s="34"/>
      <c r="N530" s="34"/>
      <c r="O530" s="35"/>
    </row>
    <row r="531" spans="1:15">
      <c r="A531" s="32"/>
      <c r="B531" s="32"/>
      <c r="C531" s="32"/>
      <c r="D531" s="32"/>
      <c r="E531" s="32"/>
      <c r="F531" s="32"/>
      <c r="G531" s="33"/>
      <c r="H531" s="33"/>
      <c r="I531" s="33"/>
      <c r="J531" s="33"/>
      <c r="K531" s="34"/>
      <c r="L531" s="33"/>
      <c r="M531" s="34"/>
      <c r="N531" s="34"/>
      <c r="O531" s="35"/>
    </row>
    <row r="532" spans="1:15">
      <c r="A532" s="32"/>
      <c r="B532" s="32"/>
      <c r="C532" s="32"/>
      <c r="D532" s="32"/>
      <c r="E532" s="32"/>
      <c r="F532" s="32"/>
      <c r="G532" s="33"/>
      <c r="H532" s="33"/>
      <c r="I532" s="33"/>
      <c r="J532" s="33"/>
      <c r="K532" s="34"/>
      <c r="L532" s="33"/>
      <c r="M532" s="34"/>
      <c r="N532" s="34"/>
      <c r="O532" s="35"/>
    </row>
    <row r="533" spans="1:15">
      <c r="A533" s="32"/>
      <c r="B533" s="32"/>
      <c r="C533" s="32"/>
      <c r="D533" s="32"/>
      <c r="E533" s="32"/>
      <c r="F533" s="32"/>
      <c r="G533" s="33"/>
      <c r="H533" s="33"/>
      <c r="I533" s="33"/>
      <c r="J533" s="33"/>
      <c r="K533" s="34"/>
      <c r="L533" s="33"/>
      <c r="M533" s="34"/>
      <c r="N533" s="34"/>
      <c r="O533" s="35"/>
    </row>
    <row r="534" spans="1:15">
      <c r="A534" s="32"/>
      <c r="B534" s="32"/>
      <c r="C534" s="32"/>
      <c r="D534" s="32"/>
      <c r="E534" s="32"/>
      <c r="F534" s="32"/>
      <c r="G534" s="33"/>
      <c r="H534" s="33"/>
      <c r="I534" s="33"/>
      <c r="J534" s="33"/>
      <c r="K534" s="34"/>
      <c r="L534" s="33"/>
      <c r="M534" s="34"/>
      <c r="N534" s="34"/>
      <c r="O534" s="35"/>
    </row>
    <row r="535" spans="1:15">
      <c r="A535" s="32"/>
      <c r="B535" s="32"/>
      <c r="C535" s="32"/>
      <c r="D535" s="32"/>
      <c r="E535" s="32"/>
      <c r="F535" s="32"/>
      <c r="G535" s="33"/>
      <c r="H535" s="33"/>
      <c r="I535" s="33"/>
      <c r="J535" s="33"/>
      <c r="K535" s="34"/>
      <c r="L535" s="33"/>
      <c r="M535" s="34"/>
      <c r="N535" s="34"/>
      <c r="O535" s="35"/>
    </row>
    <row r="536" spans="1:15">
      <c r="A536" s="32"/>
      <c r="B536" s="32"/>
      <c r="C536" s="32"/>
      <c r="D536" s="32"/>
      <c r="E536" s="32"/>
      <c r="F536" s="32"/>
      <c r="G536" s="33"/>
      <c r="H536" s="33"/>
      <c r="I536" s="33"/>
      <c r="J536" s="33"/>
      <c r="K536" s="34"/>
      <c r="L536" s="33"/>
      <c r="M536" s="34"/>
      <c r="N536" s="34"/>
      <c r="O536" s="35"/>
    </row>
    <row r="537" spans="1:15">
      <c r="A537" s="32"/>
      <c r="B537" s="32"/>
      <c r="C537" s="32"/>
      <c r="D537" s="32"/>
      <c r="E537" s="32"/>
      <c r="F537" s="32"/>
      <c r="G537" s="33"/>
      <c r="H537" s="33"/>
      <c r="I537" s="33"/>
      <c r="J537" s="33"/>
      <c r="K537" s="34"/>
      <c r="L537" s="33"/>
      <c r="M537" s="34"/>
      <c r="N537" s="34"/>
      <c r="O537" s="35"/>
    </row>
    <row r="538" spans="1:15">
      <c r="A538" s="32"/>
      <c r="B538" s="32"/>
      <c r="C538" s="32"/>
      <c r="D538" s="32"/>
      <c r="E538" s="32"/>
      <c r="F538" s="32"/>
      <c r="G538" s="33"/>
      <c r="H538" s="33"/>
      <c r="I538" s="33"/>
      <c r="J538" s="33"/>
      <c r="K538" s="34"/>
      <c r="L538" s="33"/>
      <c r="M538" s="34"/>
      <c r="N538" s="34"/>
      <c r="O538" s="35"/>
    </row>
    <row r="539" spans="1:15">
      <c r="A539" s="32"/>
      <c r="B539" s="32"/>
      <c r="C539" s="32"/>
      <c r="D539" s="32"/>
      <c r="E539" s="32"/>
      <c r="F539" s="32"/>
      <c r="G539" s="33"/>
      <c r="H539" s="33"/>
      <c r="I539" s="33"/>
      <c r="J539" s="33"/>
      <c r="K539" s="34"/>
      <c r="L539" s="33"/>
      <c r="M539" s="34"/>
      <c r="N539" s="34"/>
      <c r="O539" s="35"/>
    </row>
    <row r="540" spans="1:15">
      <c r="A540" s="32"/>
      <c r="B540" s="32"/>
      <c r="C540" s="32"/>
      <c r="D540" s="32"/>
      <c r="E540" s="32"/>
      <c r="F540" s="32"/>
      <c r="G540" s="33"/>
      <c r="H540" s="33"/>
      <c r="I540" s="33"/>
      <c r="J540" s="33"/>
      <c r="K540" s="34"/>
      <c r="L540" s="33"/>
      <c r="M540" s="34"/>
      <c r="N540" s="34"/>
      <c r="O540" s="35"/>
    </row>
    <row r="541" spans="1:15">
      <c r="A541" s="32"/>
      <c r="B541" s="32"/>
      <c r="C541" s="32"/>
      <c r="D541" s="32"/>
      <c r="E541" s="32"/>
      <c r="F541" s="32"/>
      <c r="G541" s="33"/>
      <c r="H541" s="33"/>
      <c r="I541" s="33"/>
      <c r="J541" s="33"/>
      <c r="K541" s="34"/>
      <c r="L541" s="33"/>
      <c r="M541" s="34"/>
      <c r="N541" s="34"/>
      <c r="O541" s="35"/>
    </row>
    <row r="542" spans="1:15">
      <c r="A542" s="32"/>
      <c r="B542" s="32"/>
      <c r="C542" s="32"/>
      <c r="D542" s="32"/>
      <c r="E542" s="32"/>
      <c r="F542" s="32"/>
      <c r="G542" s="33"/>
      <c r="H542" s="33"/>
      <c r="I542" s="33"/>
      <c r="J542" s="33"/>
      <c r="K542" s="34"/>
      <c r="L542" s="33"/>
      <c r="M542" s="34"/>
      <c r="N542" s="34"/>
      <c r="O542" s="35"/>
    </row>
    <row r="543" spans="1:15">
      <c r="A543" s="32"/>
      <c r="B543" s="32"/>
      <c r="C543" s="32"/>
      <c r="D543" s="32"/>
      <c r="E543" s="32"/>
      <c r="F543" s="32"/>
      <c r="G543" s="33"/>
      <c r="H543" s="33"/>
      <c r="I543" s="33"/>
      <c r="J543" s="33"/>
      <c r="K543" s="34"/>
      <c r="L543" s="33"/>
      <c r="M543" s="34"/>
      <c r="N543" s="34"/>
      <c r="O543" s="35"/>
    </row>
    <row r="544" spans="1:15">
      <c r="A544" s="32"/>
      <c r="B544" s="32"/>
      <c r="C544" s="32"/>
      <c r="D544" s="32"/>
      <c r="E544" s="32"/>
      <c r="F544" s="32"/>
      <c r="G544" s="33"/>
      <c r="H544" s="33"/>
      <c r="I544" s="33"/>
      <c r="J544" s="33"/>
      <c r="K544" s="34"/>
      <c r="L544" s="33"/>
      <c r="M544" s="34"/>
      <c r="N544" s="34"/>
      <c r="O544" s="35"/>
    </row>
    <row r="545" spans="1:15">
      <c r="A545" s="32"/>
      <c r="B545" s="32"/>
      <c r="C545" s="32"/>
      <c r="D545" s="32"/>
      <c r="E545" s="32"/>
      <c r="F545" s="32"/>
      <c r="G545" s="33"/>
      <c r="H545" s="33"/>
      <c r="I545" s="33"/>
      <c r="J545" s="33"/>
      <c r="K545" s="34"/>
      <c r="L545" s="33"/>
      <c r="M545" s="34"/>
      <c r="N545" s="34"/>
      <c r="O545" s="35"/>
    </row>
    <row r="546" spans="1:15">
      <c r="A546" s="32"/>
      <c r="B546" s="32"/>
      <c r="C546" s="32"/>
      <c r="D546" s="32"/>
      <c r="E546" s="32"/>
      <c r="F546" s="32"/>
      <c r="G546" s="33"/>
      <c r="H546" s="33"/>
      <c r="I546" s="33"/>
      <c r="J546" s="33"/>
      <c r="K546" s="34"/>
      <c r="L546" s="33"/>
      <c r="M546" s="34"/>
      <c r="N546" s="34"/>
      <c r="O546" s="35"/>
    </row>
    <row r="547" spans="1:15">
      <c r="A547" s="32"/>
      <c r="B547" s="32"/>
      <c r="C547" s="32"/>
      <c r="D547" s="32"/>
      <c r="E547" s="32"/>
      <c r="F547" s="32"/>
      <c r="G547" s="33"/>
      <c r="H547" s="33"/>
      <c r="I547" s="33"/>
      <c r="J547" s="33"/>
      <c r="K547" s="34"/>
      <c r="L547" s="33"/>
      <c r="M547" s="34"/>
      <c r="N547" s="34"/>
      <c r="O547" s="35"/>
    </row>
    <row r="548" spans="1:15">
      <c r="A548" s="32"/>
      <c r="B548" s="32"/>
      <c r="C548" s="32"/>
      <c r="D548" s="32"/>
      <c r="E548" s="32"/>
      <c r="F548" s="32"/>
      <c r="G548" s="33"/>
      <c r="H548" s="33"/>
      <c r="I548" s="33"/>
      <c r="J548" s="33"/>
      <c r="K548" s="34"/>
      <c r="L548" s="33"/>
      <c r="M548" s="34"/>
      <c r="N548" s="34"/>
      <c r="O548" s="35"/>
    </row>
    <row r="549" spans="1:15">
      <c r="A549" s="32"/>
      <c r="B549" s="32"/>
      <c r="C549" s="32"/>
      <c r="D549" s="32"/>
      <c r="E549" s="32"/>
      <c r="F549" s="32"/>
      <c r="G549" s="33"/>
      <c r="H549" s="33"/>
      <c r="I549" s="33"/>
      <c r="J549" s="33"/>
      <c r="K549" s="34"/>
      <c r="L549" s="33"/>
      <c r="M549" s="34"/>
      <c r="N549" s="34"/>
      <c r="O549" s="35"/>
    </row>
    <row r="550" spans="1:15">
      <c r="A550" s="32"/>
      <c r="B550" s="32"/>
      <c r="C550" s="32"/>
      <c r="D550" s="32"/>
      <c r="E550" s="32"/>
      <c r="F550" s="32"/>
      <c r="G550" s="33"/>
      <c r="H550" s="33"/>
      <c r="I550" s="33"/>
      <c r="J550" s="33"/>
      <c r="K550" s="34"/>
      <c r="L550" s="33"/>
      <c r="M550" s="34"/>
      <c r="N550" s="34"/>
      <c r="O550" s="35"/>
    </row>
    <row r="551" spans="1:15">
      <c r="A551" s="32"/>
      <c r="B551" s="32"/>
      <c r="C551" s="32"/>
      <c r="D551" s="32"/>
      <c r="E551" s="32"/>
      <c r="F551" s="32"/>
      <c r="G551" s="33"/>
      <c r="H551" s="33"/>
      <c r="I551" s="33"/>
      <c r="J551" s="33"/>
      <c r="K551" s="34"/>
      <c r="L551" s="33"/>
      <c r="M551" s="34"/>
      <c r="N551" s="34"/>
      <c r="O551" s="35"/>
    </row>
    <row r="552" spans="1:15">
      <c r="A552" s="32"/>
      <c r="B552" s="32"/>
      <c r="C552" s="32"/>
      <c r="D552" s="32"/>
      <c r="E552" s="32"/>
      <c r="F552" s="32"/>
      <c r="G552" s="33"/>
      <c r="H552" s="33"/>
      <c r="I552" s="33"/>
      <c r="J552" s="33"/>
      <c r="K552" s="34"/>
      <c r="L552" s="33"/>
      <c r="M552" s="34"/>
      <c r="N552" s="34"/>
      <c r="O552" s="35"/>
    </row>
    <row r="553" spans="1:15">
      <c r="A553" s="32"/>
      <c r="B553" s="32"/>
      <c r="C553" s="32"/>
      <c r="D553" s="32"/>
      <c r="E553" s="32"/>
      <c r="F553" s="32"/>
      <c r="G553" s="33"/>
      <c r="H553" s="33"/>
      <c r="I553" s="33"/>
      <c r="J553" s="33"/>
      <c r="K553" s="34"/>
      <c r="L553" s="33"/>
      <c r="M553" s="34"/>
      <c r="N553" s="34"/>
      <c r="O553" s="35"/>
    </row>
    <row r="554" spans="1:15">
      <c r="A554" s="32"/>
      <c r="B554" s="32"/>
      <c r="C554" s="32"/>
      <c r="D554" s="32"/>
      <c r="E554" s="32"/>
      <c r="F554" s="32"/>
      <c r="G554" s="33"/>
      <c r="H554" s="33"/>
      <c r="I554" s="33"/>
      <c r="J554" s="33"/>
      <c r="K554" s="34"/>
      <c r="L554" s="33"/>
      <c r="M554" s="34"/>
      <c r="N554" s="34"/>
      <c r="O554" s="35"/>
    </row>
    <row r="555" spans="1:15">
      <c r="A555" s="32"/>
      <c r="B555" s="32"/>
      <c r="C555" s="32"/>
      <c r="D555" s="32"/>
      <c r="E555" s="32"/>
      <c r="F555" s="32"/>
      <c r="G555" s="33"/>
      <c r="H555" s="33"/>
      <c r="I555" s="33"/>
      <c r="J555" s="33"/>
      <c r="K555" s="34"/>
      <c r="L555" s="33"/>
      <c r="M555" s="34"/>
      <c r="N555" s="34"/>
      <c r="O555" s="35"/>
    </row>
    <row r="556" spans="1:15">
      <c r="A556" s="32"/>
      <c r="B556" s="32"/>
      <c r="C556" s="32"/>
      <c r="D556" s="32"/>
      <c r="E556" s="32"/>
      <c r="F556" s="32"/>
      <c r="G556" s="33"/>
      <c r="H556" s="33"/>
      <c r="I556" s="33"/>
      <c r="J556" s="33"/>
      <c r="K556" s="34"/>
      <c r="L556" s="33"/>
      <c r="M556" s="34"/>
      <c r="N556" s="34"/>
      <c r="O556" s="35"/>
    </row>
    <row r="557" spans="1:15">
      <c r="A557" s="32"/>
      <c r="B557" s="32"/>
      <c r="C557" s="32"/>
      <c r="D557" s="32"/>
      <c r="E557" s="32"/>
      <c r="F557" s="32"/>
      <c r="G557" s="33"/>
      <c r="H557" s="33"/>
      <c r="I557" s="33"/>
      <c r="J557" s="33"/>
      <c r="K557" s="34"/>
      <c r="L557" s="33"/>
      <c r="M557" s="34"/>
      <c r="N557" s="34"/>
      <c r="O557" s="35"/>
    </row>
    <row r="558" spans="1:15">
      <c r="A558" s="32"/>
      <c r="B558" s="32"/>
      <c r="C558" s="32"/>
      <c r="D558" s="32"/>
      <c r="E558" s="32"/>
      <c r="F558" s="32"/>
      <c r="G558" s="33"/>
      <c r="H558" s="33"/>
      <c r="I558" s="33"/>
      <c r="J558" s="33"/>
      <c r="K558" s="34"/>
      <c r="L558" s="33"/>
      <c r="M558" s="34"/>
      <c r="N558" s="34"/>
      <c r="O558" s="35"/>
    </row>
    <row r="559" spans="1:15">
      <c r="A559" s="32"/>
      <c r="B559" s="32"/>
      <c r="C559" s="32"/>
      <c r="D559" s="32"/>
      <c r="E559" s="32"/>
      <c r="F559" s="32"/>
      <c r="G559" s="33"/>
      <c r="H559" s="33"/>
      <c r="I559" s="33"/>
      <c r="J559" s="33"/>
      <c r="K559" s="34"/>
      <c r="L559" s="33"/>
      <c r="M559" s="34"/>
      <c r="N559" s="34"/>
      <c r="O559" s="35"/>
    </row>
    <row r="560" spans="1:15">
      <c r="A560" s="32"/>
      <c r="B560" s="32"/>
      <c r="C560" s="32"/>
      <c r="D560" s="32"/>
      <c r="E560" s="32"/>
      <c r="F560" s="32"/>
      <c r="G560" s="33"/>
      <c r="H560" s="33"/>
      <c r="I560" s="33"/>
      <c r="J560" s="33"/>
      <c r="K560" s="34"/>
      <c r="L560" s="33"/>
      <c r="M560" s="34"/>
      <c r="N560" s="34"/>
      <c r="O560" s="35"/>
    </row>
    <row r="561" spans="1:15">
      <c r="A561" s="32"/>
      <c r="B561" s="32"/>
      <c r="C561" s="32"/>
      <c r="D561" s="32"/>
      <c r="E561" s="32"/>
      <c r="F561" s="32"/>
      <c r="G561" s="33"/>
      <c r="H561" s="33"/>
      <c r="I561" s="33"/>
      <c r="J561" s="33"/>
      <c r="K561" s="34"/>
      <c r="L561" s="33"/>
      <c r="M561" s="34"/>
      <c r="N561" s="34"/>
      <c r="O561" s="35"/>
    </row>
    <row r="562" spans="1:15">
      <c r="A562" s="32"/>
      <c r="B562" s="32"/>
      <c r="C562" s="32"/>
      <c r="D562" s="32"/>
      <c r="E562" s="32"/>
      <c r="F562" s="32"/>
      <c r="G562" s="33"/>
      <c r="H562" s="33"/>
      <c r="I562" s="33"/>
      <c r="J562" s="33"/>
      <c r="K562" s="34"/>
      <c r="L562" s="33"/>
      <c r="M562" s="34"/>
      <c r="N562" s="34"/>
      <c r="O562" s="35"/>
    </row>
    <row r="563" spans="1:15">
      <c r="A563" s="32"/>
      <c r="B563" s="32"/>
      <c r="C563" s="32"/>
      <c r="D563" s="32"/>
      <c r="E563" s="32"/>
      <c r="F563" s="32"/>
      <c r="G563" s="33"/>
      <c r="H563" s="33"/>
      <c r="I563" s="33"/>
      <c r="J563" s="33"/>
      <c r="K563" s="34"/>
      <c r="L563" s="33"/>
      <c r="M563" s="34"/>
      <c r="N563" s="34"/>
      <c r="O563" s="35"/>
    </row>
    <row r="564" spans="1:15">
      <c r="A564" s="32"/>
      <c r="B564" s="32"/>
      <c r="C564" s="32"/>
      <c r="D564" s="32"/>
      <c r="E564" s="32"/>
      <c r="F564" s="32"/>
      <c r="G564" s="33"/>
      <c r="H564" s="33"/>
      <c r="I564" s="33"/>
      <c r="J564" s="33"/>
      <c r="K564" s="34"/>
      <c r="L564" s="33"/>
      <c r="M564" s="34"/>
      <c r="N564" s="34"/>
      <c r="O564" s="35"/>
    </row>
    <row r="565" spans="1:15">
      <c r="A565" s="32"/>
      <c r="B565" s="32"/>
      <c r="C565" s="32"/>
      <c r="D565" s="32"/>
      <c r="E565" s="32"/>
      <c r="F565" s="32"/>
      <c r="G565" s="33"/>
      <c r="H565" s="33"/>
      <c r="I565" s="33"/>
      <c r="J565" s="33"/>
      <c r="K565" s="34"/>
      <c r="L565" s="33"/>
      <c r="M565" s="34"/>
      <c r="N565" s="34"/>
      <c r="O565" s="35"/>
    </row>
    <row r="566" spans="1:15">
      <c r="A566" s="32"/>
      <c r="B566" s="32"/>
      <c r="C566" s="32"/>
      <c r="D566" s="32"/>
      <c r="E566" s="32"/>
      <c r="F566" s="32"/>
      <c r="G566" s="33"/>
      <c r="H566" s="33"/>
      <c r="I566" s="33"/>
      <c r="J566" s="33"/>
      <c r="K566" s="34"/>
      <c r="L566" s="33"/>
      <c r="M566" s="34"/>
      <c r="N566" s="34"/>
      <c r="O566" s="35"/>
    </row>
    <row r="567" spans="1:15">
      <c r="A567" s="32"/>
      <c r="B567" s="32"/>
      <c r="C567" s="32"/>
      <c r="D567" s="32"/>
      <c r="E567" s="32"/>
      <c r="F567" s="32"/>
      <c r="G567" s="33"/>
      <c r="H567" s="33"/>
      <c r="I567" s="33"/>
      <c r="J567" s="33"/>
      <c r="K567" s="34"/>
      <c r="L567" s="33"/>
      <c r="M567" s="34"/>
      <c r="N567" s="34"/>
      <c r="O567" s="35"/>
    </row>
    <row r="568" spans="1:15">
      <c r="A568" s="32"/>
      <c r="B568" s="32"/>
      <c r="C568" s="32"/>
      <c r="D568" s="32"/>
      <c r="E568" s="32"/>
      <c r="F568" s="32"/>
      <c r="G568" s="33"/>
      <c r="H568" s="33"/>
      <c r="I568" s="33"/>
      <c r="J568" s="33"/>
      <c r="K568" s="34"/>
      <c r="L568" s="33"/>
      <c r="M568" s="34"/>
      <c r="N568" s="34"/>
      <c r="O568" s="35"/>
    </row>
    <row r="569" spans="1:15">
      <c r="A569" s="32"/>
      <c r="B569" s="32"/>
      <c r="C569" s="32"/>
      <c r="D569" s="32"/>
      <c r="E569" s="32"/>
      <c r="F569" s="32"/>
      <c r="G569" s="33"/>
      <c r="H569" s="33"/>
      <c r="I569" s="33"/>
      <c r="J569" s="33"/>
      <c r="K569" s="34"/>
      <c r="L569" s="33"/>
      <c r="M569" s="34"/>
      <c r="N569" s="34"/>
      <c r="O569" s="35"/>
    </row>
    <row r="570" spans="1:15">
      <c r="A570" s="32"/>
      <c r="B570" s="32"/>
      <c r="C570" s="32"/>
      <c r="D570" s="32"/>
      <c r="E570" s="32"/>
      <c r="F570" s="32"/>
      <c r="G570" s="33"/>
      <c r="H570" s="33"/>
      <c r="I570" s="33"/>
      <c r="J570" s="33"/>
      <c r="K570" s="34"/>
      <c r="L570" s="33"/>
      <c r="M570" s="34"/>
      <c r="N570" s="34"/>
      <c r="O570" s="35"/>
    </row>
    <row r="571" spans="1:15">
      <c r="A571" s="32"/>
      <c r="B571" s="32"/>
      <c r="C571" s="32"/>
      <c r="D571" s="32"/>
      <c r="E571" s="32"/>
      <c r="F571" s="32"/>
      <c r="G571" s="33"/>
      <c r="H571" s="33"/>
      <c r="I571" s="33"/>
      <c r="J571" s="33"/>
      <c r="K571" s="34"/>
      <c r="L571" s="33"/>
      <c r="M571" s="34"/>
      <c r="N571" s="34"/>
      <c r="O571" s="35"/>
    </row>
    <row r="572" spans="1:15">
      <c r="A572" s="32"/>
      <c r="B572" s="32"/>
      <c r="C572" s="32"/>
      <c r="D572" s="32"/>
      <c r="E572" s="32"/>
      <c r="F572" s="32"/>
      <c r="G572" s="33"/>
      <c r="H572" s="33"/>
      <c r="I572" s="33"/>
      <c r="J572" s="33"/>
      <c r="K572" s="34"/>
      <c r="L572" s="33"/>
      <c r="M572" s="34"/>
      <c r="N572" s="34"/>
      <c r="O572" s="35"/>
    </row>
    <row r="573" spans="1:15">
      <c r="A573" s="32"/>
      <c r="B573" s="32"/>
      <c r="C573" s="32"/>
      <c r="D573" s="32"/>
      <c r="E573" s="32"/>
      <c r="F573" s="32"/>
      <c r="G573" s="33"/>
      <c r="H573" s="33"/>
      <c r="I573" s="33"/>
      <c r="J573" s="33"/>
      <c r="K573" s="34"/>
      <c r="L573" s="33"/>
      <c r="M573" s="34"/>
      <c r="N573" s="34"/>
      <c r="O573" s="35"/>
    </row>
    <row r="574" spans="1:15">
      <c r="A574" s="32"/>
      <c r="B574" s="32"/>
      <c r="C574" s="32"/>
      <c r="D574" s="32"/>
      <c r="E574" s="32"/>
      <c r="F574" s="32"/>
      <c r="G574" s="33"/>
      <c r="H574" s="33"/>
      <c r="I574" s="33"/>
      <c r="J574" s="33"/>
      <c r="K574" s="34"/>
      <c r="L574" s="33"/>
      <c r="M574" s="34"/>
      <c r="N574" s="34"/>
      <c r="O574" s="35"/>
    </row>
    <row r="575" spans="1:15">
      <c r="A575" s="32"/>
      <c r="B575" s="32"/>
      <c r="C575" s="32"/>
      <c r="D575" s="32"/>
      <c r="E575" s="32"/>
      <c r="F575" s="32"/>
      <c r="G575" s="33"/>
      <c r="H575" s="33"/>
      <c r="I575" s="33"/>
      <c r="J575" s="33"/>
      <c r="K575" s="34"/>
      <c r="L575" s="33"/>
      <c r="M575" s="34"/>
      <c r="N575" s="34"/>
      <c r="O575" s="35"/>
    </row>
    <row r="576" spans="1:15">
      <c r="A576" s="32"/>
      <c r="B576" s="32"/>
      <c r="C576" s="32"/>
      <c r="D576" s="32"/>
      <c r="E576" s="32"/>
      <c r="F576" s="32"/>
      <c r="G576" s="33"/>
      <c r="H576" s="33"/>
      <c r="I576" s="33"/>
      <c r="J576" s="33"/>
      <c r="K576" s="34"/>
      <c r="L576" s="33"/>
      <c r="M576" s="34"/>
      <c r="N576" s="34"/>
      <c r="O576" s="35"/>
    </row>
    <row r="577" spans="1:15">
      <c r="A577" s="32"/>
      <c r="B577" s="32"/>
      <c r="C577" s="32"/>
      <c r="D577" s="32"/>
      <c r="E577" s="32"/>
      <c r="F577" s="32"/>
      <c r="G577" s="33"/>
      <c r="H577" s="33"/>
      <c r="I577" s="33"/>
      <c r="J577" s="33"/>
      <c r="K577" s="34"/>
      <c r="L577" s="33"/>
      <c r="M577" s="34"/>
      <c r="N577" s="34"/>
      <c r="O577" s="35"/>
    </row>
    <row r="578" spans="1:15">
      <c r="A578" s="32"/>
      <c r="B578" s="32"/>
      <c r="C578" s="32"/>
      <c r="D578" s="32"/>
      <c r="E578" s="32"/>
      <c r="F578" s="32"/>
      <c r="G578" s="33"/>
      <c r="H578" s="33"/>
      <c r="I578" s="33"/>
      <c r="J578" s="33"/>
      <c r="K578" s="34"/>
      <c r="L578" s="33"/>
      <c r="M578" s="34"/>
      <c r="N578" s="34"/>
      <c r="O578" s="35"/>
    </row>
    <row r="579" spans="1:15">
      <c r="A579" s="32"/>
      <c r="B579" s="32"/>
      <c r="C579" s="32"/>
      <c r="D579" s="32"/>
      <c r="E579" s="32"/>
      <c r="F579" s="32"/>
      <c r="G579" s="33"/>
      <c r="H579" s="33"/>
      <c r="I579" s="33"/>
      <c r="J579" s="33"/>
      <c r="K579" s="34"/>
      <c r="L579" s="33"/>
      <c r="M579" s="34"/>
      <c r="N579" s="34"/>
      <c r="O579" s="35"/>
    </row>
    <row r="580" spans="1:15">
      <c r="A580" s="32"/>
      <c r="B580" s="32"/>
      <c r="C580" s="32"/>
      <c r="D580" s="32"/>
      <c r="E580" s="32"/>
      <c r="F580" s="32"/>
      <c r="G580" s="33"/>
      <c r="H580" s="33"/>
      <c r="I580" s="33"/>
      <c r="J580" s="33"/>
      <c r="K580" s="34"/>
      <c r="L580" s="33"/>
      <c r="M580" s="34"/>
      <c r="N580" s="34"/>
      <c r="O580" s="35"/>
    </row>
    <row r="581" spans="1:15">
      <c r="A581" s="32"/>
      <c r="B581" s="32"/>
      <c r="C581" s="32"/>
      <c r="D581" s="32"/>
      <c r="E581" s="32"/>
      <c r="F581" s="32"/>
      <c r="G581" s="33"/>
      <c r="H581" s="33"/>
      <c r="I581" s="33"/>
      <c r="J581" s="33"/>
      <c r="K581" s="34"/>
      <c r="L581" s="33"/>
      <c r="M581" s="34"/>
      <c r="N581" s="34"/>
      <c r="O581" s="35"/>
    </row>
    <row r="582" spans="1:15">
      <c r="A582" s="32"/>
      <c r="B582" s="32"/>
      <c r="C582" s="32"/>
      <c r="D582" s="32"/>
      <c r="E582" s="32"/>
      <c r="F582" s="32"/>
      <c r="G582" s="33"/>
      <c r="H582" s="33"/>
      <c r="I582" s="33"/>
      <c r="J582" s="33"/>
      <c r="K582" s="34"/>
      <c r="L582" s="33"/>
      <c r="M582" s="34"/>
      <c r="N582" s="34"/>
      <c r="O582" s="35"/>
    </row>
    <row r="583" spans="1:15">
      <c r="A583" s="32"/>
      <c r="B583" s="32"/>
      <c r="C583" s="32"/>
      <c r="D583" s="32"/>
      <c r="E583" s="32"/>
      <c r="F583" s="32"/>
      <c r="G583" s="33"/>
      <c r="H583" s="33"/>
      <c r="I583" s="33"/>
      <c r="J583" s="33"/>
      <c r="K583" s="34"/>
      <c r="L583" s="33"/>
      <c r="M583" s="34"/>
      <c r="N583" s="34"/>
      <c r="O583" s="35"/>
    </row>
    <row r="584" spans="1:15">
      <c r="A584" s="32"/>
      <c r="B584" s="32"/>
      <c r="C584" s="32"/>
      <c r="D584" s="32"/>
      <c r="E584" s="32"/>
      <c r="F584" s="32"/>
      <c r="G584" s="33"/>
      <c r="H584" s="33"/>
      <c r="I584" s="33"/>
      <c r="J584" s="33"/>
      <c r="K584" s="34"/>
      <c r="L584" s="33"/>
      <c r="M584" s="34"/>
      <c r="N584" s="34"/>
      <c r="O584" s="35"/>
    </row>
    <row r="585" spans="1:15">
      <c r="A585" s="32"/>
      <c r="B585" s="32"/>
      <c r="C585" s="32"/>
      <c r="D585" s="32"/>
      <c r="E585" s="32"/>
      <c r="F585" s="32"/>
      <c r="G585" s="33"/>
      <c r="H585" s="33"/>
      <c r="I585" s="33"/>
      <c r="J585" s="33"/>
      <c r="K585" s="34"/>
      <c r="L585" s="33"/>
      <c r="M585" s="34"/>
      <c r="N585" s="34"/>
      <c r="O585" s="35"/>
    </row>
    <row r="586" spans="1:15">
      <c r="A586" s="32"/>
      <c r="B586" s="32"/>
      <c r="C586" s="32"/>
      <c r="D586" s="32"/>
      <c r="E586" s="32"/>
      <c r="F586" s="32"/>
      <c r="G586" s="33"/>
      <c r="H586" s="33"/>
      <c r="I586" s="33"/>
      <c r="J586" s="33"/>
      <c r="K586" s="34"/>
      <c r="L586" s="33"/>
      <c r="M586" s="34"/>
      <c r="N586" s="34"/>
      <c r="O586" s="35"/>
    </row>
    <row r="587" spans="1:15">
      <c r="A587" s="32"/>
      <c r="B587" s="32"/>
      <c r="C587" s="32"/>
      <c r="D587" s="32"/>
      <c r="E587" s="32"/>
      <c r="F587" s="32"/>
      <c r="G587" s="33"/>
      <c r="H587" s="33"/>
      <c r="I587" s="33"/>
      <c r="J587" s="33"/>
      <c r="K587" s="34"/>
      <c r="L587" s="33"/>
      <c r="M587" s="34"/>
      <c r="N587" s="34"/>
      <c r="O587" s="35"/>
    </row>
    <row r="588" spans="1:15">
      <c r="A588" s="32"/>
      <c r="B588" s="32"/>
      <c r="C588" s="32"/>
      <c r="D588" s="32"/>
      <c r="E588" s="32"/>
      <c r="F588" s="32"/>
      <c r="G588" s="33"/>
      <c r="H588" s="33"/>
      <c r="I588" s="33"/>
      <c r="J588" s="33"/>
      <c r="K588" s="34"/>
      <c r="L588" s="33"/>
      <c r="M588" s="34"/>
      <c r="N588" s="34"/>
      <c r="O588" s="35"/>
    </row>
    <row r="589" spans="1:15">
      <c r="A589" s="32"/>
      <c r="B589" s="32"/>
      <c r="C589" s="32"/>
      <c r="D589" s="32"/>
      <c r="E589" s="32"/>
      <c r="F589" s="32"/>
      <c r="G589" s="33"/>
      <c r="H589" s="33"/>
      <c r="I589" s="33"/>
      <c r="J589" s="33"/>
      <c r="K589" s="34"/>
      <c r="L589" s="33"/>
      <c r="M589" s="34"/>
      <c r="N589" s="34"/>
      <c r="O589" s="35"/>
    </row>
    <row r="590" spans="1:15">
      <c r="A590" s="32"/>
      <c r="B590" s="32"/>
      <c r="C590" s="32"/>
      <c r="D590" s="32"/>
      <c r="E590" s="32"/>
      <c r="F590" s="32"/>
      <c r="G590" s="33"/>
      <c r="H590" s="33"/>
      <c r="I590" s="33"/>
      <c r="J590" s="33"/>
      <c r="K590" s="34"/>
      <c r="L590" s="33"/>
      <c r="M590" s="34"/>
      <c r="N590" s="34"/>
      <c r="O590" s="35"/>
    </row>
    <row r="591" spans="1:15">
      <c r="A591" s="32"/>
      <c r="B591" s="32"/>
      <c r="C591" s="32"/>
      <c r="D591" s="32"/>
      <c r="E591" s="32"/>
      <c r="F591" s="32"/>
      <c r="G591" s="33"/>
      <c r="H591" s="33"/>
      <c r="I591" s="33"/>
      <c r="J591" s="33"/>
      <c r="K591" s="34"/>
      <c r="L591" s="33"/>
      <c r="M591" s="34"/>
      <c r="N591" s="34"/>
      <c r="O591" s="35"/>
    </row>
    <row r="592" spans="1:15">
      <c r="A592" s="32"/>
      <c r="B592" s="32"/>
      <c r="C592" s="32"/>
      <c r="D592" s="32"/>
      <c r="E592" s="32"/>
      <c r="F592" s="32"/>
      <c r="G592" s="33"/>
      <c r="H592" s="33"/>
      <c r="I592" s="33"/>
      <c r="J592" s="33"/>
      <c r="K592" s="34"/>
      <c r="L592" s="33"/>
      <c r="M592" s="34"/>
      <c r="N592" s="34"/>
      <c r="O592" s="35"/>
    </row>
    <row r="593" spans="1:15">
      <c r="A593" s="32"/>
      <c r="B593" s="32"/>
      <c r="C593" s="32"/>
      <c r="D593" s="32"/>
      <c r="E593" s="32"/>
      <c r="F593" s="32"/>
      <c r="G593" s="33"/>
      <c r="H593" s="33"/>
      <c r="I593" s="33"/>
      <c r="J593" s="33"/>
      <c r="K593" s="34"/>
      <c r="L593" s="33"/>
      <c r="M593" s="34"/>
      <c r="N593" s="34"/>
      <c r="O593" s="35"/>
    </row>
    <row r="594" spans="1:15">
      <c r="A594" s="32"/>
      <c r="B594" s="32"/>
      <c r="C594" s="32"/>
      <c r="D594" s="32"/>
      <c r="E594" s="32"/>
      <c r="F594" s="32"/>
      <c r="G594" s="33"/>
      <c r="H594" s="33"/>
      <c r="I594" s="33"/>
      <c r="J594" s="33"/>
      <c r="K594" s="34"/>
      <c r="L594" s="33"/>
      <c r="M594" s="34"/>
      <c r="N594" s="34"/>
      <c r="O594" s="35"/>
    </row>
    <row r="595" spans="1:15">
      <c r="A595" s="32"/>
      <c r="B595" s="32"/>
      <c r="C595" s="32"/>
      <c r="D595" s="32"/>
      <c r="E595" s="32"/>
      <c r="F595" s="32"/>
      <c r="G595" s="33"/>
      <c r="H595" s="33"/>
      <c r="I595" s="33"/>
      <c r="J595" s="33"/>
      <c r="K595" s="34"/>
      <c r="L595" s="33"/>
      <c r="M595" s="34"/>
      <c r="N595" s="34"/>
      <c r="O595" s="35"/>
    </row>
    <row r="596" spans="1:15">
      <c r="A596" s="32"/>
      <c r="B596" s="32"/>
      <c r="C596" s="32"/>
      <c r="D596" s="32"/>
      <c r="E596" s="32"/>
      <c r="F596" s="32"/>
      <c r="G596" s="33"/>
      <c r="H596" s="33"/>
      <c r="I596" s="33"/>
      <c r="J596" s="33"/>
      <c r="K596" s="34"/>
      <c r="L596" s="33"/>
      <c r="M596" s="34"/>
      <c r="N596" s="34"/>
      <c r="O596" s="35"/>
    </row>
    <row r="597" spans="1:15">
      <c r="A597" s="32"/>
      <c r="B597" s="32"/>
      <c r="C597" s="32"/>
      <c r="D597" s="32"/>
      <c r="E597" s="32"/>
      <c r="F597" s="32"/>
      <c r="G597" s="33"/>
      <c r="H597" s="33"/>
      <c r="I597" s="33"/>
      <c r="J597" s="33"/>
      <c r="K597" s="34"/>
      <c r="L597" s="33"/>
      <c r="M597" s="34"/>
      <c r="N597" s="34"/>
      <c r="O597" s="35"/>
    </row>
    <row r="598" spans="1:15">
      <c r="A598" s="32"/>
      <c r="B598" s="32"/>
      <c r="C598" s="32"/>
      <c r="D598" s="32"/>
      <c r="E598" s="32"/>
      <c r="F598" s="32"/>
      <c r="G598" s="33"/>
      <c r="H598" s="33"/>
      <c r="I598" s="33"/>
      <c r="J598" s="33"/>
      <c r="K598" s="34"/>
      <c r="L598" s="33"/>
      <c r="M598" s="34"/>
      <c r="N598" s="34"/>
      <c r="O598" s="35"/>
    </row>
    <row r="599" spans="1:15">
      <c r="A599" s="32"/>
      <c r="B599" s="32"/>
      <c r="C599" s="32"/>
      <c r="D599" s="32"/>
      <c r="E599" s="32"/>
      <c r="F599" s="32"/>
      <c r="G599" s="33"/>
      <c r="H599" s="33"/>
      <c r="I599" s="33"/>
      <c r="J599" s="33"/>
      <c r="K599" s="34"/>
      <c r="L599" s="33"/>
      <c r="M599" s="34"/>
      <c r="N599" s="34"/>
      <c r="O599" s="35"/>
    </row>
    <row r="600" spans="1:15">
      <c r="A600" s="32"/>
      <c r="B600" s="32"/>
      <c r="C600" s="32"/>
      <c r="D600" s="32"/>
      <c r="E600" s="32"/>
      <c r="F600" s="32"/>
      <c r="G600" s="33"/>
      <c r="H600" s="33"/>
      <c r="I600" s="33"/>
      <c r="J600" s="33"/>
      <c r="K600" s="34"/>
      <c r="L600" s="33"/>
      <c r="M600" s="34"/>
      <c r="N600" s="34"/>
      <c r="O600" s="35"/>
    </row>
    <row r="601" spans="1:15">
      <c r="A601" s="32"/>
      <c r="B601" s="32"/>
      <c r="C601" s="32"/>
      <c r="D601" s="32"/>
      <c r="E601" s="32"/>
      <c r="F601" s="32"/>
      <c r="G601" s="33"/>
      <c r="H601" s="33"/>
      <c r="I601" s="33"/>
      <c r="J601" s="33"/>
      <c r="K601" s="34"/>
      <c r="L601" s="33"/>
      <c r="M601" s="34"/>
      <c r="N601" s="34"/>
      <c r="O601" s="35"/>
    </row>
    <row r="602" spans="1:15">
      <c r="A602" s="32"/>
      <c r="B602" s="32"/>
      <c r="C602" s="32"/>
      <c r="D602" s="32"/>
      <c r="E602" s="32"/>
      <c r="F602" s="32"/>
      <c r="G602" s="33"/>
      <c r="H602" s="33"/>
      <c r="I602" s="33"/>
      <c r="J602" s="33"/>
      <c r="K602" s="34"/>
      <c r="L602" s="33"/>
      <c r="M602" s="34"/>
      <c r="N602" s="34"/>
      <c r="O602" s="35"/>
    </row>
    <row r="603" spans="1:15">
      <c r="A603" s="32"/>
      <c r="B603" s="32"/>
      <c r="C603" s="32"/>
      <c r="D603" s="32"/>
      <c r="E603" s="32"/>
      <c r="F603" s="32"/>
      <c r="G603" s="33"/>
      <c r="H603" s="33"/>
      <c r="I603" s="33"/>
      <c r="J603" s="33"/>
      <c r="K603" s="34"/>
      <c r="L603" s="33"/>
      <c r="M603" s="34"/>
      <c r="N603" s="34"/>
      <c r="O603" s="35"/>
    </row>
    <row r="604" spans="1:15">
      <c r="A604" s="32"/>
      <c r="B604" s="32"/>
      <c r="C604" s="32"/>
      <c r="D604" s="32"/>
      <c r="E604" s="32"/>
      <c r="F604" s="32"/>
      <c r="G604" s="33"/>
      <c r="H604" s="33"/>
      <c r="I604" s="33"/>
      <c r="J604" s="33"/>
      <c r="K604" s="34"/>
      <c r="L604" s="33"/>
      <c r="M604" s="34"/>
      <c r="N604" s="34"/>
      <c r="O604" s="35"/>
    </row>
    <row r="605" spans="1:15">
      <c r="A605" s="32"/>
      <c r="B605" s="32"/>
      <c r="C605" s="32"/>
      <c r="D605" s="32"/>
      <c r="E605" s="32"/>
      <c r="F605" s="32"/>
      <c r="G605" s="33"/>
      <c r="H605" s="33"/>
      <c r="I605" s="33"/>
      <c r="J605" s="33"/>
      <c r="K605" s="34"/>
      <c r="L605" s="33"/>
      <c r="M605" s="34"/>
      <c r="N605" s="34"/>
      <c r="O605" s="35"/>
    </row>
    <row r="606" spans="1:15">
      <c r="A606" s="32"/>
      <c r="B606" s="32"/>
      <c r="C606" s="32"/>
      <c r="D606" s="32"/>
      <c r="E606" s="32"/>
      <c r="F606" s="32"/>
      <c r="G606" s="33"/>
      <c r="H606" s="33"/>
      <c r="I606" s="33"/>
      <c r="J606" s="33"/>
      <c r="K606" s="34"/>
      <c r="L606" s="33"/>
      <c r="M606" s="34"/>
      <c r="N606" s="34"/>
      <c r="O606" s="35"/>
    </row>
    <row r="607" spans="1:15">
      <c r="A607" s="32"/>
      <c r="B607" s="32"/>
      <c r="C607" s="32"/>
      <c r="D607" s="32"/>
      <c r="E607" s="32"/>
      <c r="F607" s="32"/>
      <c r="G607" s="33"/>
      <c r="H607" s="33"/>
      <c r="I607" s="33"/>
      <c r="J607" s="33"/>
      <c r="K607" s="34"/>
      <c r="L607" s="33"/>
      <c r="M607" s="34"/>
      <c r="N607" s="34"/>
      <c r="O607" s="35"/>
    </row>
    <row r="608" spans="1:15">
      <c r="A608" s="32"/>
      <c r="B608" s="32"/>
      <c r="C608" s="32"/>
      <c r="D608" s="32"/>
      <c r="E608" s="32"/>
      <c r="F608" s="32"/>
      <c r="G608" s="33"/>
      <c r="H608" s="33"/>
      <c r="I608" s="33"/>
      <c r="J608" s="33"/>
      <c r="K608" s="34"/>
      <c r="L608" s="33"/>
      <c r="M608" s="34"/>
      <c r="N608" s="34"/>
      <c r="O608" s="35"/>
    </row>
    <row r="609" spans="1:15">
      <c r="A609" s="32"/>
      <c r="B609" s="32"/>
      <c r="C609" s="32"/>
      <c r="D609" s="32"/>
      <c r="E609" s="32"/>
      <c r="F609" s="32"/>
      <c r="G609" s="33"/>
      <c r="H609" s="33"/>
      <c r="I609" s="33"/>
      <c r="J609" s="33"/>
      <c r="K609" s="34"/>
      <c r="L609" s="33"/>
      <c r="M609" s="34"/>
      <c r="N609" s="34"/>
      <c r="O609" s="35"/>
    </row>
    <row r="610" spans="1:15">
      <c r="A610" s="32"/>
      <c r="B610" s="32"/>
      <c r="C610" s="32"/>
      <c r="D610" s="32"/>
      <c r="E610" s="32"/>
      <c r="F610" s="32"/>
      <c r="G610" s="33"/>
      <c r="H610" s="33"/>
      <c r="I610" s="33"/>
      <c r="J610" s="33"/>
      <c r="K610" s="34"/>
      <c r="L610" s="33"/>
      <c r="M610" s="34"/>
      <c r="N610" s="34"/>
      <c r="O610" s="35"/>
    </row>
    <row r="611" spans="1:15">
      <c r="A611" s="32"/>
      <c r="B611" s="32"/>
      <c r="C611" s="32"/>
      <c r="D611" s="32"/>
      <c r="E611" s="32"/>
      <c r="F611" s="32"/>
      <c r="G611" s="33"/>
      <c r="H611" s="33"/>
      <c r="I611" s="33"/>
      <c r="J611" s="33"/>
      <c r="K611" s="34"/>
      <c r="L611" s="33"/>
      <c r="M611" s="34"/>
      <c r="N611" s="34"/>
      <c r="O611" s="35"/>
    </row>
    <row r="612" spans="1:15">
      <c r="A612" s="32"/>
      <c r="B612" s="32"/>
      <c r="C612" s="32"/>
      <c r="D612" s="32"/>
      <c r="E612" s="32"/>
      <c r="F612" s="32"/>
      <c r="G612" s="33"/>
      <c r="H612" s="33"/>
      <c r="I612" s="33"/>
      <c r="J612" s="33"/>
      <c r="K612" s="34"/>
      <c r="L612" s="33"/>
      <c r="M612" s="34"/>
      <c r="N612" s="34"/>
      <c r="O612" s="35"/>
    </row>
    <row r="613" spans="1:15">
      <c r="A613" s="32"/>
      <c r="B613" s="32"/>
      <c r="C613" s="32"/>
      <c r="D613" s="32"/>
      <c r="E613" s="32"/>
      <c r="F613" s="32"/>
      <c r="G613" s="33"/>
      <c r="H613" s="33"/>
      <c r="I613" s="33"/>
      <c r="J613" s="33"/>
      <c r="K613" s="34"/>
      <c r="L613" s="33"/>
      <c r="M613" s="34"/>
      <c r="N613" s="34"/>
      <c r="O613" s="35"/>
    </row>
    <row r="614" spans="1:15">
      <c r="A614" s="32"/>
      <c r="B614" s="32"/>
      <c r="C614" s="32"/>
      <c r="D614" s="32"/>
      <c r="E614" s="32"/>
      <c r="F614" s="32"/>
      <c r="G614" s="33"/>
      <c r="H614" s="33"/>
      <c r="I614" s="33"/>
      <c r="J614" s="33"/>
      <c r="K614" s="34"/>
      <c r="L614" s="33"/>
      <c r="M614" s="34"/>
      <c r="N614" s="34"/>
      <c r="O614" s="35"/>
    </row>
    <row r="615" spans="1:15">
      <c r="A615" s="32"/>
      <c r="B615" s="32"/>
      <c r="C615" s="32"/>
      <c r="D615" s="32"/>
      <c r="E615" s="32"/>
      <c r="F615" s="32"/>
      <c r="G615" s="33"/>
      <c r="H615" s="33"/>
      <c r="I615" s="33"/>
      <c r="J615" s="33"/>
      <c r="K615" s="34"/>
      <c r="L615" s="33"/>
      <c r="M615" s="34"/>
      <c r="N615" s="34"/>
      <c r="O615" s="35"/>
    </row>
    <row r="616" spans="1:15">
      <c r="A616" s="32"/>
      <c r="B616" s="32"/>
      <c r="C616" s="32"/>
      <c r="D616" s="32"/>
      <c r="E616" s="32"/>
      <c r="F616" s="32"/>
      <c r="G616" s="33"/>
      <c r="H616" s="33"/>
      <c r="I616" s="33"/>
      <c r="J616" s="33"/>
      <c r="K616" s="34"/>
      <c r="L616" s="33"/>
      <c r="M616" s="34"/>
      <c r="N616" s="34"/>
      <c r="O616" s="35"/>
    </row>
    <row r="617" spans="1:15">
      <c r="A617" s="32"/>
      <c r="B617" s="32"/>
      <c r="C617" s="32"/>
      <c r="D617" s="32"/>
      <c r="E617" s="32"/>
      <c r="F617" s="32"/>
      <c r="G617" s="33"/>
      <c r="H617" s="33"/>
      <c r="I617" s="33"/>
      <c r="J617" s="33"/>
      <c r="K617" s="34"/>
      <c r="L617" s="33"/>
      <c r="M617" s="34"/>
      <c r="N617" s="34"/>
      <c r="O617" s="35"/>
    </row>
    <row r="618" spans="1:15">
      <c r="A618" s="32"/>
      <c r="B618" s="32"/>
      <c r="C618" s="32"/>
      <c r="D618" s="32"/>
      <c r="E618" s="32"/>
      <c r="F618" s="32"/>
      <c r="G618" s="33"/>
      <c r="H618" s="33"/>
      <c r="I618" s="33"/>
      <c r="J618" s="33"/>
      <c r="K618" s="34"/>
      <c r="L618" s="33"/>
      <c r="M618" s="34"/>
      <c r="N618" s="34"/>
      <c r="O618" s="35"/>
    </row>
    <row r="619" spans="1:15">
      <c r="A619" s="32"/>
      <c r="B619" s="32"/>
      <c r="C619" s="32"/>
      <c r="D619" s="32"/>
      <c r="E619" s="32"/>
      <c r="F619" s="32"/>
      <c r="G619" s="33"/>
      <c r="H619" s="33"/>
      <c r="I619" s="33"/>
      <c r="J619" s="33"/>
      <c r="K619" s="34"/>
      <c r="L619" s="33"/>
      <c r="M619" s="34"/>
      <c r="N619" s="34"/>
      <c r="O619" s="35"/>
    </row>
    <row r="620" spans="1:15">
      <c r="A620" s="32"/>
      <c r="B620" s="32"/>
      <c r="C620" s="32"/>
      <c r="D620" s="32"/>
      <c r="E620" s="32"/>
      <c r="F620" s="32"/>
      <c r="G620" s="33"/>
      <c r="H620" s="33"/>
      <c r="I620" s="33"/>
      <c r="J620" s="33"/>
      <c r="K620" s="34"/>
      <c r="L620" s="33"/>
      <c r="M620" s="34"/>
      <c r="N620" s="34"/>
      <c r="O620" s="35"/>
    </row>
    <row r="621" spans="1:15">
      <c r="A621" s="32"/>
      <c r="B621" s="32"/>
      <c r="C621" s="32"/>
      <c r="D621" s="32"/>
      <c r="E621" s="32"/>
      <c r="F621" s="32"/>
      <c r="G621" s="33"/>
      <c r="H621" s="33"/>
      <c r="I621" s="33"/>
      <c r="J621" s="33"/>
      <c r="K621" s="34"/>
      <c r="L621" s="33"/>
      <c r="M621" s="34"/>
      <c r="N621" s="34"/>
      <c r="O621" s="35"/>
    </row>
    <row r="622" spans="1:15">
      <c r="A622" s="32"/>
      <c r="B622" s="32"/>
      <c r="C622" s="32"/>
      <c r="D622" s="32"/>
      <c r="E622" s="32"/>
      <c r="F622" s="32"/>
      <c r="G622" s="33"/>
      <c r="H622" s="33"/>
      <c r="I622" s="33"/>
      <c r="J622" s="33"/>
      <c r="K622" s="34"/>
      <c r="L622" s="33"/>
      <c r="M622" s="34"/>
      <c r="N622" s="34"/>
      <c r="O622" s="35"/>
    </row>
    <row r="623" spans="1:15">
      <c r="A623" s="32"/>
      <c r="B623" s="32"/>
      <c r="C623" s="32"/>
      <c r="D623" s="32"/>
      <c r="E623" s="32"/>
      <c r="F623" s="32"/>
      <c r="G623" s="33"/>
      <c r="H623" s="33"/>
      <c r="I623" s="33"/>
      <c r="J623" s="33"/>
      <c r="K623" s="34"/>
      <c r="L623" s="33"/>
      <c r="M623" s="34"/>
      <c r="N623" s="34"/>
      <c r="O623" s="35"/>
    </row>
    <row r="624" spans="1:15">
      <c r="A624" s="32"/>
      <c r="B624" s="32"/>
      <c r="C624" s="32"/>
      <c r="D624" s="32"/>
      <c r="E624" s="32"/>
      <c r="F624" s="32"/>
      <c r="G624" s="33"/>
      <c r="H624" s="33"/>
      <c r="I624" s="33"/>
      <c r="J624" s="33"/>
      <c r="K624" s="34"/>
      <c r="L624" s="33"/>
      <c r="M624" s="34"/>
      <c r="N624" s="34"/>
      <c r="O624" s="35"/>
    </row>
    <row r="625" spans="1:15">
      <c r="A625" s="32"/>
      <c r="B625" s="32"/>
      <c r="C625" s="32"/>
      <c r="D625" s="32"/>
      <c r="E625" s="32"/>
      <c r="F625" s="32"/>
      <c r="G625" s="33"/>
      <c r="H625" s="33"/>
      <c r="I625" s="33"/>
      <c r="J625" s="33"/>
      <c r="K625" s="34"/>
      <c r="L625" s="33"/>
      <c r="M625" s="34"/>
      <c r="N625" s="34"/>
      <c r="O625" s="35"/>
    </row>
    <row r="626" spans="1:15">
      <c r="A626" s="32"/>
      <c r="B626" s="32"/>
      <c r="C626" s="32"/>
      <c r="D626" s="32"/>
      <c r="E626" s="32"/>
      <c r="F626" s="32"/>
      <c r="G626" s="33"/>
      <c r="H626" s="33"/>
      <c r="I626" s="33"/>
      <c r="J626" s="33"/>
      <c r="K626" s="34"/>
      <c r="L626" s="33"/>
      <c r="M626" s="34"/>
      <c r="N626" s="34"/>
      <c r="O626" s="35"/>
    </row>
    <row r="627" spans="1:15">
      <c r="A627" s="32"/>
      <c r="B627" s="32"/>
      <c r="C627" s="32"/>
      <c r="D627" s="32"/>
      <c r="E627" s="32"/>
      <c r="F627" s="32"/>
      <c r="G627" s="33"/>
      <c r="H627" s="33"/>
      <c r="I627" s="33"/>
      <c r="J627" s="33"/>
      <c r="K627" s="34"/>
      <c r="L627" s="33"/>
      <c r="M627" s="34"/>
      <c r="N627" s="34"/>
      <c r="O627" s="35"/>
    </row>
    <row r="628" spans="1:15">
      <c r="A628" s="32"/>
      <c r="B628" s="32"/>
      <c r="C628" s="32"/>
      <c r="D628" s="32"/>
      <c r="E628" s="32"/>
      <c r="F628" s="32"/>
      <c r="G628" s="33"/>
      <c r="H628" s="33"/>
      <c r="I628" s="33"/>
      <c r="J628" s="33"/>
      <c r="K628" s="34"/>
      <c r="L628" s="33"/>
      <c r="M628" s="34"/>
      <c r="N628" s="34"/>
      <c r="O628" s="35"/>
    </row>
    <row r="629" spans="1:15">
      <c r="A629" s="32"/>
      <c r="B629" s="32"/>
      <c r="C629" s="32"/>
      <c r="D629" s="32"/>
      <c r="E629" s="32"/>
      <c r="F629" s="32"/>
      <c r="G629" s="33"/>
      <c r="H629" s="33"/>
      <c r="I629" s="33"/>
      <c r="J629" s="33"/>
      <c r="K629" s="34"/>
      <c r="L629" s="33"/>
      <c r="M629" s="34"/>
      <c r="N629" s="34"/>
      <c r="O629" s="35"/>
    </row>
    <row r="630" spans="1:15">
      <c r="A630" s="32"/>
      <c r="B630" s="32"/>
      <c r="C630" s="32"/>
      <c r="D630" s="32"/>
      <c r="E630" s="32"/>
      <c r="F630" s="32"/>
      <c r="G630" s="33"/>
      <c r="H630" s="33"/>
      <c r="I630" s="33"/>
      <c r="J630" s="33"/>
      <c r="K630" s="34"/>
      <c r="L630" s="33"/>
      <c r="M630" s="34"/>
      <c r="N630" s="34"/>
      <c r="O630" s="35"/>
    </row>
    <row r="631" spans="1:15">
      <c r="A631" s="32"/>
      <c r="B631" s="32"/>
      <c r="C631" s="32"/>
      <c r="D631" s="32"/>
      <c r="E631" s="32"/>
      <c r="F631" s="32"/>
      <c r="G631" s="33"/>
      <c r="H631" s="33"/>
      <c r="I631" s="33"/>
      <c r="J631" s="33"/>
      <c r="K631" s="34"/>
      <c r="L631" s="33"/>
      <c r="M631" s="34"/>
      <c r="N631" s="34"/>
      <c r="O631" s="35"/>
    </row>
    <row r="632" spans="1:15">
      <c r="A632" s="32"/>
      <c r="B632" s="32"/>
      <c r="C632" s="32"/>
      <c r="D632" s="32"/>
      <c r="E632" s="32"/>
      <c r="F632" s="32"/>
      <c r="G632" s="33"/>
      <c r="H632" s="33"/>
      <c r="I632" s="33"/>
      <c r="J632" s="33"/>
      <c r="K632" s="34"/>
      <c r="L632" s="33"/>
      <c r="M632" s="34"/>
      <c r="N632" s="34"/>
      <c r="O632" s="35"/>
    </row>
    <row r="633" spans="1:15">
      <c r="A633" s="32"/>
      <c r="B633" s="32"/>
      <c r="C633" s="32"/>
      <c r="D633" s="32"/>
      <c r="E633" s="32"/>
      <c r="F633" s="32"/>
      <c r="G633" s="33"/>
      <c r="H633" s="33"/>
      <c r="I633" s="33"/>
      <c r="J633" s="33"/>
      <c r="K633" s="34"/>
      <c r="L633" s="33"/>
      <c r="M633" s="34"/>
      <c r="N633" s="34"/>
      <c r="O633" s="35"/>
    </row>
    <row r="634" spans="1:15">
      <c r="A634" s="32"/>
      <c r="B634" s="32"/>
      <c r="C634" s="32"/>
      <c r="D634" s="32"/>
      <c r="E634" s="32"/>
      <c r="F634" s="32"/>
      <c r="G634" s="33"/>
      <c r="H634" s="33"/>
      <c r="I634" s="33"/>
      <c r="J634" s="33"/>
      <c r="K634" s="34"/>
      <c r="L634" s="33"/>
      <c r="M634" s="34"/>
      <c r="N634" s="34"/>
      <c r="O634" s="35"/>
    </row>
    <row r="635" spans="1:15">
      <c r="A635" s="32"/>
      <c r="B635" s="32"/>
      <c r="C635" s="32"/>
      <c r="D635" s="32"/>
      <c r="E635" s="32"/>
      <c r="F635" s="32"/>
      <c r="G635" s="33"/>
      <c r="H635" s="33"/>
      <c r="I635" s="33"/>
      <c r="J635" s="33"/>
      <c r="K635" s="34"/>
      <c r="L635" s="33"/>
      <c r="M635" s="34"/>
      <c r="N635" s="34"/>
      <c r="O635" s="35"/>
    </row>
    <row r="636" spans="1:15">
      <c r="A636" s="32"/>
      <c r="B636" s="32"/>
      <c r="C636" s="32"/>
      <c r="D636" s="32"/>
      <c r="E636" s="32"/>
      <c r="F636" s="32"/>
      <c r="G636" s="33"/>
      <c r="H636" s="33"/>
      <c r="I636" s="33"/>
      <c r="J636" s="33"/>
      <c r="K636" s="34"/>
      <c r="L636" s="33"/>
      <c r="M636" s="34"/>
      <c r="N636" s="34"/>
      <c r="O636" s="35"/>
    </row>
    <row r="637" spans="1:15">
      <c r="A637" s="32"/>
      <c r="B637" s="32"/>
      <c r="C637" s="32"/>
      <c r="D637" s="32"/>
      <c r="E637" s="32"/>
      <c r="F637" s="32"/>
      <c r="G637" s="33"/>
      <c r="H637" s="33"/>
      <c r="I637" s="33"/>
      <c r="J637" s="33"/>
      <c r="K637" s="34"/>
      <c r="L637" s="33"/>
      <c r="M637" s="34"/>
      <c r="N637" s="34"/>
      <c r="O637" s="35"/>
    </row>
    <row r="638" spans="1:15">
      <c r="A638" s="32"/>
      <c r="B638" s="32"/>
      <c r="C638" s="32"/>
      <c r="D638" s="32"/>
      <c r="E638" s="32"/>
      <c r="F638" s="32"/>
      <c r="G638" s="33"/>
      <c r="H638" s="33"/>
      <c r="I638" s="33"/>
      <c r="J638" s="33"/>
      <c r="K638" s="34"/>
      <c r="L638" s="33"/>
      <c r="M638" s="34"/>
      <c r="N638" s="34"/>
      <c r="O638" s="35"/>
    </row>
    <row r="639" spans="1:15">
      <c r="A639" s="32"/>
      <c r="B639" s="32"/>
      <c r="C639" s="32"/>
      <c r="D639" s="32"/>
      <c r="E639" s="32"/>
      <c r="F639" s="32"/>
      <c r="G639" s="33"/>
      <c r="H639" s="33"/>
      <c r="I639" s="33"/>
      <c r="J639" s="33"/>
      <c r="K639" s="34"/>
      <c r="L639" s="33"/>
      <c r="M639" s="34"/>
      <c r="N639" s="34"/>
      <c r="O639" s="35"/>
    </row>
    <row r="640" spans="1:15">
      <c r="A640" s="32"/>
      <c r="B640" s="32"/>
      <c r="C640" s="32"/>
      <c r="D640" s="32"/>
      <c r="E640" s="32"/>
      <c r="F640" s="32"/>
      <c r="G640" s="33"/>
      <c r="H640" s="33"/>
      <c r="I640" s="33"/>
      <c r="J640" s="33"/>
      <c r="K640" s="34"/>
      <c r="L640" s="33"/>
      <c r="M640" s="34"/>
      <c r="N640" s="34"/>
      <c r="O640" s="35"/>
    </row>
    <row r="641" spans="1:15">
      <c r="A641" s="32"/>
      <c r="B641" s="32"/>
      <c r="C641" s="32"/>
      <c r="D641" s="32"/>
      <c r="E641" s="32"/>
      <c r="F641" s="32"/>
      <c r="G641" s="33"/>
      <c r="H641" s="33"/>
      <c r="I641" s="33"/>
      <c r="J641" s="33"/>
      <c r="K641" s="34"/>
      <c r="L641" s="33"/>
      <c r="M641" s="34"/>
      <c r="N641" s="34"/>
      <c r="O641" s="35"/>
    </row>
    <row r="642" spans="1:15">
      <c r="A642" s="32"/>
      <c r="B642" s="32"/>
      <c r="C642" s="32"/>
      <c r="D642" s="32"/>
      <c r="E642" s="32"/>
      <c r="F642" s="32"/>
      <c r="G642" s="33"/>
      <c r="H642" s="33"/>
      <c r="I642" s="33"/>
      <c r="J642" s="33"/>
      <c r="K642" s="34"/>
      <c r="L642" s="33"/>
      <c r="M642" s="34"/>
      <c r="N642" s="34"/>
      <c r="O642" s="35"/>
    </row>
    <row r="643" spans="1:15">
      <c r="A643" s="32"/>
      <c r="B643" s="32"/>
      <c r="C643" s="32"/>
      <c r="D643" s="32"/>
      <c r="E643" s="32"/>
      <c r="F643" s="32"/>
      <c r="G643" s="33"/>
      <c r="H643" s="33"/>
      <c r="I643" s="33"/>
      <c r="J643" s="33"/>
      <c r="K643" s="34"/>
      <c r="L643" s="33"/>
      <c r="M643" s="34"/>
      <c r="N643" s="34"/>
      <c r="O643" s="35"/>
    </row>
    <row r="644" spans="1:15">
      <c r="A644" s="32"/>
      <c r="B644" s="32"/>
      <c r="C644" s="32"/>
      <c r="D644" s="32"/>
      <c r="E644" s="32"/>
      <c r="F644" s="32"/>
      <c r="G644" s="33"/>
      <c r="H644" s="33"/>
      <c r="I644" s="33"/>
      <c r="J644" s="33"/>
      <c r="K644" s="34"/>
      <c r="L644" s="33"/>
      <c r="M644" s="34"/>
      <c r="N644" s="34"/>
      <c r="O644" s="35"/>
    </row>
    <row r="645" spans="1:15">
      <c r="A645" s="32"/>
      <c r="B645" s="32"/>
      <c r="C645" s="32"/>
      <c r="D645" s="32"/>
      <c r="E645" s="32"/>
      <c r="F645" s="32"/>
      <c r="G645" s="33"/>
      <c r="H645" s="33"/>
      <c r="I645" s="33"/>
      <c r="J645" s="33"/>
      <c r="K645" s="34"/>
      <c r="L645" s="33"/>
      <c r="M645" s="34"/>
      <c r="N645" s="34"/>
      <c r="O645" s="35"/>
    </row>
    <row r="646" spans="1:15">
      <c r="A646" s="32"/>
      <c r="B646" s="32"/>
      <c r="C646" s="32"/>
      <c r="D646" s="32"/>
      <c r="E646" s="32"/>
      <c r="F646" s="32"/>
      <c r="G646" s="33"/>
      <c r="H646" s="33"/>
      <c r="I646" s="33"/>
      <c r="J646" s="33"/>
      <c r="K646" s="34"/>
      <c r="L646" s="33"/>
      <c r="M646" s="34"/>
      <c r="N646" s="34"/>
      <c r="O646" s="35"/>
    </row>
    <row r="647" spans="1:15">
      <c r="A647" s="32"/>
      <c r="B647" s="32"/>
      <c r="C647" s="32"/>
      <c r="D647" s="32"/>
      <c r="E647" s="32"/>
      <c r="F647" s="32"/>
      <c r="G647" s="33"/>
      <c r="H647" s="33"/>
      <c r="I647" s="33"/>
      <c r="J647" s="33"/>
      <c r="K647" s="34"/>
      <c r="L647" s="33"/>
      <c r="M647" s="34"/>
      <c r="N647" s="34"/>
      <c r="O647" s="35"/>
    </row>
    <row r="648" spans="1:15">
      <c r="A648" s="32"/>
      <c r="B648" s="32"/>
      <c r="C648" s="32"/>
      <c r="D648" s="32"/>
      <c r="E648" s="32"/>
      <c r="F648" s="32"/>
      <c r="G648" s="33"/>
      <c r="H648" s="33"/>
      <c r="I648" s="33"/>
      <c r="J648" s="33"/>
      <c r="K648" s="34"/>
      <c r="L648" s="33"/>
      <c r="M648" s="34"/>
      <c r="N648" s="34"/>
      <c r="O648" s="35"/>
    </row>
    <row r="649" spans="1:15">
      <c r="A649" s="32"/>
      <c r="B649" s="32"/>
      <c r="C649" s="32"/>
      <c r="D649" s="32"/>
      <c r="E649" s="32"/>
      <c r="F649" s="32"/>
      <c r="G649" s="33"/>
      <c r="H649" s="33"/>
      <c r="I649" s="33"/>
      <c r="J649" s="33"/>
      <c r="K649" s="34"/>
      <c r="L649" s="33"/>
      <c r="M649" s="34"/>
      <c r="N649" s="34"/>
      <c r="O649" s="35"/>
    </row>
    <row r="650" spans="1:15">
      <c r="A650" s="32"/>
      <c r="B650" s="32"/>
      <c r="C650" s="32"/>
      <c r="D650" s="32"/>
      <c r="E650" s="32"/>
      <c r="F650" s="32"/>
      <c r="G650" s="33"/>
      <c r="H650" s="33"/>
      <c r="I650" s="33"/>
      <c r="J650" s="33"/>
      <c r="K650" s="34"/>
      <c r="L650" s="33"/>
      <c r="M650" s="34"/>
      <c r="N650" s="34"/>
      <c r="O650" s="35"/>
    </row>
    <row r="651" spans="1:15">
      <c r="A651" s="32"/>
      <c r="B651" s="32"/>
      <c r="C651" s="32"/>
      <c r="D651" s="32"/>
      <c r="E651" s="32"/>
      <c r="F651" s="32"/>
      <c r="G651" s="33"/>
      <c r="H651" s="33"/>
      <c r="I651" s="33"/>
      <c r="J651" s="33"/>
      <c r="K651" s="34"/>
      <c r="L651" s="33"/>
      <c r="M651" s="34"/>
      <c r="N651" s="34"/>
      <c r="O651" s="35"/>
    </row>
    <row r="652" spans="1:15">
      <c r="A652" s="32"/>
      <c r="B652" s="32"/>
      <c r="C652" s="32"/>
      <c r="D652" s="32"/>
      <c r="E652" s="32"/>
      <c r="F652" s="32"/>
      <c r="G652" s="33"/>
      <c r="H652" s="33"/>
      <c r="I652" s="33"/>
      <c r="J652" s="33"/>
      <c r="K652" s="34"/>
      <c r="L652" s="33"/>
      <c r="M652" s="34"/>
      <c r="N652" s="34"/>
      <c r="O652" s="35"/>
    </row>
    <row r="653" spans="1:15">
      <c r="A653" s="32"/>
      <c r="B653" s="32"/>
      <c r="C653" s="32"/>
      <c r="D653" s="32"/>
      <c r="E653" s="32"/>
      <c r="F653" s="32"/>
      <c r="G653" s="33"/>
      <c r="H653" s="33"/>
      <c r="I653" s="33"/>
      <c r="J653" s="33"/>
      <c r="K653" s="34"/>
      <c r="L653" s="33"/>
      <c r="M653" s="34"/>
      <c r="N653" s="34"/>
      <c r="O653" s="35"/>
    </row>
    <row r="654" spans="1:15">
      <c r="A654" s="32"/>
      <c r="B654" s="32"/>
      <c r="C654" s="32"/>
      <c r="D654" s="32"/>
      <c r="E654" s="32"/>
      <c r="F654" s="32"/>
      <c r="G654" s="33"/>
      <c r="H654" s="33"/>
      <c r="I654" s="33"/>
      <c r="J654" s="33"/>
      <c r="K654" s="34"/>
      <c r="L654" s="33"/>
      <c r="M654" s="34"/>
      <c r="N654" s="34"/>
      <c r="O654" s="35"/>
    </row>
    <row r="655" spans="1:15">
      <c r="A655" s="32"/>
      <c r="B655" s="32"/>
      <c r="C655" s="32"/>
      <c r="D655" s="32"/>
      <c r="E655" s="32"/>
      <c r="F655" s="32"/>
      <c r="G655" s="33"/>
      <c r="H655" s="33"/>
      <c r="I655" s="33"/>
      <c r="J655" s="33"/>
      <c r="K655" s="34"/>
      <c r="L655" s="33"/>
      <c r="M655" s="34"/>
      <c r="N655" s="34"/>
      <c r="O655" s="35"/>
    </row>
    <row r="656" spans="1:15">
      <c r="A656" s="32"/>
      <c r="B656" s="32"/>
      <c r="C656" s="32"/>
      <c r="D656" s="32"/>
      <c r="E656" s="32"/>
      <c r="F656" s="32"/>
      <c r="G656" s="33"/>
      <c r="H656" s="33"/>
      <c r="I656" s="33"/>
      <c r="J656" s="33"/>
      <c r="K656" s="34"/>
      <c r="L656" s="33"/>
      <c r="M656" s="34"/>
      <c r="N656" s="34"/>
      <c r="O656" s="35"/>
    </row>
    <row r="657" spans="1:15">
      <c r="A657" s="32"/>
      <c r="B657" s="32"/>
      <c r="C657" s="32"/>
      <c r="D657" s="32"/>
      <c r="E657" s="32"/>
      <c r="F657" s="32"/>
      <c r="G657" s="33"/>
      <c r="H657" s="33"/>
      <c r="I657" s="33"/>
      <c r="J657" s="33"/>
      <c r="K657" s="34"/>
      <c r="L657" s="33"/>
      <c r="M657" s="34"/>
      <c r="N657" s="34"/>
      <c r="O657" s="35"/>
    </row>
    <row r="658" spans="1:15">
      <c r="A658" s="32"/>
      <c r="B658" s="32"/>
      <c r="C658" s="32"/>
      <c r="D658" s="32"/>
      <c r="E658" s="32"/>
      <c r="F658" s="32"/>
      <c r="G658" s="33"/>
      <c r="H658" s="33"/>
      <c r="I658" s="33"/>
      <c r="J658" s="33"/>
      <c r="K658" s="34"/>
      <c r="L658" s="33"/>
      <c r="M658" s="34"/>
      <c r="N658" s="34"/>
      <c r="O658" s="35"/>
    </row>
    <row r="659" spans="1:15">
      <c r="A659" s="32"/>
      <c r="B659" s="32"/>
      <c r="C659" s="32"/>
      <c r="D659" s="32"/>
      <c r="E659" s="32"/>
      <c r="F659" s="32"/>
      <c r="G659" s="33"/>
      <c r="H659" s="33"/>
      <c r="I659" s="33"/>
      <c r="J659" s="33"/>
      <c r="K659" s="34"/>
      <c r="L659" s="33"/>
      <c r="M659" s="34"/>
      <c r="N659" s="34"/>
      <c r="O659" s="35"/>
    </row>
    <row r="660" spans="1:15">
      <c r="A660" s="32"/>
      <c r="B660" s="32"/>
      <c r="C660" s="32"/>
      <c r="D660" s="32"/>
      <c r="E660" s="32"/>
      <c r="F660" s="32"/>
      <c r="G660" s="33"/>
      <c r="H660" s="33"/>
      <c r="I660" s="33"/>
      <c r="J660" s="33"/>
      <c r="K660" s="34"/>
      <c r="L660" s="33"/>
      <c r="M660" s="34"/>
      <c r="N660" s="34"/>
      <c r="O660" s="35"/>
    </row>
    <row r="661" spans="1:15">
      <c r="A661" s="32"/>
      <c r="B661" s="32"/>
      <c r="C661" s="32"/>
      <c r="D661" s="32"/>
      <c r="E661" s="32"/>
      <c r="F661" s="32"/>
      <c r="G661" s="33"/>
      <c r="H661" s="33"/>
      <c r="I661" s="33"/>
      <c r="J661" s="33"/>
      <c r="K661" s="34"/>
      <c r="L661" s="33"/>
      <c r="M661" s="34"/>
      <c r="N661" s="34"/>
      <c r="O661" s="35"/>
    </row>
    <row r="662" spans="1:15">
      <c r="A662" s="32"/>
      <c r="B662" s="32"/>
      <c r="C662" s="32"/>
      <c r="D662" s="32"/>
      <c r="E662" s="32"/>
      <c r="F662" s="32"/>
      <c r="G662" s="33"/>
      <c r="H662" s="33"/>
      <c r="I662" s="33"/>
      <c r="J662" s="33"/>
      <c r="K662" s="34"/>
      <c r="L662" s="33"/>
      <c r="M662" s="34"/>
      <c r="N662" s="34"/>
      <c r="O662" s="35"/>
    </row>
    <row r="663" spans="1:15">
      <c r="A663" s="32"/>
      <c r="B663" s="32"/>
      <c r="C663" s="32"/>
      <c r="D663" s="32"/>
      <c r="E663" s="32"/>
      <c r="F663" s="32"/>
      <c r="G663" s="33"/>
      <c r="H663" s="33"/>
      <c r="I663" s="33"/>
      <c r="J663" s="33"/>
      <c r="K663" s="34"/>
      <c r="L663" s="33"/>
      <c r="M663" s="34"/>
      <c r="N663" s="34"/>
      <c r="O663" s="35"/>
    </row>
    <row r="664" spans="1:15">
      <c r="A664" s="32"/>
      <c r="B664" s="32"/>
      <c r="C664" s="32"/>
      <c r="D664" s="32"/>
      <c r="E664" s="32"/>
      <c r="F664" s="32"/>
      <c r="G664" s="33"/>
      <c r="H664" s="33"/>
      <c r="I664" s="33"/>
      <c r="J664" s="33"/>
      <c r="K664" s="34"/>
      <c r="L664" s="33"/>
      <c r="M664" s="34"/>
      <c r="N664" s="34"/>
      <c r="O664" s="35"/>
    </row>
    <row r="665" spans="1:15">
      <c r="A665" s="32"/>
      <c r="B665" s="32"/>
      <c r="C665" s="32"/>
      <c r="D665" s="32"/>
      <c r="E665" s="32"/>
      <c r="F665" s="32"/>
      <c r="G665" s="33"/>
      <c r="H665" s="33"/>
      <c r="I665" s="33"/>
      <c r="J665" s="33"/>
      <c r="K665" s="34"/>
      <c r="L665" s="33"/>
      <c r="M665" s="34"/>
      <c r="N665" s="34"/>
      <c r="O665" s="35"/>
    </row>
    <row r="666" spans="1:15">
      <c r="A666" s="32"/>
      <c r="B666" s="32"/>
      <c r="C666" s="32"/>
      <c r="D666" s="32"/>
      <c r="E666" s="32"/>
      <c r="F666" s="32"/>
      <c r="G666" s="33"/>
      <c r="H666" s="33"/>
      <c r="I666" s="33"/>
      <c r="J666" s="33"/>
      <c r="K666" s="34"/>
      <c r="L666" s="33"/>
      <c r="M666" s="34"/>
      <c r="N666" s="34"/>
      <c r="O666" s="35"/>
    </row>
    <row r="667" spans="1:15">
      <c r="A667" s="32"/>
      <c r="B667" s="32"/>
      <c r="C667" s="32"/>
      <c r="D667" s="32"/>
      <c r="E667" s="32"/>
      <c r="F667" s="32"/>
      <c r="G667" s="33"/>
      <c r="H667" s="33"/>
      <c r="I667" s="33"/>
      <c r="J667" s="33"/>
      <c r="K667" s="34"/>
      <c r="L667" s="33"/>
      <c r="M667" s="34"/>
      <c r="N667" s="34"/>
      <c r="O667" s="35"/>
    </row>
    <row r="668" spans="1:15">
      <c r="A668" s="32"/>
      <c r="B668" s="32"/>
      <c r="C668" s="32"/>
      <c r="D668" s="32"/>
      <c r="E668" s="32"/>
      <c r="F668" s="32"/>
      <c r="G668" s="33"/>
      <c r="H668" s="33"/>
      <c r="I668" s="33"/>
      <c r="J668" s="33"/>
      <c r="K668" s="34"/>
      <c r="L668" s="33"/>
      <c r="M668" s="34"/>
      <c r="N668" s="34"/>
      <c r="O668" s="35"/>
    </row>
    <row r="669" spans="1:15">
      <c r="A669" s="32"/>
      <c r="B669" s="32"/>
      <c r="C669" s="32"/>
      <c r="D669" s="32"/>
      <c r="E669" s="32"/>
      <c r="F669" s="32"/>
      <c r="G669" s="33"/>
      <c r="H669" s="33"/>
      <c r="I669" s="33"/>
      <c r="J669" s="33"/>
      <c r="K669" s="34"/>
      <c r="L669" s="33"/>
      <c r="M669" s="34"/>
      <c r="N669" s="34"/>
      <c r="O669" s="35"/>
    </row>
    <row r="670" spans="1:15">
      <c r="A670" s="32"/>
      <c r="B670" s="32"/>
      <c r="C670" s="32"/>
      <c r="D670" s="32"/>
      <c r="E670" s="32"/>
      <c r="F670" s="32"/>
      <c r="G670" s="33"/>
      <c r="H670" s="33"/>
      <c r="I670" s="33"/>
      <c r="J670" s="33"/>
      <c r="K670" s="34"/>
      <c r="L670" s="33"/>
      <c r="M670" s="34"/>
      <c r="N670" s="34"/>
      <c r="O670" s="35"/>
    </row>
    <row r="671" spans="1:15">
      <c r="A671" s="32"/>
      <c r="B671" s="32"/>
      <c r="C671" s="32"/>
      <c r="D671" s="32"/>
      <c r="E671" s="32"/>
      <c r="F671" s="32"/>
      <c r="G671" s="33"/>
      <c r="H671" s="33"/>
      <c r="I671" s="33"/>
      <c r="J671" s="33"/>
      <c r="K671" s="34"/>
      <c r="L671" s="33"/>
      <c r="M671" s="34"/>
      <c r="N671" s="34"/>
      <c r="O671" s="35"/>
    </row>
    <row r="672" spans="1:15">
      <c r="A672" s="32"/>
      <c r="B672" s="32"/>
      <c r="C672" s="32"/>
      <c r="D672" s="32"/>
      <c r="E672" s="32"/>
      <c r="F672" s="32"/>
      <c r="G672" s="33"/>
      <c r="H672" s="33"/>
      <c r="I672" s="33"/>
      <c r="J672" s="33"/>
      <c r="K672" s="34"/>
      <c r="L672" s="33"/>
      <c r="M672" s="34"/>
      <c r="N672" s="34"/>
      <c r="O672" s="35"/>
    </row>
    <row r="673" spans="1:15">
      <c r="A673" s="32"/>
      <c r="B673" s="32"/>
      <c r="C673" s="32"/>
      <c r="D673" s="32"/>
      <c r="E673" s="32"/>
      <c r="F673" s="32"/>
      <c r="G673" s="33"/>
      <c r="H673" s="33"/>
      <c r="I673" s="33"/>
      <c r="J673" s="33"/>
      <c r="K673" s="34"/>
      <c r="L673" s="33"/>
      <c r="M673" s="34"/>
      <c r="N673" s="34"/>
      <c r="O673" s="35"/>
    </row>
    <row r="674" spans="1:15">
      <c r="A674" s="32"/>
      <c r="B674" s="32"/>
      <c r="C674" s="32"/>
      <c r="D674" s="32"/>
      <c r="E674" s="32"/>
      <c r="F674" s="32"/>
      <c r="G674" s="33"/>
      <c r="H674" s="33"/>
      <c r="I674" s="33"/>
      <c r="J674" s="33"/>
      <c r="K674" s="34"/>
      <c r="L674" s="33"/>
      <c r="M674" s="34"/>
      <c r="N674" s="34"/>
      <c r="O674" s="35"/>
    </row>
    <row r="675" spans="1:15">
      <c r="A675" s="32"/>
      <c r="B675" s="32"/>
      <c r="C675" s="32"/>
      <c r="D675" s="32"/>
      <c r="E675" s="32"/>
      <c r="F675" s="32"/>
      <c r="G675" s="33"/>
      <c r="H675" s="33"/>
      <c r="I675" s="33"/>
      <c r="J675" s="33"/>
      <c r="K675" s="34"/>
      <c r="L675" s="33"/>
      <c r="M675" s="34"/>
      <c r="N675" s="34"/>
      <c r="O675" s="35"/>
    </row>
    <row r="676" spans="1:15">
      <c r="A676" s="32"/>
      <c r="B676" s="32"/>
      <c r="C676" s="32"/>
      <c r="D676" s="32"/>
      <c r="E676" s="32"/>
      <c r="F676" s="32"/>
      <c r="G676" s="33"/>
      <c r="H676" s="33"/>
      <c r="I676" s="33"/>
      <c r="J676" s="33"/>
      <c r="K676" s="34"/>
      <c r="L676" s="33"/>
      <c r="M676" s="34"/>
      <c r="N676" s="34"/>
      <c r="O676" s="35"/>
    </row>
    <row r="677" spans="1:15">
      <c r="A677" s="32"/>
      <c r="B677" s="32"/>
      <c r="C677" s="32"/>
      <c r="D677" s="32"/>
      <c r="E677" s="32"/>
      <c r="F677" s="32"/>
      <c r="G677" s="33"/>
      <c r="H677" s="33"/>
      <c r="I677" s="33"/>
      <c r="J677" s="33"/>
      <c r="K677" s="34"/>
      <c r="L677" s="33"/>
      <c r="M677" s="34"/>
      <c r="N677" s="34"/>
      <c r="O677" s="35"/>
    </row>
    <row r="678" spans="1:15">
      <c r="A678" s="32"/>
      <c r="B678" s="32"/>
      <c r="C678" s="32"/>
      <c r="D678" s="32"/>
      <c r="E678" s="32"/>
      <c r="F678" s="32"/>
      <c r="G678" s="33"/>
      <c r="H678" s="33"/>
      <c r="I678" s="33"/>
      <c r="J678" s="33"/>
      <c r="K678" s="34"/>
      <c r="L678" s="33"/>
      <c r="M678" s="34"/>
      <c r="N678" s="34"/>
      <c r="O678" s="35"/>
    </row>
    <row r="679" spans="1:15">
      <c r="A679" s="32"/>
      <c r="B679" s="32"/>
      <c r="C679" s="32"/>
      <c r="D679" s="32"/>
      <c r="E679" s="32"/>
      <c r="F679" s="32"/>
      <c r="G679" s="33"/>
      <c r="H679" s="33"/>
      <c r="I679" s="33"/>
      <c r="J679" s="33"/>
      <c r="K679" s="34"/>
      <c r="L679" s="33"/>
      <c r="M679" s="34"/>
      <c r="N679" s="34"/>
      <c r="O679" s="35"/>
    </row>
    <row r="680" spans="1:15">
      <c r="A680" s="32"/>
      <c r="B680" s="32"/>
      <c r="C680" s="32"/>
      <c r="D680" s="32"/>
      <c r="E680" s="32"/>
      <c r="F680" s="32"/>
      <c r="G680" s="33"/>
      <c r="H680" s="33"/>
      <c r="I680" s="33"/>
      <c r="J680" s="33"/>
      <c r="K680" s="34"/>
      <c r="L680" s="33"/>
      <c r="M680" s="34"/>
      <c r="N680" s="34"/>
      <c r="O680" s="35"/>
    </row>
    <row r="681" spans="1:15">
      <c r="A681" s="32"/>
      <c r="B681" s="32"/>
      <c r="C681" s="32"/>
      <c r="D681" s="32"/>
      <c r="E681" s="32"/>
      <c r="F681" s="32"/>
      <c r="G681" s="33"/>
      <c r="H681" s="33"/>
      <c r="I681" s="33"/>
      <c r="J681" s="33"/>
      <c r="K681" s="34"/>
      <c r="L681" s="33"/>
      <c r="M681" s="34"/>
      <c r="N681" s="34"/>
      <c r="O681" s="35"/>
    </row>
    <row r="682" spans="1:15">
      <c r="A682" s="32"/>
      <c r="B682" s="32"/>
      <c r="C682" s="32"/>
      <c r="D682" s="32"/>
      <c r="E682" s="32"/>
      <c r="F682" s="32"/>
      <c r="G682" s="33"/>
      <c r="H682" s="33"/>
      <c r="I682" s="33"/>
      <c r="J682" s="33"/>
      <c r="K682" s="34"/>
      <c r="L682" s="33"/>
      <c r="M682" s="34"/>
      <c r="N682" s="34"/>
      <c r="O682" s="35"/>
    </row>
    <row r="683" spans="1:15">
      <c r="A683" s="32"/>
      <c r="B683" s="32"/>
      <c r="C683" s="32"/>
      <c r="D683" s="32"/>
      <c r="E683" s="32"/>
      <c r="F683" s="32"/>
      <c r="G683" s="33"/>
      <c r="H683" s="33"/>
      <c r="I683" s="33"/>
      <c r="J683" s="33"/>
      <c r="K683" s="34"/>
      <c r="L683" s="33"/>
      <c r="M683" s="34"/>
      <c r="N683" s="34"/>
      <c r="O683" s="35"/>
    </row>
    <row r="684" spans="1:15">
      <c r="A684" s="32"/>
      <c r="B684" s="32"/>
      <c r="C684" s="32"/>
      <c r="D684" s="32"/>
      <c r="E684" s="32"/>
      <c r="F684" s="32"/>
      <c r="G684" s="33"/>
      <c r="H684" s="33"/>
      <c r="I684" s="33"/>
      <c r="J684" s="33"/>
      <c r="K684" s="34"/>
      <c r="L684" s="33"/>
      <c r="M684" s="34"/>
      <c r="N684" s="34"/>
      <c r="O684" s="35"/>
    </row>
    <row r="685" spans="1:15">
      <c r="A685" s="32"/>
      <c r="B685" s="32"/>
      <c r="C685" s="32"/>
      <c r="D685" s="32"/>
      <c r="E685" s="32"/>
      <c r="F685" s="32"/>
      <c r="G685" s="33"/>
      <c r="H685" s="33"/>
      <c r="I685" s="33"/>
      <c r="J685" s="33"/>
      <c r="K685" s="34"/>
      <c r="L685" s="33"/>
      <c r="M685" s="34"/>
      <c r="N685" s="34"/>
      <c r="O685" s="35"/>
    </row>
    <row r="686" spans="1:15">
      <c r="A686" s="32"/>
      <c r="B686" s="32"/>
      <c r="C686" s="32"/>
      <c r="D686" s="32"/>
      <c r="E686" s="32"/>
      <c r="F686" s="32"/>
      <c r="G686" s="33"/>
      <c r="H686" s="33"/>
      <c r="I686" s="33"/>
      <c r="J686" s="33"/>
      <c r="K686" s="34"/>
      <c r="L686" s="33"/>
      <c r="M686" s="34"/>
      <c r="N686" s="34"/>
      <c r="O686" s="35"/>
    </row>
    <row r="687" spans="1:15">
      <c r="A687" s="32"/>
      <c r="B687" s="32"/>
      <c r="C687" s="32"/>
      <c r="D687" s="32"/>
      <c r="E687" s="32"/>
      <c r="F687" s="32"/>
      <c r="G687" s="33"/>
      <c r="H687" s="33"/>
      <c r="I687" s="33"/>
      <c r="J687" s="33"/>
      <c r="K687" s="34"/>
      <c r="L687" s="33"/>
      <c r="M687" s="34"/>
      <c r="N687" s="34"/>
      <c r="O687" s="35"/>
    </row>
    <row r="688" spans="1:15">
      <c r="A688" s="32"/>
      <c r="B688" s="32"/>
      <c r="C688" s="32"/>
      <c r="D688" s="32"/>
      <c r="E688" s="32"/>
      <c r="F688" s="32"/>
      <c r="G688" s="33"/>
      <c r="H688" s="33"/>
      <c r="I688" s="33"/>
      <c r="J688" s="33"/>
      <c r="K688" s="34"/>
      <c r="L688" s="33"/>
      <c r="M688" s="34"/>
      <c r="N688" s="34"/>
      <c r="O688" s="35"/>
    </row>
    <row r="689" spans="1:15">
      <c r="A689" s="32"/>
      <c r="B689" s="32"/>
      <c r="C689" s="32"/>
      <c r="D689" s="32"/>
      <c r="E689" s="32"/>
      <c r="F689" s="32"/>
      <c r="G689" s="33"/>
      <c r="H689" s="33"/>
      <c r="I689" s="33"/>
      <c r="J689" s="33"/>
      <c r="K689" s="34"/>
      <c r="L689" s="33"/>
      <c r="M689" s="34"/>
      <c r="N689" s="34"/>
      <c r="O689" s="35"/>
    </row>
    <row r="690" spans="1:15">
      <c r="A690" s="32"/>
      <c r="B690" s="32"/>
      <c r="C690" s="32"/>
      <c r="D690" s="32"/>
      <c r="E690" s="32"/>
      <c r="F690" s="32"/>
      <c r="G690" s="33"/>
      <c r="H690" s="33"/>
      <c r="I690" s="33"/>
      <c r="J690" s="33"/>
      <c r="K690" s="34"/>
      <c r="L690" s="33"/>
      <c r="M690" s="34"/>
      <c r="N690" s="34"/>
      <c r="O690" s="35"/>
    </row>
    <row r="691" spans="1:15">
      <c r="A691" s="32"/>
      <c r="B691" s="32"/>
      <c r="C691" s="32"/>
      <c r="D691" s="32"/>
      <c r="E691" s="32"/>
      <c r="F691" s="32"/>
      <c r="G691" s="33"/>
      <c r="H691" s="33"/>
      <c r="I691" s="33"/>
      <c r="J691" s="33"/>
      <c r="K691" s="34"/>
      <c r="L691" s="33"/>
      <c r="M691" s="34"/>
      <c r="N691" s="34"/>
      <c r="O691" s="35"/>
    </row>
    <row r="692" spans="1:15">
      <c r="A692" s="32"/>
      <c r="B692" s="32"/>
      <c r="C692" s="32"/>
      <c r="D692" s="32"/>
      <c r="E692" s="32"/>
      <c r="F692" s="32"/>
      <c r="G692" s="33"/>
      <c r="H692" s="33"/>
      <c r="I692" s="33"/>
      <c r="J692" s="33"/>
      <c r="K692" s="34"/>
      <c r="L692" s="33"/>
      <c r="M692" s="34"/>
      <c r="N692" s="34"/>
      <c r="O692" s="35"/>
    </row>
    <row r="693" spans="1:15">
      <c r="A693" s="32"/>
      <c r="B693" s="32"/>
      <c r="C693" s="32"/>
      <c r="D693" s="32"/>
      <c r="E693" s="32"/>
      <c r="F693" s="32"/>
      <c r="G693" s="33"/>
      <c r="H693" s="33"/>
      <c r="I693" s="33"/>
      <c r="J693" s="33"/>
      <c r="K693" s="34"/>
      <c r="L693" s="33"/>
      <c r="M693" s="34"/>
      <c r="N693" s="34"/>
      <c r="O693" s="35"/>
    </row>
    <row r="694" spans="1:15">
      <c r="A694" s="32"/>
      <c r="B694" s="32"/>
      <c r="C694" s="32"/>
      <c r="D694" s="32"/>
      <c r="E694" s="32"/>
      <c r="F694" s="32"/>
      <c r="G694" s="33"/>
      <c r="H694" s="33"/>
      <c r="I694" s="33"/>
      <c r="J694" s="33"/>
      <c r="K694" s="34"/>
      <c r="L694" s="33"/>
      <c r="M694" s="34"/>
      <c r="N694" s="34"/>
      <c r="O694" s="35"/>
    </row>
    <row r="695" spans="1:15">
      <c r="A695" s="32"/>
      <c r="B695" s="32"/>
      <c r="C695" s="32"/>
      <c r="D695" s="32"/>
      <c r="E695" s="32"/>
      <c r="F695" s="32"/>
      <c r="G695" s="33"/>
      <c r="H695" s="33"/>
      <c r="I695" s="33"/>
      <c r="J695" s="33"/>
      <c r="K695" s="34"/>
      <c r="L695" s="33"/>
      <c r="M695" s="34"/>
      <c r="N695" s="34"/>
      <c r="O695" s="35"/>
    </row>
    <row r="696" spans="1:15">
      <c r="A696" s="32"/>
      <c r="B696" s="32"/>
      <c r="C696" s="32"/>
      <c r="D696" s="32"/>
      <c r="E696" s="32"/>
      <c r="F696" s="32"/>
      <c r="G696" s="33"/>
      <c r="H696" s="33"/>
      <c r="I696" s="33"/>
      <c r="J696" s="33"/>
      <c r="K696" s="34"/>
      <c r="L696" s="33"/>
      <c r="M696" s="34"/>
      <c r="N696" s="34"/>
      <c r="O696" s="35"/>
    </row>
    <row r="697" spans="1:15">
      <c r="A697" s="32"/>
      <c r="B697" s="32"/>
      <c r="C697" s="32"/>
      <c r="D697" s="32"/>
      <c r="E697" s="32"/>
      <c r="F697" s="32"/>
      <c r="G697" s="33"/>
      <c r="H697" s="33"/>
      <c r="I697" s="33"/>
      <c r="J697" s="33"/>
      <c r="K697" s="34"/>
      <c r="L697" s="33"/>
      <c r="M697" s="34"/>
      <c r="N697" s="34"/>
      <c r="O697" s="35"/>
    </row>
    <row r="698" spans="1:15">
      <c r="A698" s="32"/>
      <c r="B698" s="32"/>
      <c r="C698" s="32"/>
      <c r="D698" s="32"/>
      <c r="E698" s="32"/>
      <c r="F698" s="32"/>
      <c r="G698" s="33"/>
      <c r="H698" s="33"/>
      <c r="I698" s="33"/>
      <c r="J698" s="33"/>
      <c r="K698" s="34"/>
      <c r="L698" s="33"/>
      <c r="M698" s="34"/>
      <c r="N698" s="34"/>
      <c r="O698" s="35"/>
    </row>
    <row r="699" spans="1:15">
      <c r="A699" s="32"/>
      <c r="B699" s="32"/>
      <c r="C699" s="32"/>
      <c r="D699" s="32"/>
      <c r="E699" s="32"/>
      <c r="F699" s="32"/>
      <c r="G699" s="33"/>
      <c r="H699" s="33"/>
      <c r="I699" s="33"/>
      <c r="J699" s="33"/>
      <c r="K699" s="34"/>
      <c r="L699" s="33"/>
      <c r="M699" s="34"/>
      <c r="N699" s="34"/>
      <c r="O699" s="35"/>
    </row>
    <row r="700" spans="1:15">
      <c r="A700" s="32"/>
      <c r="B700" s="32"/>
      <c r="C700" s="32"/>
      <c r="D700" s="32"/>
      <c r="E700" s="32"/>
      <c r="F700" s="32"/>
      <c r="G700" s="33"/>
      <c r="H700" s="33"/>
      <c r="I700" s="33"/>
      <c r="J700" s="33"/>
      <c r="K700" s="34"/>
      <c r="L700" s="33"/>
      <c r="M700" s="34"/>
      <c r="N700" s="34"/>
      <c r="O700" s="35"/>
    </row>
    <row r="701" spans="1:15">
      <c r="A701" s="32"/>
      <c r="B701" s="32"/>
      <c r="C701" s="32"/>
      <c r="D701" s="32"/>
      <c r="E701" s="32"/>
      <c r="F701" s="32"/>
      <c r="G701" s="33"/>
      <c r="H701" s="33"/>
      <c r="I701" s="33"/>
      <c r="J701" s="33"/>
      <c r="K701" s="34"/>
      <c r="L701" s="33"/>
      <c r="M701" s="34"/>
      <c r="N701" s="34"/>
      <c r="O701" s="35"/>
    </row>
    <row r="702" spans="1:15">
      <c r="A702" s="32"/>
      <c r="B702" s="32"/>
      <c r="C702" s="32"/>
      <c r="D702" s="32"/>
      <c r="E702" s="32"/>
      <c r="F702" s="32"/>
      <c r="G702" s="33"/>
      <c r="H702" s="33"/>
      <c r="I702" s="33"/>
      <c r="J702" s="33"/>
      <c r="K702" s="34"/>
      <c r="L702" s="33"/>
      <c r="M702" s="34"/>
      <c r="N702" s="34"/>
      <c r="O702" s="35"/>
    </row>
    <row r="703" spans="1:15">
      <c r="A703" s="32"/>
      <c r="B703" s="32"/>
      <c r="C703" s="32"/>
      <c r="D703" s="32"/>
      <c r="E703" s="32"/>
      <c r="F703" s="32"/>
      <c r="G703" s="33"/>
      <c r="H703" s="33"/>
      <c r="I703" s="33"/>
      <c r="J703" s="33"/>
      <c r="K703" s="34"/>
      <c r="L703" s="33"/>
      <c r="M703" s="34"/>
      <c r="N703" s="34"/>
      <c r="O703" s="35"/>
    </row>
    <row r="704" spans="1:15">
      <c r="A704" s="32"/>
      <c r="B704" s="32"/>
      <c r="C704" s="32"/>
      <c r="D704" s="32"/>
      <c r="E704" s="32"/>
      <c r="F704" s="32"/>
      <c r="G704" s="33"/>
      <c r="H704" s="33"/>
      <c r="I704" s="33"/>
      <c r="J704" s="33"/>
      <c r="K704" s="34"/>
      <c r="L704" s="33"/>
      <c r="M704" s="34"/>
      <c r="N704" s="34"/>
      <c r="O704" s="35"/>
    </row>
    <row r="705" spans="1:15">
      <c r="A705" s="32"/>
      <c r="B705" s="32"/>
      <c r="C705" s="32"/>
      <c r="D705" s="32"/>
      <c r="E705" s="32"/>
      <c r="F705" s="32"/>
      <c r="G705" s="33"/>
      <c r="H705" s="33"/>
      <c r="I705" s="33"/>
      <c r="J705" s="33"/>
      <c r="K705" s="34"/>
      <c r="L705" s="33"/>
      <c r="M705" s="34"/>
      <c r="N705" s="34"/>
      <c r="O705" s="35"/>
    </row>
    <row r="706" spans="1:15">
      <c r="A706" s="32"/>
      <c r="B706" s="32"/>
      <c r="C706" s="32"/>
      <c r="D706" s="32"/>
      <c r="E706" s="32"/>
      <c r="F706" s="32"/>
      <c r="G706" s="33"/>
      <c r="H706" s="33"/>
      <c r="I706" s="33"/>
      <c r="J706" s="33"/>
      <c r="K706" s="34"/>
      <c r="L706" s="33"/>
      <c r="M706" s="34"/>
      <c r="N706" s="34"/>
      <c r="O706" s="35"/>
    </row>
    <row r="707" spans="1:15">
      <c r="A707" s="32"/>
      <c r="B707" s="32"/>
      <c r="C707" s="32"/>
      <c r="D707" s="32"/>
      <c r="E707" s="32"/>
      <c r="F707" s="32"/>
      <c r="G707" s="33"/>
      <c r="H707" s="33"/>
      <c r="I707" s="33"/>
      <c r="J707" s="33"/>
      <c r="K707" s="34"/>
      <c r="L707" s="33"/>
      <c r="M707" s="34"/>
      <c r="N707" s="34"/>
      <c r="O707" s="35"/>
    </row>
    <row r="708" spans="1:15">
      <c r="A708" s="32"/>
      <c r="B708" s="32"/>
      <c r="C708" s="32"/>
      <c r="D708" s="32"/>
      <c r="E708" s="32"/>
      <c r="F708" s="32"/>
      <c r="G708" s="33"/>
      <c r="H708" s="33"/>
      <c r="I708" s="33"/>
      <c r="J708" s="33"/>
      <c r="K708" s="34"/>
      <c r="L708" s="33"/>
      <c r="M708" s="34"/>
      <c r="N708" s="34"/>
      <c r="O708" s="35"/>
    </row>
    <row r="709" spans="1:15">
      <c r="A709" s="32"/>
      <c r="B709" s="32"/>
      <c r="C709" s="32"/>
      <c r="D709" s="32"/>
      <c r="E709" s="32"/>
      <c r="F709" s="32"/>
      <c r="G709" s="33"/>
      <c r="H709" s="33"/>
      <c r="I709" s="33"/>
      <c r="J709" s="33"/>
      <c r="K709" s="34"/>
      <c r="L709" s="33"/>
      <c r="M709" s="34"/>
      <c r="N709" s="34"/>
      <c r="O709" s="35"/>
    </row>
    <row r="710" spans="1:15">
      <c r="A710" s="32"/>
      <c r="B710" s="32"/>
      <c r="C710" s="32"/>
      <c r="D710" s="32"/>
      <c r="E710" s="32"/>
      <c r="F710" s="32"/>
      <c r="G710" s="33"/>
      <c r="H710" s="33"/>
      <c r="I710" s="33"/>
      <c r="J710" s="33"/>
      <c r="K710" s="34"/>
      <c r="L710" s="33"/>
      <c r="M710" s="34"/>
      <c r="N710" s="34"/>
      <c r="O710" s="35"/>
    </row>
    <row r="711" spans="1:15">
      <c r="A711" s="32"/>
      <c r="B711" s="32"/>
      <c r="C711" s="32"/>
      <c r="D711" s="32"/>
      <c r="E711" s="32"/>
      <c r="F711" s="32"/>
      <c r="G711" s="33"/>
      <c r="H711" s="33"/>
      <c r="I711" s="33"/>
      <c r="J711" s="33"/>
      <c r="K711" s="34"/>
      <c r="L711" s="33"/>
      <c r="M711" s="34"/>
      <c r="N711" s="34"/>
      <c r="O711" s="35"/>
    </row>
    <row r="712" spans="1:15">
      <c r="A712" s="32"/>
      <c r="B712" s="32"/>
      <c r="C712" s="32"/>
      <c r="D712" s="32"/>
      <c r="E712" s="32"/>
      <c r="F712" s="32"/>
      <c r="G712" s="33"/>
      <c r="H712" s="33"/>
      <c r="I712" s="33"/>
      <c r="J712" s="33"/>
      <c r="K712" s="34"/>
      <c r="L712" s="33"/>
      <c r="M712" s="34"/>
      <c r="N712" s="34"/>
      <c r="O712" s="35"/>
    </row>
    <row r="713" spans="1:15">
      <c r="A713" s="32"/>
      <c r="B713" s="32"/>
      <c r="C713" s="32"/>
      <c r="D713" s="32"/>
      <c r="E713" s="32"/>
      <c r="F713" s="32"/>
      <c r="G713" s="33"/>
      <c r="H713" s="33"/>
      <c r="I713" s="33"/>
      <c r="J713" s="33"/>
      <c r="K713" s="34"/>
      <c r="L713" s="33"/>
      <c r="M713" s="34"/>
      <c r="N713" s="34"/>
      <c r="O713" s="35"/>
    </row>
    <row r="714" spans="1:15">
      <c r="A714" s="32"/>
      <c r="B714" s="32"/>
      <c r="C714" s="32"/>
      <c r="D714" s="32"/>
      <c r="E714" s="32"/>
      <c r="F714" s="32"/>
      <c r="G714" s="33"/>
      <c r="H714" s="33"/>
      <c r="I714" s="33"/>
      <c r="J714" s="33"/>
      <c r="K714" s="34"/>
      <c r="L714" s="33"/>
      <c r="M714" s="34"/>
      <c r="N714" s="34"/>
      <c r="O714" s="35"/>
    </row>
    <row r="715" spans="1:15">
      <c r="A715" s="32"/>
      <c r="B715" s="32"/>
      <c r="C715" s="32"/>
      <c r="D715" s="32"/>
      <c r="E715" s="32"/>
      <c r="F715" s="32"/>
      <c r="G715" s="33"/>
      <c r="H715" s="33"/>
      <c r="I715" s="33"/>
      <c r="J715" s="33"/>
      <c r="K715" s="34"/>
      <c r="L715" s="33"/>
      <c r="M715" s="34"/>
      <c r="N715" s="34"/>
      <c r="O715" s="35"/>
    </row>
    <row r="716" spans="1:15">
      <c r="A716" s="32"/>
      <c r="B716" s="32"/>
      <c r="C716" s="32"/>
      <c r="D716" s="32"/>
      <c r="E716" s="32"/>
      <c r="F716" s="32"/>
      <c r="G716" s="33"/>
      <c r="H716" s="33"/>
      <c r="I716" s="33"/>
      <c r="J716" s="33"/>
      <c r="K716" s="34"/>
      <c r="L716" s="33"/>
      <c r="M716" s="34"/>
      <c r="N716" s="34"/>
      <c r="O716" s="35"/>
    </row>
    <row r="717" spans="1:15">
      <c r="A717" s="32"/>
      <c r="B717" s="32"/>
      <c r="C717" s="32"/>
      <c r="D717" s="32"/>
      <c r="E717" s="32"/>
      <c r="F717" s="32"/>
      <c r="G717" s="33"/>
      <c r="H717" s="33"/>
      <c r="I717" s="33"/>
      <c r="J717" s="33"/>
      <c r="K717" s="34"/>
      <c r="L717" s="33"/>
      <c r="M717" s="34"/>
      <c r="N717" s="34"/>
      <c r="O717" s="35"/>
    </row>
    <row r="718" spans="1:15">
      <c r="A718" s="32"/>
      <c r="B718" s="32"/>
      <c r="C718" s="32"/>
      <c r="D718" s="32"/>
      <c r="E718" s="32"/>
      <c r="F718" s="32"/>
      <c r="G718" s="33"/>
      <c r="H718" s="33"/>
      <c r="I718" s="33"/>
      <c r="J718" s="33"/>
      <c r="K718" s="34"/>
      <c r="L718" s="33"/>
      <c r="M718" s="34"/>
      <c r="N718" s="34"/>
      <c r="O718" s="35"/>
    </row>
    <row r="719" spans="1:15">
      <c r="A719" s="32"/>
      <c r="B719" s="32"/>
      <c r="C719" s="32"/>
      <c r="D719" s="32"/>
      <c r="E719" s="32"/>
      <c r="F719" s="32"/>
      <c r="G719" s="33"/>
      <c r="H719" s="33"/>
      <c r="I719" s="33"/>
      <c r="J719" s="33"/>
      <c r="K719" s="34"/>
      <c r="L719" s="33"/>
      <c r="M719" s="34"/>
      <c r="N719" s="34"/>
      <c r="O719" s="35"/>
    </row>
    <row r="720" spans="1:15">
      <c r="A720" s="32"/>
      <c r="B720" s="32"/>
      <c r="C720" s="32"/>
      <c r="D720" s="32"/>
      <c r="E720" s="32"/>
      <c r="F720" s="32"/>
      <c r="G720" s="33"/>
      <c r="H720" s="33"/>
      <c r="I720" s="33"/>
      <c r="J720" s="33"/>
      <c r="K720" s="34"/>
      <c r="L720" s="33"/>
      <c r="M720" s="34"/>
      <c r="N720" s="34"/>
      <c r="O720" s="35"/>
    </row>
    <row r="721" spans="1:15">
      <c r="A721" s="32"/>
      <c r="B721" s="32"/>
      <c r="C721" s="32"/>
      <c r="D721" s="32"/>
      <c r="E721" s="32"/>
      <c r="F721" s="32"/>
      <c r="G721" s="33"/>
      <c r="H721" s="33"/>
      <c r="I721" s="33"/>
      <c r="J721" s="33"/>
      <c r="K721" s="34"/>
      <c r="L721" s="33"/>
      <c r="M721" s="34"/>
      <c r="N721" s="34"/>
      <c r="O721" s="35"/>
    </row>
    <row r="722" spans="1:15">
      <c r="A722" s="32"/>
      <c r="B722" s="32"/>
      <c r="C722" s="32"/>
      <c r="D722" s="32"/>
      <c r="E722" s="32"/>
      <c r="F722" s="32"/>
      <c r="G722" s="33"/>
      <c r="H722" s="33"/>
      <c r="I722" s="33"/>
      <c r="J722" s="33"/>
      <c r="K722" s="34"/>
      <c r="L722" s="33"/>
      <c r="M722" s="34"/>
      <c r="N722" s="34"/>
      <c r="O722" s="35"/>
    </row>
    <row r="723" spans="1:15">
      <c r="A723" s="32"/>
      <c r="B723" s="32"/>
      <c r="C723" s="32"/>
      <c r="D723" s="32"/>
      <c r="E723" s="32"/>
      <c r="F723" s="32"/>
      <c r="G723" s="33"/>
      <c r="H723" s="33"/>
      <c r="I723" s="33"/>
      <c r="J723" s="33"/>
      <c r="K723" s="34"/>
      <c r="L723" s="33"/>
      <c r="M723" s="34"/>
      <c r="N723" s="34"/>
      <c r="O723" s="35"/>
    </row>
    <row r="724" spans="1:15">
      <c r="A724" s="32"/>
      <c r="B724" s="32"/>
      <c r="C724" s="32"/>
      <c r="D724" s="32"/>
      <c r="E724" s="32"/>
      <c r="F724" s="32"/>
      <c r="G724" s="33"/>
      <c r="H724" s="33"/>
      <c r="I724" s="33"/>
      <c r="J724" s="33"/>
      <c r="K724" s="34"/>
      <c r="L724" s="33"/>
      <c r="M724" s="34"/>
      <c r="N724" s="34"/>
      <c r="O724" s="35"/>
    </row>
    <row r="725" spans="1:15">
      <c r="A725" s="32"/>
      <c r="B725" s="32"/>
      <c r="C725" s="32"/>
      <c r="D725" s="32"/>
      <c r="E725" s="32"/>
      <c r="F725" s="32"/>
      <c r="G725" s="33"/>
      <c r="H725" s="33"/>
      <c r="I725" s="33"/>
      <c r="J725" s="33"/>
      <c r="K725" s="34"/>
      <c r="L725" s="33"/>
      <c r="M725" s="34"/>
      <c r="N725" s="34"/>
      <c r="O725" s="35"/>
    </row>
    <row r="726" spans="1:15">
      <c r="A726" s="32"/>
      <c r="B726" s="32"/>
      <c r="C726" s="32"/>
      <c r="D726" s="32"/>
      <c r="E726" s="32"/>
      <c r="F726" s="32"/>
      <c r="G726" s="33"/>
      <c r="H726" s="33"/>
      <c r="I726" s="33"/>
      <c r="J726" s="33"/>
      <c r="K726" s="34"/>
      <c r="L726" s="33"/>
      <c r="M726" s="34"/>
      <c r="N726" s="34"/>
      <c r="O726" s="35"/>
    </row>
    <row r="727" spans="1:15">
      <c r="A727" s="32"/>
      <c r="B727" s="32"/>
      <c r="C727" s="32"/>
      <c r="D727" s="32"/>
      <c r="E727" s="32"/>
      <c r="F727" s="32"/>
      <c r="G727" s="33"/>
      <c r="H727" s="33"/>
      <c r="I727" s="33"/>
      <c r="J727" s="33"/>
      <c r="K727" s="34"/>
      <c r="L727" s="33"/>
      <c r="M727" s="34"/>
      <c r="N727" s="34"/>
      <c r="O727" s="35"/>
    </row>
    <row r="728" spans="1:15">
      <c r="A728" s="32"/>
      <c r="B728" s="32"/>
      <c r="C728" s="32"/>
      <c r="D728" s="32"/>
      <c r="E728" s="32"/>
      <c r="F728" s="32"/>
      <c r="G728" s="33"/>
      <c r="H728" s="33"/>
      <c r="I728" s="33"/>
      <c r="J728" s="33"/>
      <c r="K728" s="34"/>
      <c r="L728" s="33"/>
      <c r="M728" s="34"/>
      <c r="N728" s="34"/>
      <c r="O728" s="35"/>
    </row>
    <row r="729" spans="1:15">
      <c r="A729" s="32"/>
      <c r="B729" s="32"/>
      <c r="C729" s="32"/>
      <c r="D729" s="32"/>
      <c r="E729" s="32"/>
      <c r="F729" s="32"/>
      <c r="G729" s="33"/>
      <c r="H729" s="33"/>
      <c r="I729" s="33"/>
      <c r="J729" s="33"/>
      <c r="K729" s="34"/>
      <c r="L729" s="33"/>
      <c r="M729" s="34"/>
      <c r="N729" s="34"/>
      <c r="O729" s="35"/>
    </row>
    <row r="730" spans="1:15">
      <c r="A730" s="32"/>
      <c r="B730" s="32"/>
      <c r="C730" s="32"/>
      <c r="D730" s="32"/>
      <c r="E730" s="32"/>
      <c r="F730" s="32"/>
      <c r="G730" s="33"/>
      <c r="H730" s="33"/>
      <c r="I730" s="33"/>
      <c r="J730" s="33"/>
      <c r="K730" s="34"/>
      <c r="L730" s="33"/>
      <c r="M730" s="34"/>
      <c r="N730" s="34"/>
      <c r="O730" s="35"/>
    </row>
    <row r="731" spans="1:15">
      <c r="A731" s="32"/>
      <c r="B731" s="32"/>
      <c r="C731" s="32"/>
      <c r="D731" s="32"/>
      <c r="E731" s="32"/>
      <c r="F731" s="32"/>
      <c r="G731" s="33"/>
      <c r="H731" s="33"/>
      <c r="I731" s="33"/>
      <c r="J731" s="33"/>
      <c r="K731" s="34"/>
      <c r="L731" s="33"/>
      <c r="M731" s="34"/>
      <c r="N731" s="34"/>
      <c r="O731" s="35"/>
    </row>
    <row r="732" spans="1:15">
      <c r="A732" s="32"/>
      <c r="B732" s="32"/>
      <c r="C732" s="32"/>
      <c r="D732" s="32"/>
      <c r="E732" s="32"/>
      <c r="F732" s="32"/>
      <c r="G732" s="33"/>
      <c r="H732" s="33"/>
      <c r="I732" s="33"/>
      <c r="J732" s="33"/>
      <c r="K732" s="34"/>
      <c r="L732" s="33"/>
      <c r="M732" s="34"/>
      <c r="N732" s="34"/>
      <c r="O732" s="35"/>
    </row>
    <row r="733" spans="1:15">
      <c r="A733" s="32"/>
      <c r="B733" s="32"/>
      <c r="C733" s="32"/>
      <c r="D733" s="32"/>
      <c r="E733" s="32"/>
      <c r="F733" s="32"/>
      <c r="G733" s="33"/>
      <c r="H733" s="33"/>
      <c r="I733" s="33"/>
      <c r="J733" s="33"/>
      <c r="K733" s="34"/>
      <c r="L733" s="33"/>
      <c r="M733" s="34"/>
      <c r="N733" s="34"/>
      <c r="O733" s="35"/>
    </row>
    <row r="734" spans="1:15">
      <c r="A734" s="32"/>
      <c r="B734" s="32"/>
      <c r="C734" s="32"/>
      <c r="D734" s="32"/>
      <c r="E734" s="32"/>
      <c r="F734" s="32"/>
      <c r="G734" s="33"/>
      <c r="H734" s="33"/>
      <c r="I734" s="33"/>
      <c r="J734" s="33"/>
      <c r="K734" s="34"/>
      <c r="L734" s="33"/>
      <c r="M734" s="34"/>
      <c r="N734" s="34"/>
      <c r="O734" s="35"/>
    </row>
    <row r="735" spans="1:15">
      <c r="A735" s="32"/>
      <c r="B735" s="32"/>
      <c r="C735" s="32"/>
      <c r="D735" s="32"/>
      <c r="E735" s="32"/>
      <c r="F735" s="32"/>
      <c r="G735" s="33"/>
      <c r="H735" s="33"/>
      <c r="I735" s="33"/>
      <c r="J735" s="33"/>
      <c r="K735" s="34"/>
      <c r="L735" s="33"/>
      <c r="M735" s="34"/>
      <c r="N735" s="34"/>
      <c r="O735" s="35"/>
    </row>
    <row r="736" spans="1:15">
      <c r="A736" s="32"/>
      <c r="B736" s="32"/>
      <c r="C736" s="32"/>
      <c r="D736" s="32"/>
      <c r="E736" s="32"/>
      <c r="F736" s="32"/>
      <c r="G736" s="33"/>
      <c r="H736" s="33"/>
      <c r="I736" s="33"/>
      <c r="J736" s="33"/>
      <c r="K736" s="34"/>
      <c r="L736" s="33"/>
      <c r="M736" s="34"/>
      <c r="N736" s="34"/>
      <c r="O736" s="35"/>
    </row>
    <row r="737" spans="1:15">
      <c r="A737" s="32"/>
      <c r="B737" s="32"/>
      <c r="C737" s="32"/>
      <c r="D737" s="32"/>
      <c r="E737" s="32"/>
      <c r="F737" s="32"/>
      <c r="G737" s="33"/>
      <c r="H737" s="33"/>
      <c r="I737" s="33"/>
      <c r="J737" s="33"/>
      <c r="K737" s="34"/>
      <c r="L737" s="33"/>
      <c r="M737" s="34"/>
      <c r="N737" s="34"/>
      <c r="O737" s="35"/>
    </row>
    <row r="738" spans="1:15">
      <c r="A738" s="32"/>
      <c r="B738" s="32"/>
      <c r="C738" s="32"/>
      <c r="D738" s="32"/>
      <c r="E738" s="32"/>
      <c r="F738" s="32"/>
      <c r="G738" s="33"/>
      <c r="H738" s="33"/>
      <c r="I738" s="33"/>
      <c r="J738" s="33"/>
      <c r="K738" s="34"/>
      <c r="L738" s="33"/>
      <c r="M738" s="34"/>
      <c r="N738" s="34"/>
      <c r="O738" s="35"/>
    </row>
    <row r="739" spans="1:15">
      <c r="A739" s="32"/>
      <c r="B739" s="32"/>
      <c r="C739" s="32"/>
      <c r="D739" s="32"/>
      <c r="E739" s="32"/>
      <c r="F739" s="32"/>
      <c r="G739" s="33"/>
      <c r="H739" s="33"/>
      <c r="I739" s="33"/>
      <c r="J739" s="33"/>
      <c r="K739" s="34"/>
      <c r="L739" s="33"/>
      <c r="M739" s="34"/>
      <c r="N739" s="34"/>
      <c r="O739" s="35"/>
    </row>
    <row r="740" spans="1:15">
      <c r="A740" s="32"/>
      <c r="B740" s="32"/>
      <c r="C740" s="32"/>
      <c r="D740" s="32"/>
      <c r="E740" s="32"/>
      <c r="F740" s="32"/>
      <c r="G740" s="33"/>
      <c r="H740" s="33"/>
      <c r="I740" s="33"/>
      <c r="J740" s="33"/>
      <c r="K740" s="34"/>
      <c r="L740" s="33"/>
      <c r="M740" s="34"/>
      <c r="N740" s="34"/>
      <c r="O740" s="35"/>
    </row>
    <row r="741" spans="1:15">
      <c r="A741" s="32"/>
      <c r="B741" s="32"/>
      <c r="C741" s="32"/>
      <c r="D741" s="32"/>
      <c r="E741" s="32"/>
      <c r="F741" s="32"/>
      <c r="G741" s="33"/>
      <c r="H741" s="33"/>
      <c r="I741" s="33"/>
      <c r="J741" s="33"/>
      <c r="K741" s="34"/>
      <c r="L741" s="33"/>
      <c r="M741" s="34"/>
      <c r="N741" s="34"/>
      <c r="O741" s="35"/>
    </row>
    <row r="742" spans="1:15">
      <c r="A742" s="32"/>
      <c r="B742" s="32"/>
      <c r="C742" s="32"/>
      <c r="D742" s="32"/>
      <c r="E742" s="32"/>
      <c r="F742" s="32"/>
      <c r="G742" s="33"/>
      <c r="H742" s="33"/>
      <c r="I742" s="33"/>
      <c r="J742" s="33"/>
      <c r="K742" s="34"/>
      <c r="L742" s="33"/>
      <c r="M742" s="34"/>
      <c r="N742" s="34"/>
      <c r="O742" s="35"/>
    </row>
    <row r="743" spans="1:15">
      <c r="A743" s="32"/>
      <c r="B743" s="32"/>
      <c r="C743" s="32"/>
      <c r="D743" s="32"/>
      <c r="E743" s="32"/>
      <c r="F743" s="32"/>
      <c r="G743" s="33"/>
      <c r="H743" s="33"/>
      <c r="I743" s="33"/>
      <c r="J743" s="33"/>
      <c r="K743" s="34"/>
      <c r="L743" s="33"/>
      <c r="M743" s="34"/>
      <c r="N743" s="34"/>
      <c r="O743" s="35"/>
    </row>
    <row r="744" spans="1:15">
      <c r="A744" s="32"/>
      <c r="B744" s="32"/>
      <c r="C744" s="32"/>
      <c r="D744" s="32"/>
      <c r="E744" s="32"/>
      <c r="F744" s="32"/>
      <c r="G744" s="33"/>
      <c r="H744" s="33"/>
      <c r="I744" s="33"/>
      <c r="J744" s="33"/>
      <c r="K744" s="34"/>
      <c r="L744" s="33"/>
      <c r="M744" s="34"/>
      <c r="N744" s="34"/>
      <c r="O744" s="35"/>
    </row>
    <row r="745" spans="1:15">
      <c r="A745" s="32"/>
      <c r="B745" s="32"/>
      <c r="C745" s="32"/>
      <c r="D745" s="32"/>
      <c r="E745" s="32"/>
      <c r="F745" s="32"/>
      <c r="G745" s="33"/>
      <c r="H745" s="33"/>
      <c r="I745" s="33"/>
      <c r="J745" s="33"/>
      <c r="K745" s="34"/>
      <c r="L745" s="33"/>
      <c r="M745" s="34"/>
      <c r="N745" s="34"/>
      <c r="O745" s="35"/>
    </row>
    <row r="746" spans="1:15">
      <c r="A746" s="32"/>
      <c r="B746" s="32"/>
      <c r="C746" s="32"/>
      <c r="D746" s="32"/>
      <c r="E746" s="32"/>
      <c r="F746" s="32"/>
      <c r="G746" s="33"/>
      <c r="H746" s="33"/>
      <c r="I746" s="33"/>
      <c r="J746" s="33"/>
      <c r="K746" s="34"/>
      <c r="L746" s="33"/>
      <c r="M746" s="34"/>
      <c r="N746" s="34"/>
      <c r="O746" s="35"/>
    </row>
    <row r="747" spans="1:15">
      <c r="A747" s="32"/>
      <c r="B747" s="32"/>
      <c r="C747" s="32"/>
      <c r="D747" s="32"/>
      <c r="E747" s="32"/>
      <c r="F747" s="32"/>
      <c r="G747" s="33"/>
      <c r="H747" s="33"/>
      <c r="I747" s="33"/>
      <c r="J747" s="33"/>
      <c r="K747" s="34"/>
      <c r="L747" s="33"/>
      <c r="M747" s="34"/>
      <c r="N747" s="34"/>
      <c r="O747" s="35"/>
    </row>
    <row r="748" spans="1:15">
      <c r="A748" s="32"/>
      <c r="B748" s="32"/>
      <c r="C748" s="32"/>
      <c r="D748" s="32"/>
      <c r="E748" s="32"/>
      <c r="F748" s="32"/>
      <c r="G748" s="33"/>
      <c r="H748" s="33"/>
      <c r="I748" s="33"/>
      <c r="J748" s="33"/>
      <c r="K748" s="34"/>
      <c r="L748" s="33"/>
      <c r="M748" s="34"/>
      <c r="N748" s="34"/>
      <c r="O748" s="35"/>
    </row>
    <row r="749" spans="1:15">
      <c r="A749" s="32"/>
      <c r="B749" s="32"/>
      <c r="C749" s="32"/>
      <c r="D749" s="32"/>
      <c r="E749" s="32"/>
      <c r="F749" s="32"/>
      <c r="G749" s="33"/>
      <c r="H749" s="33"/>
      <c r="I749" s="33"/>
      <c r="J749" s="33"/>
      <c r="K749" s="34"/>
      <c r="L749" s="33"/>
      <c r="M749" s="34"/>
      <c r="N749" s="34"/>
      <c r="O749" s="35"/>
    </row>
    <row r="750" spans="1:15">
      <c r="A750" s="32"/>
      <c r="B750" s="32"/>
      <c r="C750" s="32"/>
      <c r="D750" s="32"/>
      <c r="E750" s="32"/>
      <c r="F750" s="32"/>
      <c r="G750" s="33"/>
      <c r="H750" s="33"/>
      <c r="I750" s="33"/>
      <c r="J750" s="33"/>
      <c r="K750" s="34"/>
      <c r="L750" s="33"/>
      <c r="M750" s="34"/>
      <c r="N750" s="34"/>
      <c r="O750" s="35"/>
    </row>
    <row r="751" spans="1:15">
      <c r="A751" s="32"/>
      <c r="B751" s="32"/>
      <c r="C751" s="32"/>
      <c r="D751" s="32"/>
      <c r="E751" s="32"/>
      <c r="F751" s="32"/>
      <c r="G751" s="33"/>
      <c r="H751" s="33"/>
      <c r="I751" s="33"/>
      <c r="J751" s="33"/>
      <c r="K751" s="34"/>
      <c r="L751" s="33"/>
      <c r="M751" s="34"/>
      <c r="N751" s="34"/>
      <c r="O751" s="35"/>
    </row>
    <row r="752" spans="1:15">
      <c r="A752" s="32"/>
      <c r="B752" s="32"/>
      <c r="C752" s="32"/>
      <c r="D752" s="32"/>
      <c r="E752" s="32"/>
      <c r="F752" s="32"/>
      <c r="G752" s="33"/>
      <c r="H752" s="33"/>
      <c r="I752" s="33"/>
      <c r="J752" s="33"/>
      <c r="K752" s="34"/>
      <c r="L752" s="33"/>
      <c r="M752" s="34"/>
      <c r="N752" s="34"/>
      <c r="O752" s="35"/>
    </row>
    <row r="753" spans="1:15">
      <c r="A753" s="32"/>
      <c r="B753" s="32"/>
      <c r="C753" s="32"/>
      <c r="D753" s="32"/>
      <c r="E753" s="32"/>
      <c r="F753" s="32"/>
      <c r="G753" s="33"/>
      <c r="H753" s="33"/>
      <c r="I753" s="33"/>
      <c r="J753" s="33"/>
      <c r="K753" s="34"/>
      <c r="L753" s="33"/>
      <c r="M753" s="34"/>
      <c r="N753" s="34"/>
      <c r="O753" s="35"/>
    </row>
    <row r="754" spans="1:15">
      <c r="A754" s="32"/>
      <c r="B754" s="32"/>
      <c r="C754" s="32"/>
      <c r="D754" s="32"/>
      <c r="E754" s="32"/>
      <c r="F754" s="32"/>
      <c r="G754" s="33"/>
      <c r="H754" s="33"/>
      <c r="I754" s="33"/>
      <c r="J754" s="33"/>
      <c r="K754" s="34"/>
      <c r="L754" s="33"/>
      <c r="M754" s="34"/>
      <c r="N754" s="34"/>
      <c r="O754" s="35"/>
    </row>
    <row r="755" spans="1:15">
      <c r="A755" s="32"/>
      <c r="B755" s="32"/>
      <c r="C755" s="32"/>
      <c r="D755" s="32"/>
      <c r="E755" s="32"/>
      <c r="F755" s="32"/>
      <c r="G755" s="33"/>
      <c r="H755" s="33"/>
      <c r="I755" s="33"/>
      <c r="J755" s="33"/>
      <c r="K755" s="34"/>
      <c r="L755" s="33"/>
      <c r="M755" s="34"/>
      <c r="N755" s="34"/>
      <c r="O755" s="35"/>
    </row>
    <row r="756" spans="1:15">
      <c r="A756" s="32"/>
      <c r="B756" s="32"/>
      <c r="C756" s="32"/>
      <c r="D756" s="32"/>
      <c r="E756" s="32"/>
      <c r="F756" s="32"/>
      <c r="G756" s="33"/>
      <c r="H756" s="33"/>
      <c r="I756" s="33"/>
      <c r="J756" s="33"/>
      <c r="K756" s="34"/>
      <c r="L756" s="33"/>
      <c r="M756" s="34"/>
      <c r="N756" s="34"/>
      <c r="O756" s="35"/>
    </row>
    <row r="757" spans="1:15">
      <c r="A757" s="32"/>
      <c r="B757" s="32"/>
      <c r="C757" s="32"/>
      <c r="D757" s="32"/>
      <c r="E757" s="32"/>
      <c r="F757" s="32"/>
      <c r="G757" s="33"/>
      <c r="H757" s="33"/>
      <c r="I757" s="33"/>
      <c r="J757" s="33"/>
      <c r="K757" s="34"/>
      <c r="L757" s="33"/>
      <c r="M757" s="34"/>
      <c r="N757" s="34"/>
      <c r="O757" s="35"/>
    </row>
    <row r="758" spans="1:15">
      <c r="A758" s="32"/>
      <c r="B758" s="32"/>
      <c r="C758" s="32"/>
      <c r="D758" s="32"/>
      <c r="E758" s="32"/>
      <c r="F758" s="32"/>
      <c r="G758" s="33"/>
      <c r="H758" s="33"/>
      <c r="I758" s="33"/>
      <c r="J758" s="33"/>
      <c r="K758" s="34"/>
      <c r="L758" s="33"/>
      <c r="M758" s="34"/>
      <c r="N758" s="34"/>
      <c r="O758" s="35"/>
    </row>
    <row r="759" spans="1:15">
      <c r="A759" s="32"/>
      <c r="B759" s="32"/>
      <c r="C759" s="32"/>
      <c r="D759" s="32"/>
      <c r="E759" s="32"/>
      <c r="F759" s="32"/>
      <c r="G759" s="33"/>
      <c r="H759" s="33"/>
      <c r="I759" s="33"/>
      <c r="J759" s="33"/>
      <c r="K759" s="34"/>
      <c r="L759" s="33"/>
      <c r="M759" s="34"/>
      <c r="N759" s="34"/>
      <c r="O759" s="35"/>
    </row>
    <row r="760" spans="1:15">
      <c r="A760" s="32"/>
      <c r="B760" s="32"/>
      <c r="C760" s="32"/>
      <c r="D760" s="32"/>
      <c r="E760" s="32"/>
      <c r="F760" s="32"/>
      <c r="G760" s="33"/>
      <c r="H760" s="33"/>
      <c r="I760" s="33"/>
      <c r="J760" s="33"/>
      <c r="K760" s="34"/>
      <c r="L760" s="33"/>
      <c r="M760" s="34"/>
      <c r="N760" s="34"/>
      <c r="O760" s="35"/>
    </row>
    <row r="761" spans="1:15">
      <c r="A761" s="32"/>
      <c r="B761" s="32"/>
      <c r="C761" s="32"/>
      <c r="D761" s="32"/>
      <c r="E761" s="32"/>
      <c r="F761" s="32"/>
      <c r="G761" s="33"/>
      <c r="H761" s="33"/>
      <c r="I761" s="33"/>
      <c r="J761" s="33"/>
      <c r="K761" s="34"/>
      <c r="L761" s="33"/>
      <c r="M761" s="34"/>
      <c r="N761" s="34"/>
      <c r="O761" s="35"/>
    </row>
    <row r="762" spans="1:15">
      <c r="A762" s="32"/>
      <c r="B762" s="32"/>
      <c r="C762" s="32"/>
      <c r="D762" s="32"/>
      <c r="E762" s="32"/>
      <c r="F762" s="32"/>
      <c r="G762" s="33"/>
      <c r="H762" s="33"/>
      <c r="I762" s="33"/>
      <c r="J762" s="33"/>
      <c r="K762" s="34"/>
      <c r="L762" s="33"/>
      <c r="M762" s="34"/>
      <c r="N762" s="34"/>
      <c r="O762" s="35"/>
    </row>
    <row r="763" spans="1:15">
      <c r="A763" s="32"/>
      <c r="B763" s="32"/>
      <c r="C763" s="32"/>
      <c r="D763" s="32"/>
      <c r="E763" s="32"/>
      <c r="F763" s="32"/>
      <c r="G763" s="33"/>
      <c r="H763" s="33"/>
      <c r="I763" s="33"/>
      <c r="J763" s="33"/>
      <c r="K763" s="34"/>
      <c r="L763" s="33"/>
      <c r="M763" s="34"/>
      <c r="N763" s="34"/>
      <c r="O763" s="35"/>
    </row>
    <row r="764" spans="1:15">
      <c r="A764" s="32"/>
      <c r="B764" s="32"/>
      <c r="C764" s="32"/>
      <c r="D764" s="32"/>
      <c r="E764" s="32"/>
      <c r="F764" s="32"/>
      <c r="G764" s="33"/>
      <c r="H764" s="33"/>
      <c r="I764" s="33"/>
      <c r="J764" s="33"/>
      <c r="K764" s="34"/>
      <c r="L764" s="33"/>
      <c r="M764" s="34"/>
      <c r="N764" s="34"/>
      <c r="O764" s="35"/>
    </row>
    <row r="765" spans="1:15">
      <c r="A765" s="32"/>
      <c r="B765" s="32"/>
      <c r="C765" s="32"/>
      <c r="D765" s="32"/>
      <c r="E765" s="32"/>
      <c r="F765" s="32"/>
      <c r="G765" s="33"/>
      <c r="H765" s="33"/>
      <c r="I765" s="33"/>
      <c r="J765" s="33"/>
      <c r="K765" s="34"/>
      <c r="L765" s="33"/>
      <c r="M765" s="34"/>
      <c r="N765" s="34"/>
      <c r="O765" s="35"/>
    </row>
    <row r="766" spans="1:15">
      <c r="A766" s="32"/>
      <c r="B766" s="32"/>
      <c r="C766" s="32"/>
      <c r="D766" s="32"/>
      <c r="E766" s="32"/>
      <c r="F766" s="32"/>
      <c r="G766" s="33"/>
      <c r="H766" s="33"/>
      <c r="I766" s="33"/>
      <c r="J766" s="33"/>
      <c r="K766" s="34"/>
      <c r="L766" s="33"/>
      <c r="M766" s="34"/>
      <c r="N766" s="34"/>
      <c r="O766" s="35"/>
    </row>
    <row r="767" spans="1:15">
      <c r="A767" s="32"/>
      <c r="B767" s="32"/>
      <c r="C767" s="32"/>
      <c r="D767" s="32"/>
      <c r="E767" s="32"/>
      <c r="F767" s="32"/>
      <c r="G767" s="33"/>
      <c r="H767" s="33"/>
      <c r="I767" s="33"/>
      <c r="J767" s="33"/>
      <c r="K767" s="34"/>
      <c r="L767" s="33"/>
      <c r="M767" s="34"/>
      <c r="N767" s="34"/>
      <c r="O767" s="35"/>
    </row>
    <row r="768" spans="1:15">
      <c r="A768" s="32"/>
      <c r="B768" s="32"/>
      <c r="C768" s="32"/>
      <c r="D768" s="32"/>
      <c r="E768" s="32"/>
      <c r="F768" s="32"/>
      <c r="G768" s="33"/>
      <c r="H768" s="33"/>
      <c r="I768" s="33"/>
      <c r="J768" s="33"/>
      <c r="K768" s="34"/>
      <c r="L768" s="33"/>
      <c r="M768" s="34"/>
      <c r="N768" s="34"/>
      <c r="O768" s="35"/>
    </row>
    <row r="769" spans="1:15">
      <c r="A769" s="32"/>
      <c r="B769" s="32"/>
      <c r="C769" s="32"/>
      <c r="D769" s="32"/>
      <c r="E769" s="32"/>
      <c r="F769" s="32"/>
      <c r="G769" s="33"/>
      <c r="H769" s="33"/>
      <c r="I769" s="33"/>
      <c r="J769" s="33"/>
      <c r="K769" s="34"/>
      <c r="L769" s="33"/>
      <c r="M769" s="34"/>
      <c r="N769" s="34"/>
      <c r="O769" s="35"/>
    </row>
    <row r="770" spans="1:15">
      <c r="A770" s="32"/>
      <c r="B770" s="32"/>
      <c r="C770" s="32"/>
      <c r="D770" s="32"/>
      <c r="E770" s="32"/>
      <c r="F770" s="32"/>
      <c r="G770" s="33"/>
      <c r="H770" s="33"/>
      <c r="I770" s="33"/>
      <c r="J770" s="33"/>
      <c r="K770" s="34"/>
      <c r="L770" s="33"/>
      <c r="M770" s="34"/>
      <c r="N770" s="34"/>
      <c r="O770" s="35"/>
    </row>
    <row r="771" spans="1:15">
      <c r="A771" s="32"/>
      <c r="B771" s="32"/>
      <c r="C771" s="32"/>
      <c r="D771" s="32"/>
      <c r="E771" s="32"/>
      <c r="F771" s="32"/>
      <c r="G771" s="33"/>
      <c r="H771" s="33"/>
      <c r="I771" s="33"/>
      <c r="J771" s="33"/>
      <c r="K771" s="34"/>
      <c r="L771" s="33"/>
      <c r="M771" s="34"/>
      <c r="N771" s="34"/>
      <c r="O771" s="35"/>
    </row>
    <row r="772" spans="1:15">
      <c r="A772" s="32"/>
      <c r="B772" s="32"/>
      <c r="C772" s="32"/>
      <c r="D772" s="32"/>
      <c r="E772" s="32"/>
      <c r="F772" s="32"/>
      <c r="G772" s="33"/>
      <c r="H772" s="33"/>
      <c r="I772" s="33"/>
      <c r="J772" s="33"/>
      <c r="K772" s="34"/>
      <c r="L772" s="33"/>
      <c r="M772" s="34"/>
      <c r="N772" s="34"/>
      <c r="O772" s="35"/>
    </row>
    <row r="773" spans="1:15">
      <c r="A773" s="32"/>
      <c r="B773" s="32"/>
      <c r="C773" s="32"/>
      <c r="D773" s="32"/>
      <c r="E773" s="32"/>
      <c r="F773" s="32"/>
      <c r="G773" s="33"/>
      <c r="H773" s="33"/>
      <c r="I773" s="33"/>
      <c r="J773" s="33"/>
      <c r="K773" s="34"/>
      <c r="L773" s="33"/>
      <c r="M773" s="34"/>
      <c r="N773" s="34"/>
      <c r="O773" s="35"/>
    </row>
    <row r="774" spans="1:15">
      <c r="A774" s="32"/>
      <c r="B774" s="32"/>
      <c r="C774" s="32"/>
      <c r="D774" s="32"/>
      <c r="E774" s="32"/>
      <c r="F774" s="32"/>
      <c r="G774" s="33"/>
      <c r="H774" s="33"/>
      <c r="I774" s="33"/>
      <c r="J774" s="33"/>
      <c r="K774" s="34"/>
      <c r="L774" s="33"/>
      <c r="M774" s="34"/>
      <c r="N774" s="34"/>
      <c r="O774" s="35"/>
    </row>
    <row r="775" spans="1:15">
      <c r="A775" s="32"/>
      <c r="B775" s="32"/>
      <c r="C775" s="32"/>
      <c r="D775" s="32"/>
      <c r="E775" s="32"/>
      <c r="F775" s="32"/>
      <c r="G775" s="33"/>
      <c r="H775" s="33"/>
      <c r="I775" s="33"/>
      <c r="J775" s="33"/>
      <c r="K775" s="34"/>
      <c r="L775" s="33"/>
      <c r="M775" s="34"/>
      <c r="N775" s="34"/>
      <c r="O775" s="35"/>
    </row>
    <row r="776" spans="1:15">
      <c r="A776" s="32"/>
      <c r="B776" s="32"/>
      <c r="C776" s="32"/>
      <c r="D776" s="32"/>
      <c r="E776" s="32"/>
      <c r="F776" s="32"/>
      <c r="G776" s="33"/>
      <c r="H776" s="33"/>
      <c r="I776" s="33"/>
      <c r="J776" s="33"/>
      <c r="K776" s="34"/>
      <c r="L776" s="33"/>
      <c r="M776" s="34"/>
      <c r="N776" s="34"/>
      <c r="O776" s="35"/>
    </row>
    <row r="777" spans="1:15">
      <c r="A777" s="32"/>
      <c r="B777" s="32"/>
      <c r="C777" s="32"/>
      <c r="D777" s="32"/>
      <c r="E777" s="32"/>
      <c r="F777" s="32"/>
      <c r="G777" s="33"/>
      <c r="H777" s="33"/>
      <c r="I777" s="33"/>
      <c r="J777" s="33"/>
      <c r="K777" s="34"/>
      <c r="L777" s="33"/>
      <c r="M777" s="34"/>
      <c r="N777" s="34"/>
      <c r="O777" s="35"/>
    </row>
    <row r="778" spans="1:15">
      <c r="A778" s="32"/>
      <c r="B778" s="32"/>
      <c r="C778" s="32"/>
      <c r="D778" s="32"/>
      <c r="E778" s="32"/>
      <c r="F778" s="32"/>
      <c r="G778" s="33"/>
      <c r="H778" s="33"/>
      <c r="I778" s="33"/>
      <c r="J778" s="33"/>
      <c r="K778" s="34"/>
      <c r="L778" s="33"/>
      <c r="M778" s="34"/>
      <c r="N778" s="34"/>
      <c r="O778" s="35"/>
    </row>
    <row r="779" spans="1:15">
      <c r="A779" s="32"/>
      <c r="B779" s="32"/>
      <c r="C779" s="32"/>
      <c r="D779" s="32"/>
      <c r="E779" s="32"/>
      <c r="F779" s="32"/>
      <c r="G779" s="33"/>
      <c r="H779" s="33"/>
      <c r="I779" s="33"/>
      <c r="J779" s="33"/>
      <c r="K779" s="34"/>
      <c r="L779" s="33"/>
      <c r="M779" s="34"/>
      <c r="N779" s="34"/>
      <c r="O779" s="35"/>
    </row>
    <row r="780" spans="1:15">
      <c r="A780" s="32"/>
      <c r="B780" s="32"/>
      <c r="C780" s="32"/>
      <c r="D780" s="32"/>
      <c r="E780" s="32"/>
      <c r="F780" s="32"/>
      <c r="G780" s="33"/>
      <c r="H780" s="33"/>
      <c r="I780" s="33"/>
      <c r="J780" s="33"/>
      <c r="K780" s="34"/>
      <c r="L780" s="33"/>
      <c r="M780" s="34"/>
      <c r="N780" s="34"/>
      <c r="O780" s="35"/>
    </row>
    <row r="781" spans="1:15">
      <c r="A781" s="32"/>
      <c r="B781" s="32"/>
      <c r="C781" s="32"/>
      <c r="D781" s="32"/>
      <c r="E781" s="32"/>
      <c r="F781" s="32"/>
      <c r="G781" s="33"/>
      <c r="H781" s="33"/>
      <c r="I781" s="33"/>
      <c r="J781" s="33"/>
      <c r="K781" s="34"/>
      <c r="L781" s="33"/>
      <c r="M781" s="34"/>
      <c r="N781" s="34"/>
      <c r="O781" s="35"/>
    </row>
    <row r="782" spans="1:15">
      <c r="A782" s="32"/>
      <c r="B782" s="32"/>
      <c r="C782" s="32"/>
      <c r="D782" s="32"/>
      <c r="E782" s="32"/>
      <c r="F782" s="32"/>
      <c r="G782" s="33"/>
      <c r="H782" s="33"/>
      <c r="I782" s="33"/>
      <c r="J782" s="33"/>
      <c r="K782" s="34"/>
      <c r="L782" s="33"/>
      <c r="M782" s="34"/>
      <c r="N782" s="34"/>
      <c r="O782" s="35"/>
    </row>
    <row r="783" spans="1:15">
      <c r="A783" s="32"/>
      <c r="B783" s="32"/>
      <c r="C783" s="32"/>
      <c r="D783" s="32"/>
      <c r="E783" s="32"/>
      <c r="F783" s="32"/>
      <c r="G783" s="33"/>
      <c r="H783" s="33"/>
      <c r="I783" s="33"/>
      <c r="J783" s="33"/>
      <c r="K783" s="34"/>
      <c r="L783" s="33"/>
      <c r="M783" s="34"/>
      <c r="N783" s="34"/>
      <c r="O783" s="35"/>
    </row>
    <row r="784" spans="1:15">
      <c r="A784" s="32"/>
      <c r="B784" s="32"/>
      <c r="C784" s="32"/>
      <c r="D784" s="32"/>
      <c r="E784" s="32"/>
      <c r="F784" s="32"/>
      <c r="G784" s="33"/>
      <c r="H784" s="33"/>
      <c r="I784" s="33"/>
      <c r="J784" s="33"/>
      <c r="K784" s="34"/>
      <c r="L784" s="33"/>
      <c r="M784" s="34"/>
      <c r="N784" s="34"/>
      <c r="O784" s="35"/>
    </row>
    <row r="785" spans="1:15">
      <c r="A785" s="32"/>
      <c r="B785" s="32"/>
      <c r="C785" s="32"/>
      <c r="D785" s="32"/>
      <c r="E785" s="32"/>
      <c r="F785" s="32"/>
      <c r="G785" s="33"/>
      <c r="H785" s="33"/>
      <c r="I785" s="33"/>
      <c r="J785" s="33"/>
      <c r="K785" s="34"/>
      <c r="L785" s="33"/>
      <c r="M785" s="34"/>
      <c r="N785" s="34"/>
      <c r="O785" s="35"/>
    </row>
    <row r="786" spans="1:15">
      <c r="A786" s="32"/>
      <c r="B786" s="32"/>
      <c r="C786" s="32"/>
      <c r="D786" s="32"/>
      <c r="E786" s="32"/>
      <c r="F786" s="32"/>
      <c r="G786" s="33"/>
      <c r="H786" s="33"/>
      <c r="I786" s="33"/>
      <c r="J786" s="33"/>
      <c r="K786" s="34"/>
      <c r="L786" s="33"/>
      <c r="M786" s="34"/>
      <c r="N786" s="34"/>
      <c r="O786" s="35"/>
    </row>
    <row r="787" spans="1:15">
      <c r="A787" s="32"/>
      <c r="B787" s="32"/>
      <c r="C787" s="32"/>
      <c r="D787" s="32"/>
      <c r="E787" s="32"/>
      <c r="F787" s="32"/>
      <c r="G787" s="33"/>
      <c r="H787" s="33"/>
      <c r="I787" s="33"/>
      <c r="J787" s="33"/>
      <c r="K787" s="34"/>
      <c r="L787" s="33"/>
      <c r="M787" s="34"/>
      <c r="N787" s="34"/>
      <c r="O787" s="35"/>
    </row>
    <row r="788" spans="1:15">
      <c r="A788" s="32"/>
      <c r="B788" s="32"/>
      <c r="C788" s="32"/>
      <c r="D788" s="32"/>
      <c r="E788" s="32"/>
      <c r="F788" s="32"/>
      <c r="G788" s="33"/>
      <c r="H788" s="33"/>
      <c r="I788" s="33"/>
      <c r="J788" s="33"/>
      <c r="K788" s="34"/>
      <c r="L788" s="33"/>
      <c r="M788" s="34"/>
      <c r="N788" s="34"/>
      <c r="O788" s="35"/>
    </row>
    <row r="789" spans="1:15">
      <c r="A789" s="32"/>
      <c r="B789" s="32"/>
      <c r="C789" s="32"/>
      <c r="D789" s="32"/>
      <c r="E789" s="32"/>
      <c r="F789" s="32"/>
      <c r="G789" s="33"/>
      <c r="H789" s="33"/>
      <c r="I789" s="33"/>
      <c r="J789" s="33"/>
      <c r="K789" s="34"/>
      <c r="L789" s="33"/>
      <c r="M789" s="34"/>
      <c r="N789" s="34"/>
      <c r="O789" s="35"/>
    </row>
    <row r="790" spans="1:15">
      <c r="A790" s="32"/>
      <c r="B790" s="32"/>
      <c r="C790" s="32"/>
      <c r="D790" s="32"/>
      <c r="E790" s="32"/>
      <c r="F790" s="32"/>
      <c r="G790" s="33"/>
      <c r="H790" s="33"/>
      <c r="I790" s="33"/>
      <c r="J790" s="33"/>
      <c r="K790" s="34"/>
      <c r="L790" s="33"/>
      <c r="M790" s="34"/>
      <c r="N790" s="34"/>
      <c r="O790" s="35"/>
    </row>
    <row r="791" spans="1:15">
      <c r="A791" s="32"/>
      <c r="B791" s="32"/>
      <c r="C791" s="32"/>
      <c r="D791" s="32"/>
      <c r="E791" s="32"/>
      <c r="F791" s="32"/>
      <c r="G791" s="33"/>
      <c r="H791" s="33"/>
      <c r="I791" s="33"/>
      <c r="J791" s="33"/>
      <c r="K791" s="34"/>
      <c r="L791" s="33"/>
      <c r="M791" s="34"/>
      <c r="N791" s="34"/>
      <c r="O791" s="35"/>
    </row>
    <row r="792" spans="1:15">
      <c r="A792" s="32"/>
      <c r="B792" s="32"/>
      <c r="C792" s="32"/>
      <c r="D792" s="32"/>
      <c r="E792" s="32"/>
      <c r="F792" s="32"/>
      <c r="G792" s="33"/>
      <c r="H792" s="33"/>
      <c r="I792" s="33"/>
      <c r="J792" s="33"/>
      <c r="K792" s="34"/>
      <c r="L792" s="33"/>
      <c r="M792" s="34"/>
      <c r="N792" s="34"/>
      <c r="O792" s="35"/>
    </row>
    <row r="793" spans="1:15">
      <c r="A793" s="32"/>
      <c r="B793" s="32"/>
      <c r="C793" s="32"/>
      <c r="D793" s="32"/>
      <c r="E793" s="32"/>
      <c r="F793" s="32"/>
      <c r="G793" s="33"/>
      <c r="H793" s="33"/>
      <c r="I793" s="33"/>
      <c r="J793" s="33"/>
      <c r="K793" s="34"/>
      <c r="L793" s="33"/>
      <c r="M793" s="34"/>
      <c r="N793" s="34"/>
      <c r="O793" s="35"/>
    </row>
    <row r="794" spans="1:15">
      <c r="A794" s="32"/>
      <c r="B794" s="32"/>
      <c r="C794" s="32"/>
      <c r="D794" s="32"/>
      <c r="E794" s="32"/>
      <c r="F794" s="32"/>
      <c r="G794" s="33"/>
      <c r="H794" s="33"/>
      <c r="I794" s="33"/>
      <c r="J794" s="33"/>
      <c r="K794" s="34"/>
      <c r="L794" s="33"/>
      <c r="M794" s="34"/>
      <c r="N794" s="34"/>
      <c r="O794" s="35"/>
    </row>
    <row r="795" spans="1:15">
      <c r="A795" s="32"/>
      <c r="B795" s="32"/>
      <c r="C795" s="32"/>
      <c r="D795" s="32"/>
      <c r="E795" s="32"/>
      <c r="F795" s="32"/>
      <c r="G795" s="33"/>
      <c r="H795" s="33"/>
      <c r="I795" s="33"/>
      <c r="J795" s="33"/>
      <c r="K795" s="34"/>
      <c r="L795" s="33"/>
      <c r="M795" s="34"/>
      <c r="N795" s="34"/>
      <c r="O795" s="35"/>
    </row>
    <row r="796" spans="1:15">
      <c r="A796" s="32"/>
      <c r="B796" s="32"/>
      <c r="C796" s="32"/>
      <c r="D796" s="32"/>
      <c r="E796" s="32"/>
      <c r="F796" s="32"/>
      <c r="G796" s="33"/>
      <c r="H796" s="33"/>
      <c r="I796" s="33"/>
      <c r="J796" s="33"/>
      <c r="K796" s="34"/>
      <c r="L796" s="33"/>
      <c r="M796" s="34"/>
      <c r="N796" s="34"/>
      <c r="O796" s="35"/>
    </row>
    <row r="797" spans="1:15">
      <c r="A797" s="32"/>
      <c r="B797" s="32"/>
      <c r="C797" s="32"/>
      <c r="D797" s="32"/>
      <c r="E797" s="32"/>
      <c r="F797" s="32"/>
      <c r="G797" s="33"/>
      <c r="H797" s="33"/>
      <c r="I797" s="33"/>
      <c r="J797" s="33"/>
      <c r="K797" s="34"/>
      <c r="L797" s="33"/>
      <c r="M797" s="34"/>
      <c r="N797" s="34"/>
      <c r="O797" s="35"/>
    </row>
    <row r="798" spans="1:15">
      <c r="A798" s="32"/>
      <c r="B798" s="32"/>
      <c r="C798" s="32"/>
      <c r="D798" s="32"/>
      <c r="E798" s="32"/>
      <c r="F798" s="32"/>
      <c r="G798" s="33"/>
      <c r="H798" s="33"/>
      <c r="I798" s="33"/>
      <c r="J798" s="33"/>
      <c r="K798" s="34"/>
      <c r="L798" s="33"/>
      <c r="M798" s="34"/>
      <c r="N798" s="34"/>
      <c r="O798" s="35"/>
    </row>
    <row r="799" spans="1:15">
      <c r="A799" s="32"/>
      <c r="B799" s="32"/>
      <c r="C799" s="32"/>
      <c r="D799" s="32"/>
      <c r="E799" s="32"/>
      <c r="F799" s="32"/>
      <c r="G799" s="33"/>
      <c r="H799" s="33"/>
      <c r="I799" s="33"/>
      <c r="J799" s="33"/>
      <c r="K799" s="34"/>
      <c r="L799" s="33"/>
      <c r="M799" s="34"/>
      <c r="N799" s="34"/>
      <c r="O799" s="35"/>
    </row>
    <row r="800" spans="1:15">
      <c r="A800" s="32"/>
      <c r="B800" s="32"/>
      <c r="C800" s="32"/>
      <c r="D800" s="32"/>
      <c r="E800" s="32"/>
      <c r="F800" s="32"/>
      <c r="G800" s="33"/>
      <c r="H800" s="33"/>
      <c r="I800" s="33"/>
      <c r="J800" s="33"/>
      <c r="K800" s="34"/>
      <c r="L800" s="33"/>
      <c r="M800" s="34"/>
      <c r="N800" s="34"/>
      <c r="O800" s="35"/>
    </row>
    <row r="801" spans="1:15">
      <c r="A801" s="32"/>
      <c r="B801" s="32"/>
      <c r="C801" s="32"/>
      <c r="D801" s="32"/>
      <c r="E801" s="32"/>
      <c r="F801" s="32"/>
      <c r="G801" s="33"/>
      <c r="H801" s="33"/>
      <c r="I801" s="33"/>
      <c r="J801" s="33"/>
      <c r="K801" s="34"/>
      <c r="L801" s="33"/>
      <c r="M801" s="34"/>
      <c r="N801" s="34"/>
      <c r="O801" s="35"/>
    </row>
    <row r="802" spans="1:15">
      <c r="A802" s="32"/>
      <c r="B802" s="32"/>
      <c r="C802" s="32"/>
      <c r="D802" s="32"/>
      <c r="E802" s="32"/>
      <c r="F802" s="32"/>
      <c r="G802" s="33"/>
      <c r="H802" s="33"/>
      <c r="I802" s="33"/>
      <c r="J802" s="33"/>
      <c r="K802" s="34"/>
      <c r="L802" s="33"/>
      <c r="M802" s="34"/>
      <c r="N802" s="34"/>
      <c r="O802" s="35"/>
    </row>
    <row r="803" spans="1:15">
      <c r="A803" s="32"/>
      <c r="B803" s="32"/>
      <c r="C803" s="32"/>
      <c r="D803" s="32"/>
      <c r="E803" s="32"/>
      <c r="F803" s="32"/>
      <c r="G803" s="33"/>
      <c r="H803" s="33"/>
      <c r="I803" s="33"/>
      <c r="J803" s="33"/>
      <c r="K803" s="34"/>
      <c r="L803" s="33"/>
      <c r="M803" s="34"/>
      <c r="N803" s="34"/>
      <c r="O803" s="35"/>
    </row>
    <row r="804" spans="1:15">
      <c r="A804" s="32"/>
      <c r="B804" s="32"/>
      <c r="C804" s="32"/>
      <c r="D804" s="32"/>
      <c r="E804" s="32"/>
      <c r="F804" s="32"/>
      <c r="G804" s="33"/>
      <c r="H804" s="33"/>
      <c r="I804" s="33"/>
      <c r="J804" s="33"/>
      <c r="K804" s="34"/>
      <c r="L804" s="33"/>
      <c r="M804" s="34"/>
      <c r="N804" s="34"/>
      <c r="O804" s="35"/>
    </row>
    <row r="805" spans="1:15">
      <c r="A805" s="32"/>
      <c r="B805" s="32"/>
      <c r="C805" s="32"/>
      <c r="D805" s="32"/>
      <c r="E805" s="32"/>
      <c r="F805" s="32"/>
      <c r="G805" s="33"/>
      <c r="H805" s="33"/>
      <c r="I805" s="33"/>
      <c r="J805" s="33"/>
      <c r="K805" s="34"/>
      <c r="L805" s="33"/>
      <c r="M805" s="34"/>
      <c r="N805" s="34"/>
      <c r="O805" s="35"/>
    </row>
    <row r="806" spans="1:15">
      <c r="A806" s="32"/>
      <c r="B806" s="32"/>
      <c r="C806" s="32"/>
      <c r="D806" s="32"/>
      <c r="E806" s="32"/>
      <c r="F806" s="32"/>
      <c r="G806" s="33"/>
      <c r="H806" s="33"/>
      <c r="I806" s="33"/>
      <c r="J806" s="33"/>
      <c r="K806" s="34"/>
      <c r="L806" s="33"/>
      <c r="M806" s="34"/>
      <c r="N806" s="34"/>
      <c r="O806" s="35"/>
    </row>
    <row r="807" spans="1:15">
      <c r="A807" s="32"/>
      <c r="B807" s="32"/>
      <c r="C807" s="32"/>
      <c r="D807" s="32"/>
      <c r="E807" s="32"/>
      <c r="F807" s="32"/>
      <c r="G807" s="33"/>
      <c r="H807" s="33"/>
      <c r="I807" s="33"/>
      <c r="J807" s="33"/>
      <c r="K807" s="34"/>
      <c r="L807" s="33"/>
      <c r="M807" s="34"/>
      <c r="N807" s="34"/>
      <c r="O807" s="35"/>
    </row>
    <row r="808" spans="1:15">
      <c r="A808" s="32"/>
      <c r="B808" s="32"/>
      <c r="C808" s="32"/>
      <c r="D808" s="32"/>
      <c r="E808" s="32"/>
      <c r="F808" s="32"/>
      <c r="G808" s="33"/>
      <c r="H808" s="33"/>
      <c r="I808" s="33"/>
      <c r="J808" s="33"/>
      <c r="K808" s="34"/>
      <c r="L808" s="33"/>
      <c r="M808" s="34"/>
      <c r="N808" s="34"/>
      <c r="O808" s="35"/>
    </row>
    <row r="809" spans="1:15">
      <c r="A809" s="32"/>
      <c r="B809" s="32"/>
      <c r="C809" s="32"/>
      <c r="D809" s="32"/>
      <c r="E809" s="32"/>
      <c r="F809" s="32"/>
      <c r="G809" s="33"/>
      <c r="H809" s="33"/>
      <c r="I809" s="33"/>
      <c r="J809" s="33"/>
      <c r="K809" s="34"/>
      <c r="L809" s="33"/>
      <c r="M809" s="34"/>
      <c r="N809" s="34"/>
      <c r="O809" s="35"/>
    </row>
    <row r="810" spans="1:15">
      <c r="A810" s="32"/>
      <c r="B810" s="32"/>
      <c r="C810" s="32"/>
      <c r="D810" s="32"/>
      <c r="E810" s="32"/>
      <c r="F810" s="32"/>
      <c r="G810" s="33"/>
      <c r="H810" s="33"/>
      <c r="I810" s="33"/>
      <c r="J810" s="33"/>
      <c r="K810" s="34"/>
      <c r="L810" s="33"/>
      <c r="M810" s="34"/>
      <c r="N810" s="34"/>
      <c r="O810" s="35"/>
    </row>
    <row r="811" spans="1:15">
      <c r="A811" s="32"/>
      <c r="B811" s="32"/>
      <c r="C811" s="32"/>
      <c r="D811" s="32"/>
      <c r="E811" s="32"/>
      <c r="F811" s="32"/>
      <c r="G811" s="33"/>
      <c r="H811" s="33"/>
      <c r="I811" s="33"/>
      <c r="J811" s="33"/>
      <c r="K811" s="34"/>
      <c r="L811" s="33"/>
      <c r="M811" s="34"/>
      <c r="N811" s="34"/>
      <c r="O811" s="35"/>
    </row>
    <row r="812" spans="1:15">
      <c r="A812" s="32"/>
      <c r="B812" s="32"/>
      <c r="C812" s="32"/>
      <c r="D812" s="32"/>
      <c r="E812" s="32"/>
      <c r="F812" s="32"/>
      <c r="G812" s="33"/>
      <c r="H812" s="33"/>
      <c r="I812" s="33"/>
      <c r="J812" s="33"/>
      <c r="K812" s="34"/>
      <c r="L812" s="33"/>
      <c r="M812" s="34"/>
      <c r="N812" s="34"/>
      <c r="O812" s="35"/>
    </row>
    <row r="813" spans="1:15">
      <c r="A813" s="32"/>
      <c r="B813" s="32"/>
      <c r="C813" s="32"/>
      <c r="D813" s="32"/>
      <c r="E813" s="32"/>
      <c r="F813" s="32"/>
      <c r="G813" s="33"/>
      <c r="H813" s="33"/>
      <c r="I813" s="33"/>
      <c r="J813" s="33"/>
      <c r="K813" s="34"/>
      <c r="L813" s="33"/>
      <c r="M813" s="34"/>
      <c r="N813" s="34"/>
      <c r="O813" s="35"/>
    </row>
    <row r="814" spans="1:15">
      <c r="A814" s="32"/>
      <c r="B814" s="32"/>
      <c r="C814" s="32"/>
      <c r="D814" s="32"/>
      <c r="E814" s="32"/>
      <c r="F814" s="32"/>
      <c r="G814" s="33"/>
      <c r="H814" s="33"/>
      <c r="I814" s="33"/>
      <c r="J814" s="33"/>
      <c r="K814" s="34"/>
      <c r="L814" s="33"/>
      <c r="M814" s="34"/>
      <c r="N814" s="34"/>
      <c r="O814" s="35"/>
    </row>
    <row r="815" spans="1:15">
      <c r="A815" s="32"/>
      <c r="B815" s="32"/>
      <c r="C815" s="32"/>
      <c r="D815" s="32"/>
      <c r="E815" s="32"/>
      <c r="F815" s="32"/>
      <c r="G815" s="33"/>
      <c r="H815" s="33"/>
      <c r="I815" s="33"/>
      <c r="J815" s="33"/>
      <c r="K815" s="34"/>
      <c r="L815" s="33"/>
      <c r="M815" s="34"/>
      <c r="N815" s="34"/>
      <c r="O815" s="35"/>
    </row>
    <row r="816" spans="1:15">
      <c r="A816" s="32"/>
      <c r="B816" s="32"/>
      <c r="C816" s="32"/>
      <c r="D816" s="32"/>
      <c r="E816" s="32"/>
      <c r="F816" s="32"/>
      <c r="G816" s="33"/>
      <c r="H816" s="33"/>
      <c r="I816" s="33"/>
      <c r="J816" s="33"/>
      <c r="K816" s="34"/>
      <c r="L816" s="33"/>
      <c r="M816" s="34"/>
      <c r="N816" s="34"/>
      <c r="O816" s="35"/>
    </row>
    <row r="817" spans="1:15">
      <c r="A817" s="32"/>
      <c r="B817" s="32"/>
      <c r="C817" s="32"/>
      <c r="D817" s="32"/>
      <c r="E817" s="32"/>
      <c r="F817" s="32"/>
      <c r="G817" s="33"/>
      <c r="H817" s="33"/>
      <c r="I817" s="33"/>
      <c r="J817" s="33"/>
      <c r="K817" s="34"/>
      <c r="L817" s="33"/>
      <c r="M817" s="34"/>
      <c r="N817" s="34"/>
      <c r="O817" s="35"/>
    </row>
    <row r="818" spans="1:15">
      <c r="A818" s="32"/>
      <c r="B818" s="32"/>
      <c r="C818" s="32"/>
      <c r="D818" s="32"/>
      <c r="E818" s="32"/>
      <c r="F818" s="32"/>
      <c r="G818" s="33"/>
      <c r="H818" s="33"/>
      <c r="I818" s="33"/>
      <c r="J818" s="33"/>
      <c r="K818" s="34"/>
      <c r="L818" s="33"/>
      <c r="M818" s="34"/>
      <c r="N818" s="34"/>
      <c r="O818" s="35"/>
    </row>
    <row r="819" spans="1:15">
      <c r="A819" s="32"/>
      <c r="B819" s="32"/>
      <c r="C819" s="32"/>
      <c r="D819" s="32"/>
      <c r="E819" s="32"/>
      <c r="F819" s="32"/>
      <c r="G819" s="33"/>
      <c r="H819" s="33"/>
      <c r="I819" s="33"/>
      <c r="J819" s="33"/>
      <c r="K819" s="34"/>
      <c r="L819" s="33"/>
      <c r="M819" s="34"/>
      <c r="N819" s="34"/>
      <c r="O819" s="35"/>
    </row>
    <row r="820" spans="1:15">
      <c r="A820" s="32"/>
      <c r="B820" s="32"/>
      <c r="C820" s="32"/>
      <c r="D820" s="32"/>
      <c r="E820" s="32"/>
      <c r="F820" s="32"/>
      <c r="G820" s="33"/>
      <c r="H820" s="33"/>
      <c r="I820" s="33"/>
      <c r="J820" s="33"/>
      <c r="K820" s="34"/>
      <c r="L820" s="33"/>
      <c r="M820" s="34"/>
      <c r="N820" s="34"/>
      <c r="O820" s="35"/>
    </row>
    <row r="821" spans="1:15">
      <c r="A821" s="32"/>
      <c r="B821" s="32"/>
      <c r="C821" s="32"/>
      <c r="D821" s="32"/>
      <c r="E821" s="32"/>
      <c r="F821" s="32"/>
      <c r="G821" s="33"/>
      <c r="H821" s="33"/>
      <c r="I821" s="33"/>
      <c r="J821" s="33"/>
      <c r="K821" s="34"/>
      <c r="L821" s="33"/>
      <c r="M821" s="34"/>
      <c r="N821" s="34"/>
      <c r="O821" s="35"/>
    </row>
    <row r="822" spans="1:15">
      <c r="A822" s="32"/>
      <c r="B822" s="32"/>
      <c r="C822" s="32"/>
      <c r="D822" s="32"/>
      <c r="E822" s="32"/>
      <c r="F822" s="32"/>
      <c r="G822" s="33"/>
      <c r="H822" s="33"/>
      <c r="I822" s="33"/>
      <c r="J822" s="33"/>
      <c r="K822" s="34"/>
      <c r="L822" s="33"/>
      <c r="M822" s="34"/>
      <c r="N822" s="34"/>
      <c r="O822" s="35"/>
    </row>
    <row r="823" spans="1:15">
      <c r="A823" s="32"/>
      <c r="B823" s="32"/>
      <c r="C823" s="32"/>
      <c r="D823" s="32"/>
      <c r="E823" s="32"/>
      <c r="F823" s="32"/>
      <c r="G823" s="33"/>
      <c r="H823" s="33"/>
      <c r="I823" s="33"/>
      <c r="J823" s="33"/>
      <c r="K823" s="34"/>
      <c r="L823" s="33"/>
      <c r="M823" s="34"/>
      <c r="N823" s="34"/>
      <c r="O823" s="35"/>
    </row>
    <row r="824" spans="1:15">
      <c r="A824" s="32"/>
      <c r="B824" s="32"/>
      <c r="C824" s="32"/>
      <c r="D824" s="32"/>
      <c r="E824" s="32"/>
      <c r="F824" s="32"/>
      <c r="G824" s="33"/>
      <c r="H824" s="33"/>
      <c r="I824" s="33"/>
      <c r="J824" s="33"/>
      <c r="K824" s="34"/>
      <c r="L824" s="33"/>
      <c r="M824" s="34"/>
      <c r="N824" s="34"/>
      <c r="O824" s="35"/>
    </row>
    <row r="825" spans="1:15">
      <c r="A825" s="32"/>
      <c r="B825" s="32"/>
      <c r="C825" s="32"/>
      <c r="D825" s="32"/>
      <c r="E825" s="32"/>
      <c r="F825" s="32"/>
      <c r="G825" s="33"/>
      <c r="H825" s="33"/>
      <c r="I825" s="33"/>
      <c r="J825" s="33"/>
      <c r="K825" s="34"/>
      <c r="L825" s="33"/>
      <c r="M825" s="34"/>
      <c r="N825" s="34"/>
      <c r="O825" s="35"/>
    </row>
    <row r="826" spans="1:15">
      <c r="A826" s="32"/>
      <c r="B826" s="32"/>
      <c r="C826" s="32"/>
      <c r="D826" s="32"/>
      <c r="E826" s="32"/>
      <c r="F826" s="32"/>
      <c r="G826" s="33"/>
      <c r="H826" s="33"/>
      <c r="I826" s="33"/>
      <c r="J826" s="33"/>
      <c r="K826" s="34"/>
      <c r="L826" s="33"/>
      <c r="M826" s="34"/>
      <c r="N826" s="34"/>
      <c r="O826" s="35"/>
    </row>
    <row r="827" spans="1:15">
      <c r="A827" s="32"/>
      <c r="B827" s="32"/>
      <c r="C827" s="32"/>
      <c r="D827" s="32"/>
      <c r="E827" s="32"/>
      <c r="F827" s="32"/>
      <c r="G827" s="33"/>
      <c r="H827" s="33"/>
      <c r="I827" s="33"/>
      <c r="J827" s="33"/>
      <c r="K827" s="34"/>
      <c r="L827" s="33"/>
      <c r="M827" s="34"/>
      <c r="N827" s="34"/>
      <c r="O827" s="35"/>
    </row>
    <row r="828" spans="1:15">
      <c r="A828" s="32"/>
      <c r="B828" s="32"/>
      <c r="C828" s="32"/>
      <c r="D828" s="32"/>
      <c r="E828" s="32"/>
      <c r="F828" s="32"/>
      <c r="G828" s="33"/>
      <c r="H828" s="33"/>
      <c r="I828" s="33"/>
      <c r="J828" s="33"/>
      <c r="K828" s="34"/>
      <c r="L828" s="33"/>
      <c r="M828" s="34"/>
      <c r="N828" s="34"/>
      <c r="O828" s="35"/>
    </row>
    <row r="829" spans="1:15">
      <c r="A829" s="32"/>
      <c r="B829" s="32"/>
      <c r="C829" s="32"/>
      <c r="D829" s="32"/>
      <c r="E829" s="32"/>
      <c r="F829" s="32"/>
      <c r="G829" s="33"/>
      <c r="H829" s="33"/>
      <c r="I829" s="33"/>
      <c r="J829" s="33"/>
      <c r="K829" s="34"/>
      <c r="L829" s="33"/>
      <c r="M829" s="34"/>
      <c r="N829" s="34"/>
      <c r="O829" s="35"/>
    </row>
    <row r="830" spans="1:15">
      <c r="A830" s="32"/>
      <c r="B830" s="32"/>
      <c r="C830" s="32"/>
      <c r="D830" s="32"/>
      <c r="E830" s="32"/>
      <c r="F830" s="32"/>
      <c r="G830" s="33"/>
      <c r="H830" s="33"/>
      <c r="I830" s="33"/>
      <c r="J830" s="33"/>
      <c r="K830" s="34"/>
      <c r="L830" s="33"/>
      <c r="M830" s="34"/>
      <c r="N830" s="34"/>
      <c r="O830" s="35"/>
    </row>
    <row r="831" spans="1:15">
      <c r="A831" s="32"/>
      <c r="B831" s="32"/>
      <c r="C831" s="32"/>
      <c r="D831" s="32"/>
      <c r="E831" s="32"/>
      <c r="F831" s="32"/>
      <c r="G831" s="33"/>
      <c r="H831" s="33"/>
      <c r="I831" s="33"/>
      <c r="J831" s="33"/>
      <c r="K831" s="34"/>
      <c r="L831" s="33"/>
      <c r="M831" s="34"/>
      <c r="N831" s="34"/>
      <c r="O831" s="35"/>
    </row>
    <row r="832" spans="1:15">
      <c r="A832" s="32"/>
      <c r="B832" s="32"/>
      <c r="C832" s="32"/>
      <c r="D832" s="32"/>
      <c r="E832" s="32"/>
      <c r="F832" s="32"/>
      <c r="G832" s="33"/>
      <c r="H832" s="33"/>
      <c r="I832" s="33"/>
      <c r="J832" s="33"/>
      <c r="K832" s="34"/>
      <c r="L832" s="33"/>
      <c r="M832" s="34"/>
      <c r="N832" s="34"/>
      <c r="O832" s="35"/>
    </row>
    <row r="833" spans="1:15">
      <c r="A833" s="32"/>
      <c r="B833" s="32"/>
      <c r="C833" s="32"/>
      <c r="D833" s="32"/>
      <c r="E833" s="32"/>
      <c r="F833" s="32"/>
      <c r="G833" s="33"/>
      <c r="H833" s="33"/>
      <c r="I833" s="33"/>
      <c r="J833" s="33"/>
      <c r="K833" s="34"/>
      <c r="L833" s="33"/>
      <c r="M833" s="34"/>
      <c r="N833" s="34"/>
      <c r="O833" s="35"/>
    </row>
    <row r="834" spans="1:15">
      <c r="A834" s="32"/>
      <c r="B834" s="32"/>
      <c r="C834" s="32"/>
      <c r="D834" s="32"/>
      <c r="E834" s="32"/>
      <c r="F834" s="32"/>
      <c r="G834" s="33"/>
      <c r="H834" s="33"/>
      <c r="I834" s="33"/>
      <c r="J834" s="33"/>
      <c r="K834" s="34"/>
      <c r="L834" s="33"/>
      <c r="M834" s="34"/>
      <c r="N834" s="34"/>
      <c r="O834" s="35"/>
    </row>
    <row r="835" spans="1:15">
      <c r="A835" s="32"/>
      <c r="B835" s="32"/>
      <c r="C835" s="32"/>
      <c r="D835" s="32"/>
      <c r="E835" s="32"/>
      <c r="F835" s="32"/>
      <c r="G835" s="33"/>
      <c r="H835" s="33"/>
      <c r="I835" s="33"/>
      <c r="J835" s="33"/>
      <c r="K835" s="34"/>
      <c r="L835" s="33"/>
      <c r="M835" s="34"/>
      <c r="N835" s="34"/>
      <c r="O835" s="35"/>
    </row>
    <row r="836" spans="1:15">
      <c r="A836" s="32"/>
      <c r="B836" s="32"/>
      <c r="C836" s="32"/>
      <c r="D836" s="32"/>
      <c r="E836" s="32"/>
      <c r="F836" s="32"/>
      <c r="G836" s="33"/>
      <c r="H836" s="33"/>
      <c r="I836" s="33"/>
      <c r="J836" s="33"/>
      <c r="K836" s="34"/>
      <c r="L836" s="33"/>
      <c r="M836" s="34"/>
      <c r="N836" s="34"/>
      <c r="O836" s="35"/>
    </row>
    <row r="837" spans="1:15">
      <c r="A837" s="32"/>
      <c r="B837" s="32"/>
      <c r="C837" s="32"/>
      <c r="D837" s="32"/>
      <c r="E837" s="32"/>
      <c r="F837" s="32"/>
      <c r="G837" s="33"/>
      <c r="H837" s="33"/>
      <c r="I837" s="33"/>
      <c r="J837" s="33"/>
      <c r="K837" s="34"/>
      <c r="L837" s="33"/>
      <c r="M837" s="34"/>
      <c r="N837" s="34"/>
      <c r="O837" s="35"/>
    </row>
    <row r="838" spans="1:15">
      <c r="A838" s="32"/>
      <c r="B838" s="32"/>
      <c r="C838" s="32"/>
      <c r="D838" s="32"/>
      <c r="E838" s="32"/>
      <c r="F838" s="32"/>
      <c r="G838" s="33"/>
      <c r="H838" s="33"/>
      <c r="I838" s="33"/>
      <c r="J838" s="33"/>
      <c r="K838" s="34"/>
      <c r="L838" s="33"/>
      <c r="M838" s="34"/>
      <c r="N838" s="34"/>
      <c r="O838" s="35"/>
    </row>
    <row r="839" spans="1:15">
      <c r="A839" s="32"/>
      <c r="B839" s="32"/>
      <c r="C839" s="32"/>
      <c r="D839" s="32"/>
      <c r="E839" s="32"/>
      <c r="F839" s="32"/>
      <c r="G839" s="33"/>
      <c r="H839" s="33"/>
      <c r="I839" s="33"/>
      <c r="J839" s="33"/>
      <c r="K839" s="34"/>
      <c r="L839" s="33"/>
      <c r="M839" s="34"/>
      <c r="N839" s="34"/>
      <c r="O839" s="35"/>
    </row>
    <row r="840" spans="1:15">
      <c r="A840" s="32"/>
      <c r="B840" s="32"/>
      <c r="C840" s="32"/>
      <c r="D840" s="32"/>
      <c r="E840" s="32"/>
      <c r="F840" s="32"/>
      <c r="G840" s="33"/>
      <c r="H840" s="33"/>
      <c r="I840" s="33"/>
      <c r="J840" s="33"/>
      <c r="K840" s="34"/>
      <c r="L840" s="33"/>
      <c r="M840" s="34"/>
      <c r="N840" s="34"/>
      <c r="O840" s="35"/>
    </row>
    <row r="841" spans="1:15">
      <c r="A841" s="32"/>
      <c r="B841" s="32"/>
      <c r="C841" s="32"/>
      <c r="D841" s="32"/>
      <c r="E841" s="32"/>
      <c r="F841" s="32"/>
      <c r="G841" s="33"/>
      <c r="H841" s="33"/>
      <c r="I841" s="33"/>
      <c r="J841" s="33"/>
      <c r="K841" s="34"/>
      <c r="L841" s="33"/>
      <c r="M841" s="34"/>
      <c r="N841" s="34"/>
      <c r="O841" s="35"/>
    </row>
    <row r="842" spans="1:15">
      <c r="A842" s="32"/>
      <c r="B842" s="32"/>
      <c r="C842" s="32"/>
      <c r="D842" s="32"/>
      <c r="E842" s="32"/>
      <c r="F842" s="32"/>
      <c r="G842" s="33"/>
      <c r="H842" s="33"/>
      <c r="I842" s="33"/>
      <c r="J842" s="33"/>
      <c r="K842" s="34"/>
      <c r="L842" s="33"/>
      <c r="M842" s="34"/>
      <c r="N842" s="34"/>
      <c r="O842" s="35"/>
    </row>
    <row r="843" spans="1:15">
      <c r="A843" s="32"/>
      <c r="B843" s="32"/>
      <c r="C843" s="32"/>
      <c r="D843" s="32"/>
      <c r="E843" s="32"/>
      <c r="F843" s="32"/>
      <c r="G843" s="33"/>
      <c r="H843" s="33"/>
      <c r="I843" s="33"/>
      <c r="J843" s="33"/>
      <c r="K843" s="34"/>
      <c r="L843" s="33"/>
      <c r="M843" s="34"/>
      <c r="N843" s="34"/>
      <c r="O843" s="35"/>
    </row>
    <row r="844" spans="1:15">
      <c r="A844" s="32"/>
      <c r="B844" s="32"/>
      <c r="C844" s="32"/>
      <c r="D844" s="32"/>
      <c r="E844" s="32"/>
      <c r="F844" s="32"/>
      <c r="G844" s="33"/>
      <c r="H844" s="33"/>
      <c r="I844" s="33"/>
      <c r="J844" s="33"/>
      <c r="K844" s="34"/>
      <c r="L844" s="33"/>
      <c r="M844" s="34"/>
      <c r="N844" s="34"/>
      <c r="O844" s="35"/>
    </row>
    <row r="845" spans="1:15">
      <c r="A845" s="32"/>
      <c r="B845" s="32"/>
      <c r="C845" s="32"/>
      <c r="D845" s="32"/>
      <c r="E845" s="32"/>
      <c r="F845" s="32"/>
      <c r="G845" s="33"/>
      <c r="H845" s="33"/>
      <c r="I845" s="33"/>
      <c r="J845" s="33"/>
      <c r="K845" s="34"/>
      <c r="L845" s="33"/>
      <c r="M845" s="34"/>
      <c r="N845" s="34"/>
      <c r="O845" s="35"/>
    </row>
    <row r="846" spans="1:15">
      <c r="A846" s="32"/>
      <c r="B846" s="32"/>
      <c r="C846" s="32"/>
      <c r="D846" s="32"/>
      <c r="E846" s="32"/>
      <c r="F846" s="32"/>
      <c r="G846" s="33"/>
      <c r="H846" s="33"/>
      <c r="I846" s="33"/>
      <c r="J846" s="33"/>
      <c r="K846" s="34"/>
      <c r="L846" s="33"/>
      <c r="M846" s="34"/>
      <c r="N846" s="34"/>
      <c r="O846" s="35"/>
    </row>
    <row r="847" spans="1:15">
      <c r="A847" s="32"/>
      <c r="B847" s="32"/>
      <c r="C847" s="32"/>
      <c r="D847" s="32"/>
      <c r="E847" s="32"/>
      <c r="F847" s="32"/>
      <c r="G847" s="33"/>
      <c r="H847" s="33"/>
      <c r="I847" s="33"/>
      <c r="J847" s="33"/>
      <c r="K847" s="34"/>
      <c r="L847" s="33"/>
      <c r="M847" s="34"/>
      <c r="N847" s="34"/>
      <c r="O847" s="35"/>
    </row>
    <row r="848" spans="1:15">
      <c r="A848" s="32"/>
      <c r="B848" s="32"/>
      <c r="C848" s="32"/>
      <c r="D848" s="32"/>
      <c r="E848" s="32"/>
      <c r="F848" s="32"/>
      <c r="G848" s="33"/>
      <c r="H848" s="33"/>
      <c r="I848" s="33"/>
      <c r="J848" s="33"/>
      <c r="K848" s="34"/>
      <c r="L848" s="33"/>
      <c r="M848" s="34"/>
      <c r="N848" s="34"/>
      <c r="O848" s="35"/>
    </row>
    <row r="849" spans="1:15">
      <c r="A849" s="32"/>
      <c r="B849" s="32"/>
      <c r="C849" s="32"/>
      <c r="D849" s="32"/>
      <c r="E849" s="32"/>
      <c r="F849" s="32"/>
      <c r="G849" s="33"/>
      <c r="H849" s="33"/>
      <c r="I849" s="33"/>
      <c r="J849" s="33"/>
      <c r="K849" s="34"/>
      <c r="L849" s="33"/>
      <c r="M849" s="34"/>
      <c r="N849" s="34"/>
      <c r="O849" s="35"/>
    </row>
    <row r="850" spans="1:15">
      <c r="A850" s="32"/>
      <c r="B850" s="32"/>
      <c r="C850" s="32"/>
      <c r="D850" s="32"/>
      <c r="E850" s="32"/>
      <c r="F850" s="32"/>
      <c r="G850" s="33"/>
      <c r="H850" s="33"/>
      <c r="I850" s="33"/>
      <c r="J850" s="33"/>
      <c r="K850" s="34"/>
      <c r="L850" s="33"/>
      <c r="M850" s="34"/>
      <c r="N850" s="34"/>
      <c r="O850" s="35"/>
    </row>
    <row r="851" spans="1:15">
      <c r="A851" s="32"/>
      <c r="B851" s="32"/>
      <c r="C851" s="32"/>
      <c r="D851" s="32"/>
      <c r="E851" s="32"/>
      <c r="F851" s="32"/>
      <c r="G851" s="33"/>
      <c r="H851" s="33"/>
      <c r="I851" s="33"/>
      <c r="J851" s="33"/>
      <c r="K851" s="34"/>
      <c r="L851" s="33"/>
      <c r="M851" s="34"/>
      <c r="N851" s="34"/>
      <c r="O851" s="35"/>
    </row>
    <row r="852" spans="1:15">
      <c r="A852" s="32"/>
      <c r="B852" s="32"/>
      <c r="C852" s="32"/>
      <c r="D852" s="32"/>
      <c r="E852" s="32"/>
      <c r="F852" s="32"/>
      <c r="G852" s="33"/>
      <c r="H852" s="33"/>
      <c r="I852" s="33"/>
      <c r="J852" s="33"/>
      <c r="K852" s="34"/>
      <c r="L852" s="33"/>
      <c r="M852" s="34"/>
      <c r="N852" s="34"/>
      <c r="O852" s="35"/>
    </row>
    <row r="853" spans="1:15">
      <c r="A853" s="32"/>
      <c r="B853" s="32"/>
      <c r="C853" s="32"/>
      <c r="D853" s="32"/>
      <c r="E853" s="32"/>
      <c r="F853" s="32"/>
      <c r="G853" s="33"/>
      <c r="H853" s="33"/>
      <c r="I853" s="33"/>
      <c r="J853" s="33"/>
      <c r="K853" s="34"/>
      <c r="L853" s="33"/>
      <c r="M853" s="34"/>
      <c r="N853" s="34"/>
      <c r="O853" s="35"/>
    </row>
    <row r="854" spans="1:15">
      <c r="A854" s="32"/>
      <c r="B854" s="32"/>
      <c r="C854" s="32"/>
      <c r="D854" s="32"/>
      <c r="E854" s="32"/>
      <c r="F854" s="32"/>
      <c r="G854" s="33"/>
      <c r="H854" s="33"/>
      <c r="I854" s="33"/>
      <c r="J854" s="33"/>
      <c r="K854" s="34"/>
      <c r="L854" s="33"/>
      <c r="M854" s="34"/>
      <c r="N854" s="34"/>
      <c r="O854" s="35"/>
    </row>
    <row r="855" spans="1:15">
      <c r="A855" s="32"/>
      <c r="B855" s="32"/>
      <c r="C855" s="32"/>
      <c r="D855" s="32"/>
      <c r="E855" s="32"/>
      <c r="F855" s="32"/>
      <c r="G855" s="33"/>
      <c r="H855" s="33"/>
      <c r="I855" s="33"/>
      <c r="J855" s="33"/>
      <c r="K855" s="34"/>
      <c r="L855" s="33"/>
      <c r="M855" s="34"/>
      <c r="N855" s="34"/>
      <c r="O855" s="35"/>
    </row>
    <row r="856" spans="1:15">
      <c r="A856" s="32"/>
      <c r="B856" s="32"/>
      <c r="C856" s="32"/>
      <c r="D856" s="32"/>
      <c r="E856" s="32"/>
      <c r="F856" s="32"/>
      <c r="G856" s="33"/>
      <c r="H856" s="33"/>
      <c r="I856" s="33"/>
      <c r="J856" s="33"/>
      <c r="K856" s="34"/>
      <c r="L856" s="33"/>
      <c r="M856" s="34"/>
      <c r="N856" s="34"/>
      <c r="O856" s="35"/>
    </row>
    <row r="857" spans="1:15">
      <c r="A857" s="32"/>
      <c r="B857" s="32"/>
      <c r="C857" s="32"/>
      <c r="D857" s="32"/>
      <c r="E857" s="32"/>
      <c r="F857" s="32"/>
      <c r="G857" s="33"/>
      <c r="H857" s="33"/>
      <c r="I857" s="33"/>
      <c r="J857" s="33"/>
      <c r="K857" s="34"/>
      <c r="L857" s="33"/>
      <c r="M857" s="34"/>
      <c r="N857" s="34"/>
      <c r="O857" s="35"/>
    </row>
    <row r="858" spans="1:15">
      <c r="A858" s="32"/>
      <c r="B858" s="32"/>
      <c r="C858" s="32"/>
      <c r="D858" s="32"/>
      <c r="E858" s="32"/>
      <c r="F858" s="32"/>
      <c r="G858" s="33"/>
      <c r="H858" s="33"/>
      <c r="I858" s="33"/>
      <c r="J858" s="33"/>
      <c r="K858" s="34"/>
      <c r="L858" s="33"/>
      <c r="M858" s="34"/>
      <c r="N858" s="34"/>
      <c r="O858" s="35"/>
    </row>
    <row r="859" spans="1:15">
      <c r="A859" s="32"/>
      <c r="B859" s="32"/>
      <c r="C859" s="32"/>
      <c r="D859" s="32"/>
      <c r="E859" s="32"/>
      <c r="F859" s="32"/>
      <c r="G859" s="33"/>
      <c r="H859" s="33"/>
      <c r="I859" s="33"/>
      <c r="J859" s="33"/>
      <c r="K859" s="34"/>
      <c r="L859" s="33"/>
      <c r="M859" s="34"/>
      <c r="N859" s="34"/>
      <c r="O859" s="35"/>
    </row>
    <row r="860" spans="1:15">
      <c r="A860" s="32"/>
      <c r="B860" s="32"/>
      <c r="C860" s="32"/>
      <c r="D860" s="32"/>
      <c r="E860" s="32"/>
      <c r="F860" s="32"/>
      <c r="G860" s="33"/>
      <c r="H860" s="33"/>
      <c r="I860" s="33"/>
      <c r="J860" s="33"/>
      <c r="K860" s="34"/>
      <c r="L860" s="33"/>
      <c r="M860" s="34"/>
      <c r="N860" s="34"/>
      <c r="O860" s="35"/>
    </row>
    <row r="861" spans="1:15">
      <c r="A861" s="32"/>
      <c r="B861" s="32"/>
      <c r="C861" s="32"/>
      <c r="D861" s="32"/>
      <c r="E861" s="32"/>
      <c r="F861" s="32"/>
      <c r="G861" s="33"/>
      <c r="H861" s="33"/>
      <c r="I861" s="33"/>
      <c r="J861" s="33"/>
      <c r="K861" s="34"/>
      <c r="L861" s="33"/>
      <c r="M861" s="34"/>
      <c r="N861" s="34"/>
      <c r="O861" s="35"/>
    </row>
    <row r="862" spans="1:15">
      <c r="A862" s="32"/>
      <c r="B862" s="32"/>
      <c r="C862" s="32"/>
      <c r="D862" s="32"/>
      <c r="E862" s="32"/>
      <c r="F862" s="32"/>
      <c r="G862" s="33"/>
      <c r="H862" s="33"/>
      <c r="I862" s="33"/>
      <c r="J862" s="33"/>
      <c r="K862" s="34"/>
      <c r="L862" s="33"/>
      <c r="M862" s="34"/>
      <c r="N862" s="34"/>
      <c r="O862" s="35"/>
    </row>
    <row r="863" spans="1:15">
      <c r="A863" s="32"/>
      <c r="B863" s="32"/>
      <c r="C863" s="32"/>
      <c r="D863" s="32"/>
      <c r="E863" s="32"/>
      <c r="F863" s="32"/>
      <c r="G863" s="33"/>
      <c r="H863" s="33"/>
      <c r="I863" s="33"/>
      <c r="J863" s="33"/>
      <c r="K863" s="34"/>
      <c r="L863" s="33"/>
      <c r="M863" s="34"/>
      <c r="N863" s="34"/>
      <c r="O863" s="35"/>
    </row>
    <row r="864" spans="1:15">
      <c r="A864" s="32"/>
      <c r="B864" s="32"/>
      <c r="C864" s="32"/>
      <c r="D864" s="32"/>
      <c r="E864" s="32"/>
      <c r="F864" s="32"/>
      <c r="G864" s="33"/>
      <c r="H864" s="33"/>
      <c r="I864" s="33"/>
      <c r="J864" s="33"/>
      <c r="K864" s="34"/>
      <c r="L864" s="33"/>
      <c r="M864" s="34"/>
      <c r="N864" s="34"/>
      <c r="O864" s="35"/>
    </row>
    <row r="865" spans="1:15">
      <c r="A865" s="32"/>
      <c r="B865" s="32"/>
      <c r="C865" s="32"/>
      <c r="D865" s="32"/>
      <c r="E865" s="32"/>
      <c r="F865" s="32"/>
      <c r="G865" s="33"/>
      <c r="H865" s="33"/>
      <c r="I865" s="33"/>
      <c r="J865" s="33"/>
      <c r="K865" s="34"/>
      <c r="L865" s="33"/>
      <c r="M865" s="34"/>
      <c r="N865" s="34"/>
      <c r="O865" s="35"/>
    </row>
    <row r="866" spans="1:15">
      <c r="A866" s="32"/>
      <c r="B866" s="32"/>
      <c r="C866" s="32"/>
      <c r="D866" s="32"/>
      <c r="E866" s="32"/>
      <c r="F866" s="32"/>
      <c r="G866" s="33"/>
      <c r="H866" s="33"/>
      <c r="I866" s="33"/>
      <c r="J866" s="33"/>
      <c r="K866" s="34"/>
      <c r="L866" s="33"/>
      <c r="M866" s="34"/>
      <c r="N866" s="34"/>
      <c r="O866" s="35"/>
    </row>
    <row r="867" spans="1:15">
      <c r="A867" s="32"/>
      <c r="B867" s="32"/>
      <c r="C867" s="32"/>
      <c r="D867" s="32"/>
      <c r="E867" s="32"/>
      <c r="F867" s="32"/>
      <c r="G867" s="33"/>
      <c r="H867" s="33"/>
      <c r="I867" s="33"/>
      <c r="J867" s="33"/>
      <c r="K867" s="34"/>
      <c r="L867" s="33"/>
      <c r="M867" s="34"/>
      <c r="N867" s="34"/>
      <c r="O867" s="35"/>
    </row>
    <row r="868" spans="1:15">
      <c r="A868" s="32"/>
      <c r="B868" s="32"/>
      <c r="C868" s="32"/>
      <c r="D868" s="32"/>
      <c r="E868" s="32"/>
      <c r="F868" s="32"/>
      <c r="G868" s="33"/>
      <c r="H868" s="33"/>
      <c r="I868" s="33"/>
      <c r="J868" s="33"/>
      <c r="K868" s="34"/>
      <c r="L868" s="33"/>
      <c r="M868" s="34"/>
      <c r="N868" s="34"/>
      <c r="O868" s="35"/>
    </row>
    <row r="869" spans="1:15">
      <c r="A869" s="32"/>
      <c r="B869" s="32"/>
      <c r="C869" s="32"/>
      <c r="D869" s="32"/>
      <c r="E869" s="32"/>
      <c r="F869" s="32"/>
      <c r="G869" s="33"/>
      <c r="H869" s="33"/>
      <c r="I869" s="33"/>
      <c r="J869" s="33"/>
      <c r="K869" s="34"/>
      <c r="L869" s="33"/>
      <c r="M869" s="34"/>
      <c r="N869" s="34"/>
      <c r="O869" s="35"/>
    </row>
    <row r="870" spans="1:15">
      <c r="A870" s="32"/>
      <c r="B870" s="32"/>
      <c r="C870" s="32"/>
      <c r="D870" s="32"/>
      <c r="E870" s="32"/>
      <c r="F870" s="32"/>
      <c r="G870" s="33"/>
      <c r="H870" s="33"/>
      <c r="I870" s="33"/>
      <c r="J870" s="33"/>
      <c r="K870" s="34"/>
      <c r="L870" s="33"/>
      <c r="M870" s="34"/>
      <c r="N870" s="34"/>
      <c r="O870" s="35"/>
    </row>
    <row r="871" spans="1:15">
      <c r="A871" s="32"/>
      <c r="B871" s="32"/>
      <c r="C871" s="32"/>
      <c r="D871" s="32"/>
      <c r="E871" s="32"/>
      <c r="F871" s="32"/>
      <c r="G871" s="33"/>
      <c r="H871" s="33"/>
      <c r="I871" s="33"/>
      <c r="J871" s="33"/>
      <c r="K871" s="34"/>
      <c r="L871" s="33"/>
      <c r="M871" s="34"/>
      <c r="N871" s="34"/>
      <c r="O871" s="35"/>
    </row>
    <row r="872" spans="1:15">
      <c r="A872" s="32"/>
      <c r="B872" s="32"/>
      <c r="C872" s="32"/>
      <c r="D872" s="32"/>
      <c r="E872" s="32"/>
      <c r="F872" s="32"/>
      <c r="G872" s="33"/>
      <c r="H872" s="33"/>
      <c r="I872" s="33"/>
      <c r="J872" s="33"/>
      <c r="K872" s="34"/>
      <c r="L872" s="33"/>
      <c r="M872" s="34"/>
      <c r="N872" s="34"/>
      <c r="O872" s="35"/>
    </row>
    <row r="873" spans="1:15">
      <c r="A873" s="32"/>
      <c r="B873" s="32"/>
      <c r="C873" s="32"/>
      <c r="D873" s="32"/>
      <c r="E873" s="32"/>
      <c r="F873" s="32"/>
      <c r="G873" s="33"/>
      <c r="H873" s="33"/>
      <c r="I873" s="33"/>
      <c r="J873" s="33"/>
      <c r="K873" s="34"/>
      <c r="L873" s="33"/>
      <c r="M873" s="34"/>
      <c r="N873" s="34"/>
      <c r="O873" s="35"/>
    </row>
    <row r="874" spans="1:15">
      <c r="A874" s="32"/>
      <c r="B874" s="32"/>
      <c r="C874" s="32"/>
      <c r="D874" s="32"/>
      <c r="E874" s="32"/>
      <c r="F874" s="32"/>
      <c r="G874" s="33"/>
      <c r="H874" s="33"/>
      <c r="I874" s="33"/>
      <c r="J874" s="33"/>
      <c r="K874" s="34"/>
      <c r="L874" s="33"/>
      <c r="M874" s="34"/>
      <c r="N874" s="34"/>
      <c r="O874" s="35"/>
    </row>
    <row r="875" spans="1:15">
      <c r="A875" s="32"/>
      <c r="B875" s="32"/>
      <c r="C875" s="32"/>
      <c r="D875" s="32"/>
      <c r="E875" s="32"/>
      <c r="F875" s="32"/>
      <c r="G875" s="33"/>
      <c r="H875" s="33"/>
      <c r="I875" s="33"/>
      <c r="J875" s="33"/>
      <c r="K875" s="34"/>
      <c r="L875" s="33"/>
      <c r="M875" s="34"/>
      <c r="N875" s="34"/>
      <c r="O875" s="35"/>
    </row>
    <row r="876" spans="1:15">
      <c r="A876" s="32"/>
      <c r="B876" s="32"/>
      <c r="C876" s="32"/>
      <c r="D876" s="32"/>
      <c r="E876" s="32"/>
      <c r="F876" s="32"/>
      <c r="G876" s="33"/>
      <c r="H876" s="33"/>
      <c r="I876" s="33"/>
      <c r="J876" s="33"/>
      <c r="K876" s="34"/>
      <c r="L876" s="33"/>
      <c r="M876" s="34"/>
      <c r="N876" s="34"/>
      <c r="O876" s="35"/>
    </row>
    <row r="877" spans="1:15">
      <c r="A877" s="32"/>
      <c r="B877" s="32"/>
      <c r="C877" s="32"/>
      <c r="D877" s="32"/>
      <c r="E877" s="32"/>
      <c r="F877" s="32"/>
      <c r="G877" s="33"/>
      <c r="H877" s="33"/>
      <c r="I877" s="33"/>
      <c r="J877" s="33"/>
      <c r="K877" s="34"/>
      <c r="L877" s="33"/>
      <c r="M877" s="34"/>
      <c r="N877" s="34"/>
      <c r="O877" s="35"/>
    </row>
    <row r="878" spans="1:15">
      <c r="A878" s="32"/>
      <c r="B878" s="32"/>
      <c r="C878" s="32"/>
      <c r="D878" s="32"/>
      <c r="E878" s="32"/>
      <c r="F878" s="32"/>
      <c r="G878" s="33"/>
      <c r="H878" s="33"/>
      <c r="I878" s="33"/>
      <c r="J878" s="33"/>
      <c r="K878" s="34"/>
      <c r="L878" s="33"/>
      <c r="M878" s="34"/>
      <c r="N878" s="34"/>
      <c r="O878" s="35"/>
    </row>
    <row r="879" spans="1:15">
      <c r="A879" s="32"/>
      <c r="B879" s="32"/>
      <c r="C879" s="32"/>
      <c r="D879" s="32"/>
      <c r="E879" s="32"/>
      <c r="F879" s="32"/>
      <c r="G879" s="33"/>
      <c r="H879" s="33"/>
      <c r="I879" s="33"/>
      <c r="J879" s="33"/>
      <c r="K879" s="34"/>
      <c r="L879" s="33"/>
      <c r="M879" s="34"/>
      <c r="N879" s="34"/>
      <c r="O879" s="35"/>
    </row>
    <row r="880" spans="1:15">
      <c r="A880" s="32"/>
      <c r="B880" s="32"/>
      <c r="C880" s="32"/>
      <c r="D880" s="32"/>
      <c r="E880" s="32"/>
      <c r="F880" s="32"/>
      <c r="G880" s="33"/>
      <c r="H880" s="33"/>
      <c r="I880" s="33"/>
      <c r="J880" s="33"/>
      <c r="K880" s="34"/>
      <c r="L880" s="33"/>
      <c r="M880" s="34"/>
      <c r="N880" s="34"/>
      <c r="O880" s="35"/>
    </row>
    <row r="881" spans="1:15">
      <c r="A881" s="32"/>
      <c r="B881" s="32"/>
      <c r="C881" s="32"/>
      <c r="D881" s="32"/>
      <c r="E881" s="32"/>
      <c r="F881" s="32"/>
      <c r="G881" s="33"/>
      <c r="H881" s="33"/>
      <c r="I881" s="33"/>
      <c r="J881" s="33"/>
      <c r="K881" s="34"/>
      <c r="L881" s="33"/>
      <c r="M881" s="34"/>
      <c r="N881" s="34"/>
      <c r="O881" s="35"/>
    </row>
    <row r="882" spans="1:15">
      <c r="A882" s="32"/>
      <c r="B882" s="32"/>
      <c r="C882" s="32"/>
      <c r="D882" s="32"/>
      <c r="E882" s="32"/>
      <c r="F882" s="32"/>
      <c r="G882" s="33"/>
      <c r="H882" s="33"/>
      <c r="I882" s="33"/>
      <c r="J882" s="33"/>
      <c r="K882" s="34"/>
      <c r="L882" s="33"/>
      <c r="M882" s="34"/>
      <c r="N882" s="34"/>
      <c r="O882" s="35"/>
    </row>
    <row r="883" spans="1:15">
      <c r="A883" s="32"/>
      <c r="B883" s="32"/>
      <c r="C883" s="32"/>
      <c r="D883" s="32"/>
      <c r="E883" s="32"/>
      <c r="F883" s="32"/>
      <c r="G883" s="33"/>
      <c r="H883" s="33"/>
      <c r="I883" s="33"/>
      <c r="J883" s="33"/>
      <c r="K883" s="34"/>
      <c r="L883" s="33"/>
      <c r="M883" s="34"/>
      <c r="N883" s="34"/>
      <c r="O883" s="35"/>
    </row>
    <row r="884" spans="1:15">
      <c r="A884" s="32"/>
      <c r="B884" s="32"/>
      <c r="C884" s="32"/>
      <c r="D884" s="32"/>
      <c r="E884" s="32"/>
      <c r="F884" s="32"/>
      <c r="G884" s="33"/>
      <c r="H884" s="33"/>
      <c r="I884" s="33"/>
      <c r="J884" s="33"/>
      <c r="K884" s="34"/>
      <c r="L884" s="33"/>
      <c r="M884" s="34"/>
      <c r="N884" s="34"/>
      <c r="O884" s="35"/>
    </row>
    <row r="885" spans="1:15">
      <c r="A885" s="32"/>
      <c r="B885" s="32"/>
      <c r="C885" s="32"/>
      <c r="D885" s="32"/>
      <c r="E885" s="32"/>
      <c r="F885" s="32"/>
      <c r="G885" s="33"/>
      <c r="H885" s="33"/>
      <c r="I885" s="33"/>
      <c r="J885" s="33"/>
      <c r="K885" s="34"/>
      <c r="L885" s="33"/>
      <c r="M885" s="34"/>
      <c r="N885" s="34"/>
      <c r="O885" s="35"/>
    </row>
    <row r="886" spans="1:15">
      <c r="A886" s="32"/>
      <c r="B886" s="32"/>
      <c r="C886" s="32"/>
      <c r="D886" s="32"/>
      <c r="E886" s="32"/>
      <c r="F886" s="32"/>
      <c r="G886" s="33"/>
      <c r="H886" s="33"/>
      <c r="I886" s="33"/>
      <c r="J886" s="33"/>
      <c r="K886" s="34"/>
      <c r="L886" s="33"/>
      <c r="M886" s="34"/>
      <c r="N886" s="34"/>
      <c r="O886" s="35"/>
    </row>
    <row r="887" spans="1:15">
      <c r="A887" s="32"/>
      <c r="B887" s="32"/>
      <c r="C887" s="32"/>
      <c r="D887" s="32"/>
      <c r="E887" s="32"/>
      <c r="F887" s="32"/>
      <c r="G887" s="33"/>
      <c r="H887" s="33"/>
      <c r="I887" s="33"/>
      <c r="J887" s="33"/>
      <c r="K887" s="34"/>
      <c r="L887" s="33"/>
      <c r="M887" s="34"/>
      <c r="N887" s="34"/>
      <c r="O887" s="35"/>
    </row>
    <row r="888" spans="1:15">
      <c r="A888" s="32"/>
      <c r="B888" s="32"/>
      <c r="C888" s="32"/>
      <c r="D888" s="32"/>
      <c r="E888" s="32"/>
      <c r="F888" s="32"/>
      <c r="G888" s="33"/>
      <c r="H888" s="33"/>
      <c r="I888" s="33"/>
      <c r="J888" s="33"/>
      <c r="K888" s="34"/>
      <c r="L888" s="33"/>
      <c r="M888" s="34"/>
      <c r="N888" s="34"/>
      <c r="O888" s="35"/>
    </row>
    <row r="889" spans="1:15">
      <c r="A889" s="32"/>
      <c r="B889" s="32"/>
      <c r="C889" s="32"/>
      <c r="D889" s="32"/>
      <c r="E889" s="32"/>
      <c r="F889" s="32"/>
      <c r="G889" s="33"/>
      <c r="H889" s="33"/>
      <c r="I889" s="33"/>
      <c r="J889" s="33"/>
      <c r="K889" s="34"/>
      <c r="L889" s="33"/>
      <c r="M889" s="34"/>
      <c r="N889" s="34"/>
      <c r="O889" s="35"/>
    </row>
    <row r="890" spans="1:15">
      <c r="A890" s="32"/>
      <c r="B890" s="32"/>
      <c r="C890" s="32"/>
      <c r="D890" s="32"/>
      <c r="E890" s="32"/>
      <c r="F890" s="32"/>
      <c r="G890" s="33"/>
      <c r="H890" s="33"/>
      <c r="I890" s="33"/>
      <c r="J890" s="33"/>
      <c r="K890" s="34"/>
      <c r="L890" s="33"/>
      <c r="M890" s="34"/>
      <c r="N890" s="34"/>
      <c r="O890" s="35"/>
    </row>
    <row r="891" spans="1:15">
      <c r="A891" s="32"/>
      <c r="B891" s="32"/>
      <c r="C891" s="32"/>
      <c r="D891" s="32"/>
      <c r="E891" s="32"/>
      <c r="F891" s="32"/>
      <c r="G891" s="33"/>
      <c r="H891" s="33"/>
      <c r="I891" s="33"/>
      <c r="J891" s="33"/>
      <c r="K891" s="34"/>
      <c r="L891" s="33"/>
      <c r="M891" s="34"/>
      <c r="N891" s="34"/>
      <c r="O891" s="35"/>
    </row>
    <row r="892" spans="1:15">
      <c r="A892" s="32"/>
      <c r="B892" s="32"/>
      <c r="C892" s="32"/>
      <c r="D892" s="32"/>
      <c r="E892" s="32"/>
      <c r="F892" s="32"/>
      <c r="G892" s="33"/>
      <c r="H892" s="33"/>
      <c r="I892" s="33"/>
      <c r="J892" s="33"/>
      <c r="K892" s="34"/>
      <c r="L892" s="33"/>
      <c r="M892" s="34"/>
      <c r="N892" s="34"/>
      <c r="O892" s="35"/>
    </row>
    <row r="893" spans="1:15">
      <c r="A893" s="32"/>
      <c r="B893" s="32"/>
      <c r="C893" s="32"/>
      <c r="D893" s="32"/>
      <c r="E893" s="32"/>
      <c r="F893" s="32"/>
      <c r="G893" s="33"/>
      <c r="H893" s="33"/>
      <c r="I893" s="33"/>
      <c r="J893" s="33"/>
      <c r="K893" s="34"/>
      <c r="L893" s="33"/>
      <c r="M893" s="34"/>
      <c r="N893" s="34"/>
      <c r="O893" s="35"/>
    </row>
    <row r="894" spans="1:15">
      <c r="A894" s="32"/>
      <c r="B894" s="32"/>
      <c r="C894" s="32"/>
      <c r="D894" s="32"/>
      <c r="E894" s="32"/>
      <c r="F894" s="32"/>
      <c r="G894" s="33"/>
      <c r="H894" s="33"/>
      <c r="I894" s="33"/>
      <c r="J894" s="33"/>
      <c r="K894" s="34"/>
      <c r="L894" s="33"/>
      <c r="M894" s="34"/>
      <c r="N894" s="34"/>
      <c r="O894" s="35"/>
    </row>
    <row r="895" spans="1:15">
      <c r="A895" s="32"/>
      <c r="B895" s="32"/>
      <c r="C895" s="32"/>
      <c r="D895" s="32"/>
      <c r="E895" s="32"/>
      <c r="F895" s="32"/>
      <c r="G895" s="33"/>
      <c r="H895" s="33"/>
      <c r="I895" s="33"/>
      <c r="J895" s="33"/>
      <c r="K895" s="34"/>
      <c r="L895" s="33"/>
      <c r="M895" s="34"/>
      <c r="N895" s="34"/>
      <c r="O895" s="35"/>
    </row>
    <row r="896" spans="1:15">
      <c r="A896" s="32"/>
      <c r="B896" s="32"/>
      <c r="C896" s="32"/>
      <c r="D896" s="32"/>
      <c r="E896" s="32"/>
      <c r="F896" s="32"/>
      <c r="G896" s="33"/>
      <c r="H896" s="33"/>
      <c r="I896" s="33"/>
      <c r="J896" s="33"/>
      <c r="K896" s="34"/>
      <c r="L896" s="33"/>
      <c r="M896" s="34"/>
      <c r="N896" s="34"/>
      <c r="O896" s="35"/>
    </row>
    <row r="897" spans="1:15">
      <c r="A897" s="32"/>
      <c r="B897" s="32"/>
      <c r="C897" s="32"/>
      <c r="D897" s="32"/>
      <c r="E897" s="32"/>
      <c r="F897" s="32"/>
      <c r="G897" s="33"/>
      <c r="H897" s="33"/>
      <c r="I897" s="33"/>
      <c r="J897" s="33"/>
      <c r="K897" s="34"/>
      <c r="L897" s="33"/>
      <c r="M897" s="34"/>
      <c r="N897" s="34"/>
      <c r="O897" s="35"/>
    </row>
    <row r="898" spans="1:15">
      <c r="A898" s="32"/>
      <c r="B898" s="32"/>
      <c r="C898" s="32"/>
      <c r="D898" s="32"/>
      <c r="E898" s="32"/>
      <c r="F898" s="32"/>
      <c r="G898" s="33"/>
      <c r="H898" s="33"/>
      <c r="I898" s="33"/>
      <c r="J898" s="33"/>
      <c r="K898" s="34"/>
      <c r="L898" s="33"/>
      <c r="M898" s="34"/>
      <c r="N898" s="34"/>
      <c r="O898" s="35"/>
    </row>
    <row r="899" spans="1:15">
      <c r="A899" s="32"/>
      <c r="B899" s="32"/>
      <c r="C899" s="32"/>
      <c r="D899" s="32"/>
      <c r="E899" s="32"/>
      <c r="F899" s="32"/>
      <c r="G899" s="33"/>
      <c r="H899" s="33"/>
      <c r="I899" s="33"/>
      <c r="J899" s="33"/>
      <c r="K899" s="34"/>
      <c r="L899" s="33"/>
      <c r="M899" s="34"/>
      <c r="N899" s="34"/>
      <c r="O899" s="35"/>
    </row>
    <row r="900" spans="1:15">
      <c r="A900" s="32"/>
      <c r="B900" s="32"/>
      <c r="C900" s="32"/>
      <c r="D900" s="32"/>
      <c r="E900" s="32"/>
      <c r="F900" s="32"/>
      <c r="G900" s="33"/>
      <c r="H900" s="33"/>
      <c r="I900" s="33"/>
      <c r="J900" s="33"/>
      <c r="K900" s="34"/>
      <c r="L900" s="33"/>
      <c r="M900" s="34"/>
      <c r="N900" s="34"/>
      <c r="O900" s="35"/>
    </row>
    <row r="901" spans="1:15">
      <c r="A901" s="32"/>
      <c r="B901" s="32"/>
      <c r="C901" s="32"/>
      <c r="D901" s="32"/>
      <c r="E901" s="32"/>
      <c r="F901" s="32"/>
      <c r="G901" s="33"/>
      <c r="H901" s="33"/>
      <c r="I901" s="33"/>
      <c r="J901" s="33"/>
      <c r="K901" s="34"/>
      <c r="L901" s="33"/>
      <c r="M901" s="34"/>
      <c r="N901" s="34"/>
      <c r="O901" s="35"/>
    </row>
    <row r="902" spans="1:15">
      <c r="A902" s="32"/>
      <c r="B902" s="32"/>
      <c r="C902" s="32"/>
      <c r="D902" s="32"/>
      <c r="E902" s="32"/>
      <c r="F902" s="32"/>
      <c r="G902" s="33"/>
      <c r="H902" s="33"/>
      <c r="I902" s="33"/>
      <c r="J902" s="33"/>
      <c r="K902" s="34"/>
      <c r="L902" s="33"/>
      <c r="M902" s="34"/>
      <c r="N902" s="34"/>
      <c r="O902" s="35"/>
    </row>
    <row r="903" spans="1:15">
      <c r="A903" s="32"/>
      <c r="B903" s="32"/>
      <c r="C903" s="32"/>
      <c r="D903" s="32"/>
      <c r="E903" s="32"/>
      <c r="F903" s="32"/>
      <c r="G903" s="33"/>
      <c r="H903" s="33"/>
      <c r="I903" s="33"/>
      <c r="J903" s="33"/>
      <c r="K903" s="34"/>
      <c r="L903" s="33"/>
      <c r="M903" s="34"/>
      <c r="N903" s="34"/>
      <c r="O903" s="35"/>
    </row>
    <row r="904" spans="1:15">
      <c r="A904" s="32"/>
      <c r="B904" s="32"/>
      <c r="C904" s="32"/>
      <c r="D904" s="32"/>
      <c r="E904" s="32"/>
      <c r="F904" s="32"/>
      <c r="G904" s="33"/>
      <c r="H904" s="33"/>
      <c r="I904" s="33"/>
      <c r="J904" s="33"/>
      <c r="K904" s="34"/>
      <c r="L904" s="33"/>
      <c r="M904" s="34"/>
      <c r="N904" s="34"/>
      <c r="O904" s="35"/>
    </row>
    <row r="905" spans="1:15">
      <c r="A905" s="32"/>
      <c r="B905" s="32"/>
      <c r="C905" s="32"/>
      <c r="D905" s="32"/>
      <c r="E905" s="32"/>
      <c r="F905" s="32"/>
      <c r="G905" s="33"/>
      <c r="H905" s="33"/>
      <c r="I905" s="33"/>
      <c r="J905" s="33"/>
      <c r="K905" s="34"/>
      <c r="L905" s="33"/>
      <c r="M905" s="34"/>
      <c r="N905" s="34"/>
      <c r="O905" s="35"/>
    </row>
    <row r="906" spans="1:15">
      <c r="A906" s="32"/>
      <c r="B906" s="32"/>
      <c r="C906" s="32"/>
      <c r="D906" s="32"/>
      <c r="E906" s="32"/>
      <c r="F906" s="32"/>
      <c r="G906" s="33"/>
      <c r="H906" s="33"/>
      <c r="I906" s="33"/>
      <c r="J906" s="33"/>
      <c r="K906" s="34"/>
      <c r="L906" s="33"/>
      <c r="M906" s="34"/>
      <c r="N906" s="34"/>
      <c r="O906" s="35"/>
    </row>
    <row r="907" spans="1:15">
      <c r="A907" s="32"/>
      <c r="B907" s="32"/>
      <c r="C907" s="32"/>
      <c r="D907" s="32"/>
      <c r="E907" s="32"/>
      <c r="F907" s="32"/>
      <c r="G907" s="33"/>
      <c r="H907" s="33"/>
      <c r="I907" s="33"/>
      <c r="J907" s="33"/>
      <c r="K907" s="34"/>
      <c r="L907" s="33"/>
      <c r="M907" s="34"/>
      <c r="N907" s="34"/>
      <c r="O907" s="35"/>
    </row>
    <row r="908" spans="1:15">
      <c r="A908" s="32"/>
      <c r="B908" s="32"/>
      <c r="C908" s="32"/>
      <c r="D908" s="32"/>
      <c r="E908" s="32"/>
      <c r="F908" s="32"/>
      <c r="G908" s="33"/>
      <c r="H908" s="33"/>
      <c r="I908" s="33"/>
      <c r="J908" s="33"/>
      <c r="K908" s="34"/>
      <c r="L908" s="33"/>
      <c r="M908" s="34"/>
      <c r="N908" s="34"/>
      <c r="O908" s="35"/>
    </row>
    <row r="909" spans="1:15">
      <c r="A909" s="32"/>
      <c r="B909" s="32"/>
      <c r="C909" s="32"/>
      <c r="D909" s="32"/>
      <c r="E909" s="32"/>
      <c r="F909" s="32"/>
      <c r="G909" s="33"/>
      <c r="H909" s="33"/>
      <c r="I909" s="33"/>
      <c r="J909" s="33"/>
      <c r="K909" s="34"/>
      <c r="L909" s="33"/>
      <c r="M909" s="34"/>
      <c r="N909" s="34"/>
      <c r="O909" s="35"/>
    </row>
    <row r="910" spans="1:15">
      <c r="A910" s="32"/>
      <c r="B910" s="32"/>
      <c r="C910" s="32"/>
      <c r="D910" s="32"/>
      <c r="E910" s="32"/>
      <c r="F910" s="32"/>
      <c r="G910" s="33"/>
      <c r="H910" s="33"/>
      <c r="I910" s="33"/>
      <c r="J910" s="33"/>
      <c r="K910" s="34"/>
      <c r="L910" s="33"/>
      <c r="M910" s="34"/>
      <c r="N910" s="34"/>
      <c r="O910" s="35"/>
    </row>
    <row r="911" spans="1:15">
      <c r="A911" s="32"/>
      <c r="B911" s="32"/>
      <c r="C911" s="32"/>
      <c r="D911" s="32"/>
      <c r="E911" s="32"/>
      <c r="F911" s="32"/>
      <c r="G911" s="33"/>
      <c r="H911" s="33"/>
      <c r="I911" s="33"/>
      <c r="J911" s="33"/>
      <c r="K911" s="34"/>
      <c r="L911" s="33"/>
      <c r="M911" s="34"/>
      <c r="N911" s="34"/>
      <c r="O911" s="35"/>
    </row>
    <row r="912" spans="1:15">
      <c r="A912" s="32"/>
      <c r="B912" s="32"/>
      <c r="C912" s="32"/>
      <c r="D912" s="32"/>
      <c r="E912" s="32"/>
      <c r="F912" s="32"/>
      <c r="G912" s="33"/>
      <c r="H912" s="33"/>
      <c r="I912" s="33"/>
      <c r="J912" s="33"/>
      <c r="K912" s="34"/>
      <c r="L912" s="33"/>
      <c r="M912" s="34"/>
      <c r="N912" s="34"/>
      <c r="O912" s="35"/>
    </row>
    <row r="913" spans="1:15">
      <c r="A913" s="32"/>
      <c r="B913" s="32"/>
      <c r="C913" s="32"/>
      <c r="D913" s="32"/>
      <c r="E913" s="32"/>
      <c r="F913" s="32"/>
      <c r="G913" s="33"/>
      <c r="H913" s="33"/>
      <c r="I913" s="33"/>
      <c r="J913" s="33"/>
      <c r="K913" s="34"/>
      <c r="L913" s="33"/>
      <c r="M913" s="34"/>
      <c r="N913" s="34"/>
      <c r="O913" s="35"/>
    </row>
    <row r="914" spans="1:15">
      <c r="A914" s="32"/>
      <c r="B914" s="32"/>
      <c r="C914" s="32"/>
      <c r="D914" s="32"/>
      <c r="E914" s="32"/>
      <c r="F914" s="32"/>
      <c r="G914" s="33"/>
      <c r="H914" s="33"/>
      <c r="I914" s="33"/>
      <c r="J914" s="33"/>
      <c r="K914" s="34"/>
      <c r="L914" s="33"/>
      <c r="M914" s="34"/>
      <c r="N914" s="34"/>
      <c r="O914" s="35"/>
    </row>
    <row r="915" spans="1:15">
      <c r="A915" s="32"/>
      <c r="B915" s="32"/>
      <c r="C915" s="32"/>
      <c r="D915" s="32"/>
      <c r="E915" s="32"/>
      <c r="F915" s="32"/>
      <c r="G915" s="33"/>
      <c r="H915" s="33"/>
      <c r="I915" s="33"/>
      <c r="J915" s="33"/>
      <c r="K915" s="34"/>
      <c r="L915" s="33"/>
      <c r="M915" s="34"/>
      <c r="N915" s="34"/>
      <c r="O915" s="35"/>
    </row>
    <row r="916" spans="1:15">
      <c r="A916" s="32"/>
      <c r="B916" s="32"/>
      <c r="C916" s="32"/>
      <c r="D916" s="32"/>
      <c r="E916" s="32"/>
      <c r="F916" s="32"/>
      <c r="G916" s="33"/>
      <c r="H916" s="33"/>
      <c r="I916" s="33"/>
      <c r="J916" s="33"/>
      <c r="K916" s="34"/>
      <c r="L916" s="33"/>
      <c r="M916" s="34"/>
      <c r="N916" s="34"/>
      <c r="O916" s="35"/>
    </row>
    <row r="917" spans="1:15">
      <c r="A917" s="32"/>
      <c r="B917" s="32"/>
      <c r="C917" s="32"/>
      <c r="D917" s="32"/>
      <c r="E917" s="32"/>
      <c r="F917" s="32"/>
      <c r="G917" s="33"/>
      <c r="H917" s="33"/>
      <c r="I917" s="33"/>
      <c r="J917" s="33"/>
      <c r="K917" s="34"/>
      <c r="L917" s="33"/>
      <c r="M917" s="34"/>
      <c r="N917" s="34"/>
      <c r="O917" s="35"/>
    </row>
    <row r="918" spans="1:15">
      <c r="A918" s="32"/>
      <c r="B918" s="32"/>
      <c r="C918" s="32"/>
      <c r="D918" s="32"/>
      <c r="E918" s="32"/>
      <c r="F918" s="32"/>
      <c r="G918" s="33"/>
      <c r="H918" s="33"/>
      <c r="I918" s="33"/>
      <c r="J918" s="33"/>
      <c r="K918" s="34"/>
      <c r="L918" s="33"/>
      <c r="M918" s="34"/>
      <c r="N918" s="34"/>
      <c r="O918" s="35"/>
    </row>
    <row r="919" spans="1:15">
      <c r="A919" s="32"/>
      <c r="B919" s="32"/>
      <c r="C919" s="32"/>
      <c r="D919" s="32"/>
      <c r="E919" s="32"/>
      <c r="F919" s="32"/>
      <c r="G919" s="33"/>
      <c r="H919" s="33"/>
      <c r="I919" s="33"/>
      <c r="J919" s="33"/>
      <c r="K919" s="34"/>
      <c r="L919" s="33"/>
      <c r="M919" s="34"/>
      <c r="N919" s="34"/>
      <c r="O919" s="35"/>
    </row>
    <row r="920" spans="1:15">
      <c r="A920" s="32"/>
      <c r="B920" s="32"/>
      <c r="C920" s="32"/>
      <c r="D920" s="32"/>
      <c r="E920" s="32"/>
      <c r="F920" s="32"/>
      <c r="G920" s="33"/>
      <c r="H920" s="33"/>
      <c r="I920" s="33"/>
      <c r="J920" s="33"/>
      <c r="K920" s="34"/>
      <c r="L920" s="33"/>
      <c r="M920" s="34"/>
      <c r="N920" s="34"/>
      <c r="O920" s="35"/>
    </row>
    <row r="921" spans="1:15">
      <c r="A921" s="32"/>
      <c r="B921" s="32"/>
      <c r="C921" s="32"/>
      <c r="D921" s="32"/>
      <c r="E921" s="32"/>
      <c r="F921" s="32"/>
      <c r="G921" s="33"/>
      <c r="H921" s="33"/>
      <c r="I921" s="33"/>
      <c r="J921" s="33"/>
      <c r="K921" s="34"/>
      <c r="L921" s="33"/>
      <c r="M921" s="34"/>
      <c r="N921" s="34"/>
      <c r="O921" s="35"/>
    </row>
    <row r="922" spans="1:15">
      <c r="A922" s="32"/>
      <c r="B922" s="32"/>
      <c r="C922" s="32"/>
      <c r="D922" s="32"/>
      <c r="E922" s="32"/>
      <c r="F922" s="32"/>
      <c r="G922" s="33"/>
      <c r="H922" s="33"/>
      <c r="I922" s="33"/>
      <c r="J922" s="33"/>
      <c r="K922" s="34"/>
      <c r="L922" s="33"/>
      <c r="M922" s="34"/>
      <c r="N922" s="34"/>
      <c r="O922" s="35"/>
    </row>
    <row r="923" spans="1:15">
      <c r="A923" s="32"/>
      <c r="B923" s="32"/>
      <c r="C923" s="32"/>
      <c r="D923" s="32"/>
      <c r="E923" s="32"/>
      <c r="F923" s="32"/>
      <c r="G923" s="33"/>
      <c r="H923" s="33"/>
      <c r="I923" s="33"/>
      <c r="J923" s="33"/>
      <c r="K923" s="34"/>
      <c r="L923" s="33"/>
      <c r="M923" s="34"/>
      <c r="N923" s="34"/>
      <c r="O923" s="35"/>
    </row>
    <row r="924" spans="1:15">
      <c r="A924" s="32"/>
      <c r="B924" s="32"/>
      <c r="C924" s="32"/>
      <c r="D924" s="32"/>
      <c r="E924" s="32"/>
      <c r="F924" s="32"/>
      <c r="G924" s="33"/>
      <c r="H924" s="33"/>
      <c r="I924" s="33"/>
      <c r="J924" s="33"/>
      <c r="K924" s="34"/>
      <c r="L924" s="33"/>
      <c r="M924" s="34"/>
      <c r="N924" s="34"/>
      <c r="O924" s="35"/>
    </row>
    <row r="925" spans="1:15">
      <c r="A925" s="32"/>
      <c r="B925" s="32"/>
      <c r="C925" s="32"/>
      <c r="D925" s="32"/>
      <c r="E925" s="32"/>
      <c r="F925" s="32"/>
      <c r="G925" s="33"/>
      <c r="H925" s="33"/>
      <c r="I925" s="33"/>
      <c r="J925" s="33"/>
      <c r="K925" s="34"/>
      <c r="L925" s="33"/>
      <c r="M925" s="34"/>
      <c r="N925" s="34"/>
      <c r="O925" s="35"/>
    </row>
    <row r="926" spans="1:15">
      <c r="A926" s="32"/>
      <c r="B926" s="32"/>
      <c r="C926" s="32"/>
      <c r="D926" s="32"/>
      <c r="E926" s="32"/>
      <c r="F926" s="32"/>
      <c r="G926" s="33"/>
      <c r="H926" s="33"/>
      <c r="I926" s="33"/>
      <c r="J926" s="33"/>
      <c r="K926" s="34"/>
      <c r="L926" s="33"/>
      <c r="M926" s="34"/>
      <c r="N926" s="34"/>
      <c r="O926" s="35"/>
    </row>
    <row r="927" spans="1:15">
      <c r="A927" s="32"/>
      <c r="B927" s="32"/>
      <c r="C927" s="32"/>
      <c r="D927" s="32"/>
      <c r="E927" s="32"/>
      <c r="F927" s="32"/>
      <c r="G927" s="33"/>
      <c r="H927" s="33"/>
      <c r="I927" s="33"/>
      <c r="J927" s="33"/>
      <c r="K927" s="34"/>
      <c r="L927" s="33"/>
      <c r="M927" s="34"/>
      <c r="N927" s="34"/>
      <c r="O927" s="35"/>
    </row>
    <row r="928" spans="1:15">
      <c r="A928" s="32"/>
      <c r="B928" s="32"/>
      <c r="C928" s="32"/>
      <c r="D928" s="32"/>
      <c r="E928" s="32"/>
      <c r="F928" s="32"/>
      <c r="G928" s="33"/>
      <c r="H928" s="33"/>
      <c r="I928" s="33"/>
      <c r="J928" s="33"/>
      <c r="K928" s="34"/>
      <c r="L928" s="33"/>
      <c r="M928" s="34"/>
      <c r="N928" s="34"/>
      <c r="O928" s="35"/>
    </row>
    <row r="929" spans="1:15">
      <c r="A929" s="32"/>
      <c r="B929" s="32"/>
      <c r="C929" s="32"/>
      <c r="D929" s="32"/>
      <c r="E929" s="32"/>
      <c r="F929" s="32"/>
      <c r="G929" s="33"/>
      <c r="H929" s="33"/>
      <c r="I929" s="33"/>
      <c r="J929" s="33"/>
      <c r="K929" s="34"/>
      <c r="L929" s="33"/>
      <c r="M929" s="34"/>
      <c r="N929" s="34"/>
      <c r="O929" s="35"/>
    </row>
    <row r="930" spans="1:15">
      <c r="A930" s="32"/>
      <c r="B930" s="32"/>
      <c r="C930" s="32"/>
      <c r="D930" s="32"/>
      <c r="E930" s="32"/>
      <c r="F930" s="32"/>
      <c r="G930" s="33"/>
      <c r="H930" s="33"/>
      <c r="I930" s="33"/>
      <c r="J930" s="33"/>
      <c r="K930" s="34"/>
      <c r="L930" s="33"/>
      <c r="M930" s="34"/>
      <c r="N930" s="34"/>
      <c r="O930" s="35"/>
    </row>
    <row r="931" spans="1:15">
      <c r="A931" s="32"/>
      <c r="B931" s="32"/>
      <c r="C931" s="32"/>
      <c r="D931" s="32"/>
      <c r="E931" s="32"/>
      <c r="F931" s="32"/>
      <c r="G931" s="33"/>
      <c r="H931" s="33"/>
      <c r="I931" s="33"/>
      <c r="J931" s="33"/>
      <c r="K931" s="34"/>
      <c r="L931" s="33"/>
      <c r="M931" s="34"/>
      <c r="N931" s="34"/>
      <c r="O931" s="35"/>
    </row>
    <row r="932" spans="1:15">
      <c r="A932" s="32"/>
      <c r="B932" s="32"/>
      <c r="C932" s="32"/>
      <c r="D932" s="32"/>
      <c r="E932" s="32"/>
      <c r="F932" s="32"/>
      <c r="G932" s="33"/>
      <c r="H932" s="33"/>
      <c r="I932" s="33"/>
      <c r="J932" s="33"/>
      <c r="K932" s="34"/>
      <c r="L932" s="33"/>
      <c r="M932" s="34"/>
      <c r="N932" s="34"/>
      <c r="O932" s="35"/>
    </row>
    <row r="933" spans="1:15">
      <c r="A933" s="32"/>
      <c r="B933" s="32"/>
      <c r="C933" s="32"/>
      <c r="D933" s="32"/>
      <c r="E933" s="32"/>
      <c r="F933" s="32"/>
      <c r="G933" s="33"/>
      <c r="H933" s="33"/>
      <c r="I933" s="33"/>
      <c r="J933" s="33"/>
      <c r="K933" s="34"/>
      <c r="L933" s="33"/>
      <c r="M933" s="34"/>
      <c r="N933" s="34"/>
      <c r="O933" s="35"/>
    </row>
    <row r="934" spans="1:15">
      <c r="A934" s="32"/>
      <c r="B934" s="32"/>
      <c r="C934" s="32"/>
      <c r="D934" s="32"/>
      <c r="E934" s="32"/>
      <c r="F934" s="32"/>
      <c r="G934" s="33"/>
      <c r="H934" s="33"/>
      <c r="I934" s="33"/>
      <c r="J934" s="33"/>
      <c r="K934" s="34"/>
      <c r="L934" s="33"/>
      <c r="M934" s="34"/>
      <c r="N934" s="34"/>
      <c r="O934" s="35"/>
    </row>
    <row r="935" spans="1:15">
      <c r="A935" s="32"/>
      <c r="B935" s="32"/>
      <c r="C935" s="32"/>
      <c r="D935" s="32"/>
      <c r="E935" s="32"/>
      <c r="F935" s="32"/>
      <c r="G935" s="33"/>
      <c r="H935" s="33"/>
      <c r="I935" s="33"/>
      <c r="J935" s="33"/>
      <c r="K935" s="34"/>
      <c r="L935" s="33"/>
      <c r="M935" s="34"/>
      <c r="N935" s="34"/>
      <c r="O935" s="35"/>
    </row>
    <row r="936" spans="1:15">
      <c r="A936" s="32"/>
      <c r="B936" s="32"/>
      <c r="C936" s="32"/>
      <c r="D936" s="32"/>
      <c r="E936" s="32"/>
      <c r="F936" s="32"/>
      <c r="G936" s="33"/>
      <c r="H936" s="33"/>
      <c r="I936" s="33"/>
      <c r="J936" s="33"/>
      <c r="K936" s="34"/>
      <c r="L936" s="33"/>
      <c r="M936" s="34"/>
      <c r="N936" s="34"/>
      <c r="O936" s="35"/>
    </row>
    <row r="937" spans="1:15">
      <c r="A937" s="32"/>
      <c r="B937" s="32"/>
      <c r="C937" s="32"/>
      <c r="D937" s="32"/>
      <c r="E937" s="32"/>
      <c r="F937" s="32"/>
      <c r="G937" s="33"/>
      <c r="H937" s="33"/>
      <c r="I937" s="33"/>
      <c r="J937" s="33"/>
      <c r="K937" s="34"/>
      <c r="L937" s="33"/>
      <c r="M937" s="34"/>
      <c r="N937" s="34"/>
      <c r="O937" s="35"/>
    </row>
    <row r="938" spans="1:15">
      <c r="A938" s="32"/>
      <c r="B938" s="32"/>
      <c r="C938" s="32"/>
      <c r="D938" s="32"/>
      <c r="E938" s="32"/>
      <c r="F938" s="32"/>
      <c r="G938" s="33"/>
      <c r="H938" s="33"/>
      <c r="I938" s="33"/>
      <c r="J938" s="33"/>
      <c r="K938" s="34"/>
      <c r="L938" s="33"/>
      <c r="M938" s="34"/>
      <c r="N938" s="34"/>
      <c r="O938" s="35"/>
    </row>
    <row r="939" spans="1:15">
      <c r="A939" s="32"/>
      <c r="B939" s="32"/>
      <c r="C939" s="32"/>
      <c r="D939" s="32"/>
      <c r="E939" s="32"/>
      <c r="F939" s="32"/>
      <c r="G939" s="33"/>
      <c r="H939" s="33"/>
      <c r="I939" s="33"/>
      <c r="J939" s="33"/>
      <c r="K939" s="34"/>
      <c r="L939" s="33"/>
      <c r="M939" s="34"/>
      <c r="N939" s="34"/>
      <c r="O939" s="35"/>
    </row>
    <row r="940" spans="1:15">
      <c r="A940" s="32"/>
      <c r="B940" s="32"/>
      <c r="C940" s="32"/>
      <c r="D940" s="32"/>
      <c r="E940" s="32"/>
      <c r="F940" s="32"/>
      <c r="G940" s="33"/>
      <c r="H940" s="33"/>
      <c r="I940" s="33"/>
      <c r="J940" s="33"/>
      <c r="K940" s="34"/>
      <c r="L940" s="33"/>
      <c r="M940" s="34"/>
      <c r="N940" s="34"/>
      <c r="O940" s="35"/>
    </row>
    <row r="941" spans="1:15">
      <c r="A941" s="32"/>
      <c r="B941" s="32"/>
      <c r="C941" s="32"/>
      <c r="D941" s="32"/>
      <c r="E941" s="32"/>
      <c r="F941" s="32"/>
      <c r="G941" s="33"/>
      <c r="H941" s="33"/>
      <c r="I941" s="33"/>
      <c r="J941" s="33"/>
      <c r="K941" s="34"/>
      <c r="L941" s="33"/>
      <c r="M941" s="34"/>
      <c r="N941" s="34"/>
      <c r="O941" s="35"/>
    </row>
    <row r="942" spans="1:15">
      <c r="A942" s="32"/>
      <c r="B942" s="32"/>
      <c r="C942" s="32"/>
      <c r="D942" s="32"/>
      <c r="E942" s="32"/>
      <c r="F942" s="32"/>
      <c r="G942" s="33"/>
      <c r="H942" s="33"/>
      <c r="I942" s="33"/>
      <c r="J942" s="33"/>
      <c r="K942" s="34"/>
      <c r="L942" s="33"/>
      <c r="M942" s="34"/>
      <c r="N942" s="34"/>
      <c r="O942" s="35"/>
    </row>
    <row r="943" spans="1:15">
      <c r="A943" s="32"/>
      <c r="B943" s="32"/>
      <c r="C943" s="32"/>
      <c r="D943" s="32"/>
      <c r="E943" s="32"/>
      <c r="F943" s="32"/>
      <c r="G943" s="33"/>
      <c r="H943" s="33"/>
      <c r="I943" s="33"/>
      <c r="J943" s="33"/>
      <c r="K943" s="34"/>
      <c r="L943" s="33"/>
      <c r="M943" s="34"/>
      <c r="N943" s="34"/>
      <c r="O943" s="35"/>
    </row>
    <row r="944" spans="1:15">
      <c r="A944" s="32"/>
      <c r="B944" s="32"/>
      <c r="C944" s="32"/>
      <c r="D944" s="32"/>
      <c r="E944" s="32"/>
      <c r="F944" s="32"/>
      <c r="G944" s="33"/>
      <c r="H944" s="33"/>
      <c r="I944" s="33"/>
      <c r="J944" s="33"/>
      <c r="K944" s="34"/>
      <c r="L944" s="33"/>
      <c r="M944" s="34"/>
      <c r="N944" s="34"/>
      <c r="O944" s="35"/>
    </row>
    <row r="945" spans="1:15">
      <c r="A945" s="32"/>
      <c r="B945" s="32"/>
      <c r="C945" s="32"/>
      <c r="D945" s="32"/>
      <c r="E945" s="32"/>
      <c r="F945" s="32"/>
      <c r="G945" s="33"/>
      <c r="H945" s="33"/>
      <c r="I945" s="33"/>
      <c r="J945" s="33"/>
      <c r="K945" s="34"/>
      <c r="L945" s="33"/>
      <c r="M945" s="34"/>
      <c r="N945" s="34"/>
      <c r="O945" s="35"/>
    </row>
    <row r="946" spans="1:15">
      <c r="A946" s="32"/>
      <c r="B946" s="32"/>
      <c r="C946" s="32"/>
      <c r="D946" s="32"/>
      <c r="E946" s="32"/>
      <c r="F946" s="32"/>
      <c r="G946" s="33"/>
      <c r="H946" s="33"/>
      <c r="I946" s="33"/>
      <c r="J946" s="33"/>
      <c r="K946" s="34"/>
      <c r="L946" s="33"/>
      <c r="M946" s="34"/>
      <c r="N946" s="34"/>
      <c r="O946" s="35"/>
    </row>
    <row r="947" spans="1:15">
      <c r="A947" s="32"/>
      <c r="B947" s="32"/>
      <c r="C947" s="32"/>
      <c r="D947" s="32"/>
      <c r="E947" s="32"/>
      <c r="F947" s="32"/>
      <c r="G947" s="33"/>
      <c r="H947" s="33"/>
      <c r="I947" s="33"/>
      <c r="J947" s="33"/>
      <c r="K947" s="34"/>
      <c r="L947" s="33"/>
      <c r="M947" s="34"/>
      <c r="N947" s="34"/>
      <c r="O947" s="35"/>
    </row>
    <row r="948" spans="1:15">
      <c r="A948" s="32"/>
      <c r="B948" s="32"/>
      <c r="C948" s="32"/>
      <c r="D948" s="32"/>
      <c r="E948" s="32"/>
      <c r="F948" s="32"/>
      <c r="G948" s="33"/>
      <c r="H948" s="33"/>
      <c r="I948" s="33"/>
      <c r="J948" s="33"/>
      <c r="K948" s="34"/>
      <c r="L948" s="33"/>
      <c r="M948" s="34"/>
      <c r="N948" s="34"/>
      <c r="O948" s="35"/>
    </row>
    <row r="949" spans="1:15">
      <c r="A949" s="32"/>
      <c r="B949" s="32"/>
      <c r="C949" s="32"/>
      <c r="D949" s="32"/>
      <c r="E949" s="32"/>
      <c r="F949" s="32"/>
      <c r="G949" s="33"/>
      <c r="H949" s="33"/>
      <c r="I949" s="33"/>
      <c r="J949" s="33"/>
      <c r="K949" s="34"/>
      <c r="L949" s="33"/>
      <c r="M949" s="34"/>
      <c r="N949" s="34"/>
      <c r="O949" s="35"/>
    </row>
    <row r="950" spans="1:15">
      <c r="A950" s="32"/>
      <c r="B950" s="32"/>
      <c r="C950" s="32"/>
      <c r="D950" s="32"/>
      <c r="E950" s="32"/>
      <c r="F950" s="32"/>
      <c r="G950" s="33"/>
      <c r="H950" s="33"/>
      <c r="I950" s="33"/>
      <c r="J950" s="33"/>
      <c r="K950" s="34"/>
      <c r="L950" s="33"/>
      <c r="M950" s="34"/>
      <c r="N950" s="34"/>
      <c r="O950" s="35"/>
    </row>
    <row r="951" spans="1:15">
      <c r="A951" s="32"/>
      <c r="B951" s="32"/>
      <c r="C951" s="32"/>
      <c r="D951" s="32"/>
      <c r="E951" s="32"/>
      <c r="F951" s="32"/>
      <c r="G951" s="33"/>
      <c r="H951" s="33"/>
      <c r="I951" s="33"/>
      <c r="J951" s="33"/>
      <c r="K951" s="34"/>
      <c r="L951" s="33"/>
      <c r="M951" s="34"/>
      <c r="N951" s="34"/>
      <c r="O951" s="35"/>
    </row>
    <row r="952" spans="1:15">
      <c r="A952" s="32"/>
      <c r="B952" s="32"/>
      <c r="C952" s="32"/>
      <c r="D952" s="32"/>
      <c r="E952" s="32"/>
      <c r="F952" s="32"/>
      <c r="G952" s="33"/>
      <c r="H952" s="33"/>
      <c r="I952" s="33"/>
      <c r="J952" s="33"/>
      <c r="K952" s="34"/>
      <c r="L952" s="33"/>
      <c r="M952" s="34"/>
      <c r="N952" s="34"/>
      <c r="O952" s="35"/>
    </row>
    <row r="953" spans="1:15">
      <c r="A953" s="32"/>
      <c r="B953" s="32"/>
      <c r="C953" s="32"/>
      <c r="D953" s="32"/>
      <c r="E953" s="32"/>
      <c r="F953" s="32"/>
      <c r="G953" s="33"/>
      <c r="H953" s="33"/>
      <c r="I953" s="33"/>
      <c r="J953" s="33"/>
      <c r="K953" s="34"/>
      <c r="L953" s="33"/>
      <c r="M953" s="34"/>
      <c r="N953" s="34"/>
      <c r="O953" s="35"/>
    </row>
    <row r="954" spans="1:15">
      <c r="A954" s="32"/>
      <c r="B954" s="32"/>
      <c r="C954" s="32"/>
      <c r="D954" s="32"/>
      <c r="E954" s="32"/>
      <c r="F954" s="32"/>
      <c r="G954" s="33"/>
      <c r="H954" s="33"/>
      <c r="I954" s="33"/>
      <c r="J954" s="33"/>
      <c r="K954" s="34"/>
      <c r="L954" s="33"/>
      <c r="M954" s="34"/>
      <c r="N954" s="34"/>
      <c r="O954" s="35"/>
    </row>
    <row r="955" spans="1:15">
      <c r="A955" s="32"/>
      <c r="B955" s="32"/>
      <c r="C955" s="32"/>
      <c r="D955" s="32"/>
      <c r="E955" s="32"/>
      <c r="F955" s="32"/>
      <c r="G955" s="33"/>
      <c r="H955" s="33"/>
      <c r="I955" s="33"/>
      <c r="J955" s="33"/>
      <c r="K955" s="34"/>
      <c r="L955" s="33"/>
      <c r="M955" s="34"/>
      <c r="N955" s="34"/>
      <c r="O955" s="35"/>
    </row>
    <row r="956" spans="1:15">
      <c r="A956" s="32"/>
      <c r="B956" s="32"/>
      <c r="C956" s="32"/>
      <c r="D956" s="32"/>
      <c r="E956" s="32"/>
      <c r="F956" s="32"/>
      <c r="G956" s="33"/>
      <c r="H956" s="33"/>
      <c r="I956" s="33"/>
      <c r="J956" s="33"/>
      <c r="K956" s="34"/>
      <c r="L956" s="33"/>
      <c r="M956" s="34"/>
      <c r="N956" s="34"/>
      <c r="O956" s="35"/>
    </row>
    <row r="957" spans="1:15">
      <c r="A957" s="32"/>
      <c r="B957" s="32"/>
      <c r="C957" s="32"/>
      <c r="D957" s="32"/>
      <c r="E957" s="32"/>
      <c r="F957" s="32"/>
      <c r="G957" s="33"/>
      <c r="H957" s="33"/>
      <c r="I957" s="33"/>
      <c r="J957" s="33"/>
      <c r="K957" s="34"/>
      <c r="L957" s="33"/>
      <c r="M957" s="34"/>
      <c r="N957" s="34"/>
      <c r="O957" s="35"/>
    </row>
    <row r="958" spans="1:15">
      <c r="A958" s="32"/>
      <c r="B958" s="32"/>
      <c r="C958" s="32"/>
      <c r="D958" s="32"/>
      <c r="E958" s="32"/>
      <c r="F958" s="32"/>
      <c r="G958" s="33"/>
      <c r="H958" s="33"/>
      <c r="I958" s="33"/>
      <c r="J958" s="33"/>
      <c r="K958" s="34"/>
      <c r="L958" s="33"/>
      <c r="M958" s="34"/>
      <c r="N958" s="34"/>
      <c r="O958" s="35"/>
    </row>
    <row r="959" spans="1:15">
      <c r="A959" s="32"/>
      <c r="B959" s="32"/>
      <c r="C959" s="32"/>
      <c r="D959" s="32"/>
      <c r="E959" s="32"/>
      <c r="F959" s="32"/>
      <c r="G959" s="33"/>
      <c r="H959" s="33"/>
      <c r="I959" s="33"/>
      <c r="J959" s="33"/>
      <c r="K959" s="34"/>
      <c r="L959" s="33"/>
      <c r="M959" s="34"/>
      <c r="N959" s="34"/>
      <c r="O959" s="35"/>
    </row>
    <row r="960" spans="1:15">
      <c r="A960" s="32"/>
      <c r="B960" s="32"/>
      <c r="C960" s="32"/>
      <c r="D960" s="32"/>
      <c r="E960" s="32"/>
      <c r="F960" s="32"/>
      <c r="G960" s="33"/>
      <c r="H960" s="33"/>
      <c r="I960" s="33"/>
      <c r="J960" s="33"/>
      <c r="K960" s="34"/>
      <c r="L960" s="33"/>
      <c r="M960" s="34"/>
      <c r="N960" s="34"/>
      <c r="O960" s="35"/>
    </row>
    <row r="961" spans="1:15">
      <c r="A961" s="32"/>
      <c r="B961" s="32"/>
      <c r="C961" s="32"/>
      <c r="D961" s="32"/>
      <c r="E961" s="32"/>
      <c r="F961" s="32"/>
      <c r="G961" s="33"/>
      <c r="H961" s="33"/>
      <c r="I961" s="33"/>
      <c r="J961" s="33"/>
      <c r="K961" s="34"/>
      <c r="L961" s="33"/>
      <c r="M961" s="34"/>
      <c r="N961" s="34"/>
      <c r="O961" s="35"/>
    </row>
    <row r="962" spans="1:15">
      <c r="A962" s="32"/>
      <c r="B962" s="32"/>
      <c r="C962" s="32"/>
      <c r="D962" s="32"/>
      <c r="E962" s="32"/>
      <c r="F962" s="32"/>
      <c r="G962" s="33"/>
      <c r="H962" s="33"/>
      <c r="I962" s="33"/>
      <c r="J962" s="33"/>
      <c r="K962" s="34"/>
      <c r="L962" s="33"/>
      <c r="M962" s="34"/>
      <c r="N962" s="34"/>
      <c r="O962" s="35"/>
    </row>
    <row r="963" spans="1:15">
      <c r="A963" s="32"/>
      <c r="B963" s="32"/>
      <c r="C963" s="32"/>
      <c r="D963" s="32"/>
      <c r="E963" s="32"/>
      <c r="F963" s="32"/>
      <c r="G963" s="33"/>
      <c r="H963" s="33"/>
      <c r="I963" s="33"/>
      <c r="J963" s="33"/>
      <c r="K963" s="34"/>
      <c r="L963" s="33"/>
      <c r="M963" s="34"/>
      <c r="N963" s="34"/>
      <c r="O963" s="35"/>
    </row>
    <row r="964" spans="1:15">
      <c r="A964" s="32"/>
      <c r="B964" s="32"/>
      <c r="C964" s="32"/>
      <c r="D964" s="32"/>
      <c r="E964" s="32"/>
      <c r="F964" s="32"/>
      <c r="G964" s="33"/>
      <c r="H964" s="33"/>
      <c r="I964" s="33"/>
      <c r="J964" s="33"/>
      <c r="K964" s="34"/>
      <c r="L964" s="33"/>
      <c r="M964" s="34"/>
      <c r="N964" s="34"/>
      <c r="O964" s="35"/>
    </row>
    <row r="965" spans="1:15">
      <c r="A965" s="32"/>
      <c r="B965" s="32"/>
      <c r="C965" s="32"/>
      <c r="D965" s="32"/>
      <c r="E965" s="32"/>
      <c r="F965" s="32"/>
      <c r="G965" s="33"/>
      <c r="H965" s="33"/>
      <c r="I965" s="33"/>
      <c r="J965" s="33"/>
      <c r="K965" s="34"/>
      <c r="L965" s="33"/>
      <c r="M965" s="34"/>
      <c r="N965" s="34"/>
      <c r="O965" s="35"/>
    </row>
    <row r="966" spans="1:15">
      <c r="A966" s="32"/>
      <c r="B966" s="32"/>
      <c r="C966" s="32"/>
      <c r="D966" s="32"/>
      <c r="E966" s="32"/>
      <c r="F966" s="32"/>
      <c r="G966" s="33"/>
      <c r="H966" s="33"/>
      <c r="I966" s="33"/>
      <c r="J966" s="33"/>
      <c r="K966" s="34"/>
      <c r="L966" s="33"/>
      <c r="M966" s="34"/>
      <c r="N966" s="34"/>
      <c r="O966" s="35"/>
    </row>
    <row r="967" spans="1:15">
      <c r="A967" s="32"/>
      <c r="B967" s="32"/>
      <c r="C967" s="32"/>
      <c r="D967" s="32"/>
      <c r="E967" s="32"/>
      <c r="F967" s="32"/>
      <c r="G967" s="33"/>
      <c r="H967" s="33"/>
      <c r="I967" s="33"/>
      <c r="J967" s="33"/>
      <c r="K967" s="34"/>
      <c r="L967" s="33"/>
      <c r="M967" s="34"/>
      <c r="N967" s="34"/>
      <c r="O967" s="35"/>
    </row>
    <row r="968" spans="1:15">
      <c r="A968" s="32"/>
      <c r="B968" s="32"/>
      <c r="C968" s="32"/>
      <c r="D968" s="32"/>
      <c r="E968" s="32"/>
      <c r="F968" s="32"/>
      <c r="G968" s="33"/>
      <c r="H968" s="33"/>
      <c r="I968" s="33"/>
      <c r="J968" s="33"/>
      <c r="K968" s="34"/>
      <c r="L968" s="33"/>
      <c r="M968" s="34"/>
      <c r="N968" s="34"/>
      <c r="O968" s="35"/>
    </row>
    <row r="969" spans="1:15">
      <c r="A969" s="32"/>
      <c r="B969" s="32"/>
      <c r="C969" s="32"/>
      <c r="D969" s="32"/>
      <c r="E969" s="32"/>
      <c r="F969" s="32"/>
      <c r="G969" s="33"/>
      <c r="H969" s="33"/>
      <c r="I969" s="33"/>
      <c r="J969" s="33"/>
      <c r="K969" s="34"/>
      <c r="L969" s="33"/>
      <c r="M969" s="34"/>
      <c r="N969" s="34"/>
      <c r="O969" s="35"/>
    </row>
    <row r="970" spans="1:15">
      <c r="A970" s="32"/>
      <c r="B970" s="32"/>
      <c r="C970" s="32"/>
      <c r="D970" s="32"/>
      <c r="E970" s="32"/>
      <c r="F970" s="32"/>
      <c r="G970" s="33"/>
      <c r="H970" s="33"/>
      <c r="I970" s="33"/>
      <c r="J970" s="33"/>
      <c r="K970" s="34"/>
      <c r="L970" s="33"/>
      <c r="M970" s="34"/>
      <c r="N970" s="34"/>
      <c r="O970" s="35"/>
    </row>
    <row r="971" spans="1:15">
      <c r="A971" s="32"/>
      <c r="B971" s="32"/>
      <c r="C971" s="32"/>
      <c r="D971" s="32"/>
      <c r="E971" s="32"/>
      <c r="F971" s="32"/>
      <c r="G971" s="33"/>
      <c r="H971" s="33"/>
      <c r="I971" s="33"/>
      <c r="J971" s="33"/>
      <c r="K971" s="34"/>
      <c r="L971" s="33"/>
      <c r="M971" s="34"/>
      <c r="N971" s="34"/>
      <c r="O971" s="35"/>
    </row>
    <row r="972" spans="1:15">
      <c r="A972" s="32"/>
      <c r="B972" s="32"/>
      <c r="C972" s="32"/>
      <c r="D972" s="32"/>
      <c r="E972" s="32"/>
      <c r="F972" s="32"/>
      <c r="G972" s="33"/>
      <c r="H972" s="33"/>
      <c r="I972" s="33"/>
      <c r="J972" s="33"/>
      <c r="K972" s="34"/>
      <c r="L972" s="33"/>
      <c r="M972" s="34"/>
      <c r="N972" s="34"/>
      <c r="O972" s="35"/>
    </row>
    <row r="973" spans="1:15">
      <c r="A973" s="32"/>
      <c r="B973" s="32"/>
      <c r="C973" s="32"/>
      <c r="D973" s="32"/>
      <c r="E973" s="32"/>
      <c r="F973" s="32"/>
      <c r="G973" s="33"/>
      <c r="H973" s="33"/>
      <c r="I973" s="33"/>
      <c r="J973" s="33"/>
      <c r="K973" s="34"/>
      <c r="L973" s="33"/>
      <c r="M973" s="34"/>
      <c r="N973" s="34"/>
      <c r="O973" s="35"/>
    </row>
    <row r="974" spans="1:15">
      <c r="A974" s="32"/>
      <c r="B974" s="32"/>
      <c r="C974" s="32"/>
      <c r="D974" s="32"/>
      <c r="E974" s="32"/>
      <c r="F974" s="32"/>
      <c r="G974" s="33"/>
      <c r="H974" s="33"/>
      <c r="I974" s="33"/>
      <c r="J974" s="33"/>
      <c r="K974" s="34"/>
      <c r="L974" s="33"/>
      <c r="M974" s="34"/>
      <c r="N974" s="34"/>
      <c r="O974" s="35"/>
    </row>
    <row r="975" spans="1:15">
      <c r="A975" s="32"/>
      <c r="B975" s="32"/>
      <c r="C975" s="32"/>
      <c r="D975" s="32"/>
      <c r="E975" s="32"/>
      <c r="F975" s="32"/>
      <c r="G975" s="33"/>
      <c r="H975" s="33"/>
      <c r="I975" s="33"/>
      <c r="J975" s="33"/>
      <c r="K975" s="34"/>
      <c r="L975" s="33"/>
      <c r="M975" s="34"/>
      <c r="N975" s="34"/>
      <c r="O975" s="35"/>
    </row>
    <row r="976" spans="1:15">
      <c r="A976" s="32"/>
      <c r="B976" s="32"/>
      <c r="C976" s="32"/>
      <c r="D976" s="32"/>
      <c r="E976" s="32"/>
      <c r="F976" s="32"/>
      <c r="G976" s="33"/>
      <c r="H976" s="33"/>
      <c r="I976" s="33"/>
      <c r="J976" s="33"/>
      <c r="K976" s="34"/>
      <c r="L976" s="33"/>
      <c r="M976" s="34"/>
      <c r="N976" s="34"/>
      <c r="O976" s="35"/>
    </row>
    <row r="977" spans="1:15">
      <c r="A977" s="32"/>
      <c r="B977" s="32"/>
      <c r="C977" s="32"/>
      <c r="D977" s="32"/>
      <c r="E977" s="32"/>
      <c r="F977" s="32"/>
      <c r="G977" s="33"/>
      <c r="H977" s="33"/>
      <c r="I977" s="33"/>
      <c r="J977" s="33"/>
      <c r="K977" s="34"/>
      <c r="L977" s="33"/>
      <c r="M977" s="34"/>
      <c r="N977" s="34"/>
      <c r="O977" s="35"/>
    </row>
    <row r="978" spans="1:15">
      <c r="A978" s="32"/>
      <c r="B978" s="32"/>
      <c r="C978" s="32"/>
      <c r="D978" s="32"/>
      <c r="E978" s="32"/>
      <c r="F978" s="32"/>
      <c r="G978" s="33"/>
      <c r="H978" s="33"/>
      <c r="I978" s="33"/>
      <c r="J978" s="33"/>
      <c r="K978" s="34"/>
      <c r="L978" s="33"/>
      <c r="M978" s="34"/>
      <c r="N978" s="34"/>
      <c r="O978" s="35"/>
    </row>
    <row r="979" spans="1:15">
      <c r="A979" s="32"/>
      <c r="B979" s="32"/>
      <c r="C979" s="32"/>
      <c r="D979" s="32"/>
      <c r="E979" s="32"/>
      <c r="F979" s="32"/>
      <c r="G979" s="33"/>
      <c r="H979" s="33"/>
      <c r="I979" s="33"/>
      <c r="J979" s="33"/>
      <c r="K979" s="34"/>
      <c r="L979" s="33"/>
      <c r="M979" s="34"/>
      <c r="N979" s="34"/>
      <c r="O979" s="35"/>
    </row>
    <row r="980" spans="1:15">
      <c r="A980" s="32"/>
      <c r="B980" s="32"/>
      <c r="C980" s="32"/>
      <c r="D980" s="32"/>
      <c r="E980" s="32"/>
      <c r="F980" s="32"/>
      <c r="G980" s="33"/>
      <c r="H980" s="33"/>
      <c r="I980" s="33"/>
      <c r="J980" s="33"/>
      <c r="K980" s="34"/>
      <c r="L980" s="33"/>
      <c r="M980" s="34"/>
      <c r="N980" s="34"/>
      <c r="O980" s="35"/>
    </row>
    <row r="981" spans="1:15">
      <c r="A981" s="32"/>
      <c r="B981" s="32"/>
      <c r="C981" s="32"/>
      <c r="D981" s="32"/>
      <c r="E981" s="32"/>
      <c r="F981" s="32"/>
      <c r="G981" s="33"/>
      <c r="H981" s="33"/>
      <c r="I981" s="33"/>
      <c r="J981" s="33"/>
      <c r="K981" s="34"/>
      <c r="L981" s="33"/>
      <c r="M981" s="34"/>
      <c r="N981" s="34"/>
      <c r="O981" s="35"/>
    </row>
    <row r="982" spans="1:15">
      <c r="A982" s="32"/>
      <c r="B982" s="32"/>
      <c r="C982" s="32"/>
      <c r="D982" s="32"/>
      <c r="E982" s="32"/>
      <c r="F982" s="32"/>
      <c r="G982" s="33"/>
      <c r="H982" s="33"/>
      <c r="I982" s="33"/>
      <c r="J982" s="33"/>
      <c r="K982" s="34"/>
      <c r="L982" s="33"/>
      <c r="M982" s="34"/>
      <c r="N982" s="34"/>
      <c r="O982" s="35"/>
    </row>
    <row r="983" spans="1:15">
      <c r="A983" s="32"/>
      <c r="B983" s="32"/>
      <c r="C983" s="32"/>
      <c r="D983" s="32"/>
      <c r="E983" s="32"/>
      <c r="F983" s="32"/>
      <c r="G983" s="33"/>
      <c r="H983" s="33"/>
      <c r="I983" s="33"/>
      <c r="J983" s="33"/>
      <c r="K983" s="34"/>
      <c r="L983" s="33"/>
      <c r="M983" s="34"/>
      <c r="N983" s="34"/>
      <c r="O983" s="35"/>
    </row>
    <row r="984" spans="1:15">
      <c r="A984" s="32"/>
      <c r="B984" s="32"/>
      <c r="C984" s="32"/>
      <c r="D984" s="32"/>
      <c r="E984" s="32"/>
      <c r="F984" s="32"/>
      <c r="G984" s="33"/>
      <c r="H984" s="33"/>
      <c r="I984" s="33"/>
      <c r="J984" s="33"/>
      <c r="K984" s="34"/>
      <c r="L984" s="33"/>
      <c r="M984" s="34"/>
      <c r="N984" s="34"/>
      <c r="O984" s="35"/>
    </row>
    <row r="985" spans="1:15">
      <c r="A985" s="32"/>
      <c r="B985" s="32"/>
      <c r="C985" s="32"/>
      <c r="D985" s="32"/>
      <c r="E985" s="32"/>
      <c r="F985" s="32"/>
      <c r="G985" s="33"/>
      <c r="H985" s="33"/>
      <c r="I985" s="33"/>
      <c r="J985" s="33"/>
      <c r="K985" s="34"/>
      <c r="L985" s="33"/>
      <c r="M985" s="34"/>
      <c r="N985" s="34"/>
      <c r="O985" s="35"/>
    </row>
    <row r="986" spans="1:15">
      <c r="A986" s="32"/>
      <c r="B986" s="32"/>
      <c r="C986" s="32"/>
      <c r="D986" s="32"/>
      <c r="E986" s="32"/>
      <c r="F986" s="32"/>
      <c r="G986" s="33"/>
      <c r="H986" s="33"/>
      <c r="I986" s="33"/>
      <c r="J986" s="33"/>
      <c r="K986" s="34"/>
      <c r="L986" s="33"/>
      <c r="M986" s="34"/>
      <c r="N986" s="34"/>
      <c r="O986" s="35"/>
    </row>
    <row r="987" spans="1:15">
      <c r="A987" s="32"/>
      <c r="B987" s="32"/>
      <c r="C987" s="32"/>
      <c r="D987" s="32"/>
      <c r="E987" s="32"/>
      <c r="F987" s="32"/>
      <c r="G987" s="33"/>
      <c r="H987" s="33"/>
      <c r="I987" s="33"/>
      <c r="J987" s="33"/>
      <c r="K987" s="34"/>
      <c r="L987" s="33"/>
      <c r="M987" s="34"/>
      <c r="N987" s="34"/>
      <c r="O987" s="35"/>
    </row>
    <row r="988" spans="1:15">
      <c r="A988" s="32"/>
      <c r="B988" s="32"/>
      <c r="C988" s="32"/>
      <c r="D988" s="32"/>
      <c r="E988" s="32"/>
      <c r="F988" s="32"/>
      <c r="G988" s="33"/>
      <c r="H988" s="33"/>
      <c r="I988" s="33"/>
      <c r="J988" s="33"/>
      <c r="K988" s="34"/>
      <c r="L988" s="33"/>
      <c r="M988" s="34"/>
      <c r="N988" s="34"/>
      <c r="O988" s="35"/>
    </row>
    <row r="989" spans="1:15">
      <c r="A989" s="32"/>
      <c r="B989" s="32"/>
      <c r="C989" s="32"/>
      <c r="D989" s="32"/>
      <c r="E989" s="32"/>
      <c r="F989" s="32"/>
      <c r="G989" s="33"/>
      <c r="H989" s="33"/>
      <c r="I989" s="33"/>
      <c r="J989" s="33"/>
      <c r="K989" s="34"/>
      <c r="L989" s="33"/>
      <c r="M989" s="34"/>
      <c r="N989" s="34"/>
      <c r="O989" s="35"/>
    </row>
    <row r="990" spans="1:15">
      <c r="A990" s="32"/>
      <c r="B990" s="32"/>
      <c r="C990" s="32"/>
      <c r="D990" s="32"/>
      <c r="E990" s="32"/>
      <c r="F990" s="32"/>
      <c r="G990" s="33"/>
      <c r="H990" s="33"/>
      <c r="I990" s="33"/>
      <c r="J990" s="33"/>
      <c r="K990" s="34"/>
      <c r="L990" s="33"/>
      <c r="M990" s="34"/>
      <c r="N990" s="34"/>
      <c r="O990" s="35"/>
    </row>
    <row r="991" spans="1:15">
      <c r="A991" s="32"/>
      <c r="B991" s="32"/>
      <c r="C991" s="32"/>
      <c r="D991" s="32"/>
      <c r="E991" s="32"/>
      <c r="F991" s="32"/>
      <c r="G991" s="33"/>
      <c r="H991" s="33"/>
      <c r="I991" s="33"/>
      <c r="J991" s="33"/>
      <c r="K991" s="34"/>
      <c r="L991" s="33"/>
      <c r="M991" s="34"/>
      <c r="N991" s="34"/>
      <c r="O991" s="35"/>
    </row>
    <row r="992" spans="1:15">
      <c r="A992" s="32"/>
      <c r="B992" s="32"/>
      <c r="C992" s="32"/>
      <c r="D992" s="32"/>
      <c r="E992" s="32"/>
      <c r="F992" s="32"/>
      <c r="G992" s="33"/>
      <c r="H992" s="33"/>
      <c r="I992" s="33"/>
      <c r="J992" s="33"/>
      <c r="K992" s="34"/>
      <c r="L992" s="33"/>
      <c r="M992" s="34"/>
      <c r="N992" s="34"/>
      <c r="O992" s="35"/>
    </row>
    <row r="993" spans="1:15">
      <c r="A993" s="32"/>
      <c r="B993" s="32"/>
      <c r="C993" s="32"/>
      <c r="D993" s="32"/>
      <c r="E993" s="32"/>
      <c r="F993" s="32"/>
      <c r="G993" s="33"/>
      <c r="H993" s="33"/>
      <c r="I993" s="33"/>
      <c r="J993" s="33"/>
      <c r="K993" s="34"/>
      <c r="L993" s="33"/>
      <c r="M993" s="34"/>
      <c r="N993" s="34"/>
      <c r="O993" s="35"/>
    </row>
    <row r="994" spans="1:15">
      <c r="A994" s="32"/>
      <c r="B994" s="32"/>
      <c r="C994" s="32"/>
      <c r="D994" s="32"/>
      <c r="E994" s="32"/>
      <c r="F994" s="32"/>
      <c r="G994" s="33"/>
      <c r="H994" s="33"/>
      <c r="I994" s="33"/>
      <c r="J994" s="33"/>
      <c r="K994" s="34"/>
      <c r="L994" s="33"/>
      <c r="M994" s="34"/>
      <c r="N994" s="34"/>
      <c r="O994" s="35"/>
    </row>
    <row r="995" spans="1:15">
      <c r="A995" s="32"/>
      <c r="B995" s="32"/>
      <c r="C995" s="32"/>
      <c r="D995" s="32"/>
      <c r="E995" s="32"/>
      <c r="F995" s="32"/>
      <c r="G995" s="33"/>
      <c r="H995" s="33"/>
      <c r="I995" s="33"/>
      <c r="J995" s="33"/>
      <c r="K995" s="34"/>
      <c r="L995" s="33"/>
      <c r="M995" s="34"/>
      <c r="N995" s="34"/>
      <c r="O995" s="35"/>
    </row>
    <row r="996" spans="1:15">
      <c r="A996" s="32"/>
      <c r="B996" s="32"/>
      <c r="C996" s="32"/>
      <c r="D996" s="32"/>
      <c r="E996" s="32"/>
      <c r="F996" s="32"/>
      <c r="G996" s="33"/>
      <c r="H996" s="33"/>
      <c r="I996" s="33"/>
      <c r="J996" s="33"/>
      <c r="K996" s="34"/>
      <c r="L996" s="33"/>
      <c r="M996" s="34"/>
      <c r="N996" s="34"/>
      <c r="O996" s="35"/>
    </row>
    <row r="997" spans="1:15">
      <c r="A997" s="32"/>
      <c r="B997" s="32"/>
      <c r="C997" s="32"/>
      <c r="D997" s="32"/>
      <c r="E997" s="32"/>
      <c r="F997" s="32"/>
      <c r="G997" s="33"/>
      <c r="H997" s="33"/>
      <c r="I997" s="33"/>
      <c r="J997" s="33"/>
      <c r="K997" s="34"/>
      <c r="L997" s="33"/>
      <c r="M997" s="34"/>
      <c r="N997" s="34"/>
      <c r="O997" s="35"/>
    </row>
    <row r="998" spans="1:15">
      <c r="A998" s="32"/>
      <c r="B998" s="32"/>
      <c r="C998" s="32"/>
      <c r="D998" s="32"/>
      <c r="E998" s="32"/>
      <c r="F998" s="32"/>
      <c r="G998" s="33"/>
      <c r="H998" s="33"/>
      <c r="I998" s="33"/>
      <c r="J998" s="33"/>
      <c r="K998" s="34"/>
      <c r="L998" s="33"/>
      <c r="M998" s="34"/>
      <c r="N998" s="34"/>
      <c r="O998" s="35"/>
    </row>
    <row r="999" spans="1:15">
      <c r="A999" s="32"/>
      <c r="B999" s="32"/>
      <c r="C999" s="32"/>
      <c r="D999" s="32"/>
      <c r="E999" s="32"/>
      <c r="F999" s="32"/>
      <c r="G999" s="33"/>
      <c r="H999" s="33"/>
      <c r="I999" s="33"/>
      <c r="J999" s="33"/>
      <c r="K999" s="34"/>
      <c r="L999" s="33"/>
      <c r="M999" s="34"/>
      <c r="N999" s="34"/>
      <c r="O999" s="35"/>
    </row>
    <row r="1000" spans="1:15">
      <c r="A1000" s="32"/>
      <c r="B1000" s="32"/>
      <c r="C1000" s="32"/>
      <c r="D1000" s="32"/>
      <c r="E1000" s="32"/>
      <c r="F1000" s="32"/>
      <c r="G1000" s="33"/>
      <c r="H1000" s="33"/>
      <c r="I1000" s="33"/>
      <c r="J1000" s="33"/>
      <c r="K1000" s="34"/>
      <c r="L1000" s="33"/>
      <c r="M1000" s="34"/>
      <c r="N1000" s="34"/>
      <c r="O1000" s="35"/>
    </row>
    <row r="1001" spans="1:15"/>
  </sheetData>
  <mergeCells count="2">
    <mergeCell ref="M1:O1"/>
    <mergeCell ref="A1:L1"/>
  </mergeCells>
  <dataValidations count="3">
    <dataValidation type="list" allowBlank="1" showInputMessage="1" showErrorMessage="1" sqref="G3:G1000 L3:L1000">
      <formula1>"SIM,NÃO"</formula1>
    </dataValidation>
    <dataValidation type="list" allowBlank="1" showInputMessage="1" showErrorMessage="1" sqref="H3:H1000">
      <formula1>"ATIVO,INATIVO"</formula1>
    </dataValidation>
    <dataValidation type="list" allowBlank="1" showInputMessage="1" showErrorMessage="1" sqref="F3:F1000">
      <formula1>"Funcionário,Temporário"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001"/>
  <sheetViews>
    <sheetView showGridLines="0" zoomScaleNormal="100" workbookViewId="0">
      <pane ySplit="1" topLeftCell="A2" activePane="bottomLeft" state="frozen"/>
      <selection activeCell="A3" sqref="A3"/>
      <selection pane="bottomLeft" activeCell="A2" sqref="A2"/>
    </sheetView>
  </sheetViews>
  <sheetFormatPr defaultColWidth="0" defaultRowHeight="12.75" zeroHeight="1"/>
  <cols>
    <col min="1" max="1" width="31" style="31" customWidth="1"/>
    <col min="2" max="2" width="31" style="30" customWidth="1"/>
    <col min="3" max="3" width="23.42578125" style="30" customWidth="1"/>
    <col min="4" max="4" width="31" style="30" customWidth="1"/>
    <col min="5" max="5" width="31" style="29" customWidth="1"/>
    <col min="6" max="6" width="12.28515625" style="30" customWidth="1"/>
    <col min="7" max="7" width="2.42578125" style="29" customWidth="1"/>
    <col min="8" max="21" width="0" style="30" hidden="1" customWidth="1"/>
    <col min="22" max="16384" width="9.140625" style="30" hidden="1"/>
  </cols>
  <sheetData>
    <row r="1" spans="1:21" s="52" customFormat="1" ht="26.25" customHeight="1">
      <c r="A1" s="42" t="s">
        <v>2893</v>
      </c>
      <c r="B1" s="42" t="s">
        <v>2891</v>
      </c>
      <c r="C1" s="51" t="s">
        <v>2894</v>
      </c>
      <c r="D1" s="51" t="s">
        <v>2895</v>
      </c>
      <c r="E1" s="51" t="s">
        <v>2892</v>
      </c>
      <c r="F1" s="42" t="s">
        <v>2896</v>
      </c>
      <c r="G1" s="52" t="s">
        <v>2878</v>
      </c>
    </row>
    <row r="2" spans="1:21">
      <c r="A2" s="40"/>
      <c r="B2" s="40"/>
      <c r="C2" s="40"/>
      <c r="D2" s="40"/>
      <c r="E2" s="40"/>
      <c r="F2" s="41"/>
    </row>
    <row r="3" spans="1:21">
      <c r="A3" s="40"/>
      <c r="B3" s="40"/>
      <c r="C3" s="40"/>
      <c r="D3" s="40"/>
      <c r="E3" s="40"/>
      <c r="F3" s="41"/>
    </row>
    <row r="4" spans="1:21">
      <c r="A4" s="40"/>
      <c r="B4" s="40"/>
      <c r="C4" s="40"/>
      <c r="D4" s="40"/>
      <c r="E4" s="40"/>
      <c r="F4" s="41"/>
    </row>
    <row r="5" spans="1:21">
      <c r="A5" s="40"/>
      <c r="B5" s="40"/>
      <c r="C5" s="40"/>
      <c r="D5" s="40"/>
      <c r="E5" s="40"/>
      <c r="F5" s="41"/>
    </row>
    <row r="6" spans="1:21">
      <c r="A6" s="40"/>
      <c r="B6" s="40"/>
      <c r="C6" s="40"/>
      <c r="D6" s="40"/>
      <c r="E6" s="40"/>
      <c r="F6" s="41"/>
    </row>
    <row r="7" spans="1:21">
      <c r="A7" s="40"/>
      <c r="B7" s="32"/>
      <c r="C7" s="40"/>
      <c r="D7" s="40"/>
      <c r="E7" s="40"/>
      <c r="F7" s="41"/>
    </row>
    <row r="8" spans="1:21">
      <c r="A8" s="40"/>
      <c r="B8" s="32"/>
      <c r="C8" s="40"/>
      <c r="D8" s="40"/>
      <c r="E8" s="40"/>
      <c r="F8" s="41"/>
    </row>
    <row r="9" spans="1:21">
      <c r="A9" s="40"/>
      <c r="B9" s="32"/>
      <c r="C9" s="40"/>
      <c r="D9" s="40"/>
      <c r="E9" s="40"/>
      <c r="F9" s="41"/>
    </row>
    <row r="10" spans="1:21">
      <c r="A10" s="40"/>
      <c r="B10" s="32"/>
      <c r="C10" s="40"/>
      <c r="D10" s="40"/>
      <c r="E10" s="40"/>
      <c r="F10" s="41"/>
    </row>
    <row r="11" spans="1:21">
      <c r="A11" s="40"/>
      <c r="B11" s="32"/>
      <c r="C11" s="40"/>
      <c r="D11" s="40"/>
      <c r="E11" s="40"/>
      <c r="F11" s="41"/>
    </row>
    <row r="12" spans="1:21">
      <c r="A12" s="40"/>
      <c r="B12" s="32"/>
      <c r="C12" s="40"/>
      <c r="D12" s="40"/>
      <c r="E12" s="40"/>
      <c r="F12" s="41"/>
    </row>
    <row r="13" spans="1:21">
      <c r="A13" s="40"/>
      <c r="B13" s="32"/>
      <c r="C13" s="40"/>
      <c r="D13" s="40"/>
      <c r="E13" s="40"/>
      <c r="F13" s="41"/>
    </row>
    <row r="14" spans="1:21">
      <c r="A14" s="40"/>
      <c r="B14" s="32"/>
      <c r="C14" s="40"/>
      <c r="D14" s="40"/>
      <c r="E14" s="40"/>
      <c r="F14" s="41"/>
    </row>
    <row r="15" spans="1:21">
      <c r="A15" s="40"/>
      <c r="B15" s="32"/>
      <c r="C15" s="40"/>
      <c r="D15" s="40"/>
      <c r="E15" s="40"/>
      <c r="F15" s="41"/>
    </row>
    <row r="16" spans="1:21" s="29" customFormat="1">
      <c r="A16" s="40"/>
      <c r="B16" s="32"/>
      <c r="C16" s="40"/>
      <c r="D16" s="40"/>
      <c r="E16" s="40"/>
      <c r="F16" s="41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</row>
    <row r="17" spans="1:21" s="29" customFormat="1">
      <c r="A17" s="40"/>
      <c r="B17" s="32"/>
      <c r="C17" s="40"/>
      <c r="D17" s="40"/>
      <c r="E17" s="40"/>
      <c r="F17" s="41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</row>
    <row r="18" spans="1:21" s="29" customFormat="1">
      <c r="A18" s="40"/>
      <c r="B18" s="32"/>
      <c r="C18" s="40"/>
      <c r="D18" s="40"/>
      <c r="E18" s="40"/>
      <c r="F18" s="41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</row>
    <row r="19" spans="1:21" s="29" customFormat="1">
      <c r="A19" s="40"/>
      <c r="B19" s="32"/>
      <c r="C19" s="40"/>
      <c r="D19" s="40"/>
      <c r="E19" s="40"/>
      <c r="F19" s="41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</row>
    <row r="20" spans="1:21" s="29" customFormat="1">
      <c r="A20" s="40"/>
      <c r="B20" s="32"/>
      <c r="C20" s="40"/>
      <c r="D20" s="40"/>
      <c r="E20" s="40"/>
      <c r="F20" s="41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</row>
    <row r="21" spans="1:21" s="29" customFormat="1">
      <c r="A21" s="40"/>
      <c r="B21" s="32"/>
      <c r="C21" s="40"/>
      <c r="D21" s="40"/>
      <c r="E21" s="40"/>
      <c r="F21" s="41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</row>
    <row r="22" spans="1:21" s="29" customFormat="1">
      <c r="A22" s="40"/>
      <c r="B22" s="32"/>
      <c r="C22" s="40"/>
      <c r="D22" s="40"/>
      <c r="E22" s="40"/>
      <c r="F22" s="41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</row>
    <row r="23" spans="1:21" s="29" customFormat="1">
      <c r="A23" s="40"/>
      <c r="B23" s="32"/>
      <c r="C23" s="40"/>
      <c r="D23" s="40"/>
      <c r="E23" s="40"/>
      <c r="F23" s="41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</row>
    <row r="24" spans="1:21" s="29" customFormat="1">
      <c r="A24" s="40"/>
      <c r="B24" s="32"/>
      <c r="C24" s="40"/>
      <c r="D24" s="40"/>
      <c r="E24" s="40"/>
      <c r="F24" s="41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</row>
    <row r="25" spans="1:21" s="29" customFormat="1">
      <c r="A25" s="40"/>
      <c r="B25" s="32"/>
      <c r="C25" s="40"/>
      <c r="D25" s="40"/>
      <c r="E25" s="40"/>
      <c r="F25" s="41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</row>
    <row r="26" spans="1:21" s="29" customFormat="1">
      <c r="A26" s="40"/>
      <c r="B26" s="32"/>
      <c r="C26" s="40"/>
      <c r="D26" s="40"/>
      <c r="E26" s="40"/>
      <c r="F26" s="41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s="29" customFormat="1">
      <c r="A27" s="40"/>
      <c r="B27" s="32"/>
      <c r="C27" s="40"/>
      <c r="D27" s="40"/>
      <c r="E27" s="40"/>
      <c r="F27" s="41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</row>
    <row r="28" spans="1:21" s="29" customFormat="1">
      <c r="A28" s="40"/>
      <c r="B28" s="32"/>
      <c r="C28" s="40"/>
      <c r="D28" s="40"/>
      <c r="E28" s="40"/>
      <c r="F28" s="41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s="29" customFormat="1">
      <c r="A29" s="40"/>
      <c r="B29" s="32"/>
      <c r="C29" s="40"/>
      <c r="D29" s="40"/>
      <c r="E29" s="40"/>
      <c r="F29" s="41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</row>
    <row r="30" spans="1:21" s="29" customFormat="1">
      <c r="A30" s="40"/>
      <c r="B30" s="32"/>
      <c r="C30" s="40"/>
      <c r="D30" s="40"/>
      <c r="E30" s="40"/>
      <c r="F30" s="41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</row>
    <row r="31" spans="1:21" s="29" customFormat="1">
      <c r="A31" s="40"/>
      <c r="B31" s="32"/>
      <c r="C31" s="40"/>
      <c r="D31" s="40"/>
      <c r="E31" s="40"/>
      <c r="F31" s="41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</row>
    <row r="32" spans="1:21" s="29" customFormat="1">
      <c r="A32" s="40"/>
      <c r="B32" s="32"/>
      <c r="C32" s="40"/>
      <c r="D32" s="40"/>
      <c r="E32" s="40"/>
      <c r="F32" s="41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</row>
    <row r="33" spans="1:21" s="29" customFormat="1">
      <c r="A33" s="40"/>
      <c r="B33" s="32"/>
      <c r="C33" s="40"/>
      <c r="D33" s="40"/>
      <c r="E33" s="40"/>
      <c r="F33" s="41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</row>
    <row r="34" spans="1:21" s="29" customFormat="1">
      <c r="A34" s="40"/>
      <c r="B34" s="32"/>
      <c r="C34" s="40"/>
      <c r="D34" s="40"/>
      <c r="E34" s="40"/>
      <c r="F34" s="41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</row>
    <row r="35" spans="1:21" s="29" customFormat="1">
      <c r="A35" s="40"/>
      <c r="B35" s="32"/>
      <c r="C35" s="40"/>
      <c r="D35" s="40"/>
      <c r="E35" s="40"/>
      <c r="F35" s="41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</row>
    <row r="36" spans="1:21" s="29" customFormat="1">
      <c r="A36" s="40"/>
      <c r="B36" s="32"/>
      <c r="C36" s="40"/>
      <c r="D36" s="40"/>
      <c r="E36" s="40"/>
      <c r="F36" s="41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</row>
    <row r="37" spans="1:21" s="29" customFormat="1">
      <c r="A37" s="40"/>
      <c r="B37" s="32"/>
      <c r="C37" s="40"/>
      <c r="D37" s="40"/>
      <c r="E37" s="40"/>
      <c r="F37" s="41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</row>
    <row r="38" spans="1:21" s="29" customFormat="1">
      <c r="A38" s="40"/>
      <c r="B38" s="32"/>
      <c r="C38" s="40"/>
      <c r="D38" s="40"/>
      <c r="E38" s="40"/>
      <c r="F38" s="41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</row>
    <row r="39" spans="1:21" s="29" customFormat="1">
      <c r="A39" s="40"/>
      <c r="B39" s="32"/>
      <c r="C39" s="40"/>
      <c r="D39" s="40"/>
      <c r="E39" s="40"/>
      <c r="F39" s="41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</row>
    <row r="40" spans="1:21" s="29" customFormat="1">
      <c r="A40" s="40"/>
      <c r="B40" s="32"/>
      <c r="C40" s="40"/>
      <c r="D40" s="40"/>
      <c r="E40" s="40"/>
      <c r="F40" s="41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</row>
    <row r="41" spans="1:21" s="29" customFormat="1">
      <c r="A41" s="40"/>
      <c r="B41" s="32"/>
      <c r="C41" s="40"/>
      <c r="D41" s="40"/>
      <c r="E41" s="40"/>
      <c r="F41" s="41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</row>
    <row r="42" spans="1:21" s="29" customFormat="1">
      <c r="A42" s="40"/>
      <c r="B42" s="32"/>
      <c r="C42" s="40"/>
      <c r="D42" s="40"/>
      <c r="E42" s="40"/>
      <c r="F42" s="41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s="29" customFormat="1">
      <c r="A43" s="40"/>
      <c r="B43" s="32"/>
      <c r="C43" s="40"/>
      <c r="D43" s="40"/>
      <c r="E43" s="40"/>
      <c r="F43" s="41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</row>
    <row r="44" spans="1:21" s="29" customFormat="1">
      <c r="A44" s="40"/>
      <c r="B44" s="32"/>
      <c r="C44" s="40"/>
      <c r="D44" s="40"/>
      <c r="E44" s="40"/>
      <c r="F44" s="41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s="29" customFormat="1">
      <c r="A45" s="40"/>
      <c r="B45" s="32"/>
      <c r="C45" s="40"/>
      <c r="D45" s="40"/>
      <c r="E45" s="40"/>
      <c r="F45" s="41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1:21" s="29" customFormat="1">
      <c r="A46" s="40"/>
      <c r="B46" s="32"/>
      <c r="C46" s="40"/>
      <c r="D46" s="40"/>
      <c r="E46" s="40"/>
      <c r="F46" s="41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</row>
    <row r="47" spans="1:21" s="29" customFormat="1">
      <c r="A47" s="40"/>
      <c r="B47" s="32"/>
      <c r="C47" s="40"/>
      <c r="D47" s="40"/>
      <c r="E47" s="40"/>
      <c r="F47" s="41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</row>
    <row r="48" spans="1:21" s="29" customFormat="1">
      <c r="A48" s="40"/>
      <c r="B48" s="32"/>
      <c r="C48" s="40"/>
      <c r="D48" s="40"/>
      <c r="E48" s="40"/>
      <c r="F48" s="41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</row>
    <row r="49" spans="1:21" s="29" customFormat="1">
      <c r="A49" s="40"/>
      <c r="B49" s="32"/>
      <c r="C49" s="40"/>
      <c r="D49" s="40"/>
      <c r="E49" s="40"/>
      <c r="F49" s="41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</row>
    <row r="50" spans="1:21" s="29" customFormat="1">
      <c r="A50" s="40"/>
      <c r="B50" s="32"/>
      <c r="C50" s="40"/>
      <c r="D50" s="40"/>
      <c r="E50" s="40"/>
      <c r="F50" s="41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</row>
    <row r="51" spans="1:21" s="29" customFormat="1">
      <c r="A51" s="40"/>
      <c r="B51" s="32"/>
      <c r="C51" s="40"/>
      <c r="D51" s="40"/>
      <c r="E51" s="40"/>
      <c r="F51" s="41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</row>
    <row r="52" spans="1:21" s="29" customFormat="1">
      <c r="A52" s="40"/>
      <c r="B52" s="32"/>
      <c r="C52" s="40"/>
      <c r="D52" s="40"/>
      <c r="E52" s="40"/>
      <c r="F52" s="41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</row>
    <row r="53" spans="1:21" s="29" customFormat="1">
      <c r="A53" s="40"/>
      <c r="B53" s="32"/>
      <c r="C53" s="40"/>
      <c r="D53" s="40"/>
      <c r="E53" s="40"/>
      <c r="F53" s="41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</row>
    <row r="54" spans="1:21" s="29" customFormat="1">
      <c r="A54" s="40"/>
      <c r="B54" s="32"/>
      <c r="C54" s="40"/>
      <c r="D54" s="40"/>
      <c r="E54" s="40"/>
      <c r="F54" s="41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</row>
    <row r="55" spans="1:21" s="29" customFormat="1">
      <c r="A55" s="40"/>
      <c r="B55" s="32"/>
      <c r="C55" s="40"/>
      <c r="D55" s="40"/>
      <c r="E55" s="40"/>
      <c r="F55" s="41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</row>
    <row r="56" spans="1:21" s="29" customFormat="1">
      <c r="A56" s="40"/>
      <c r="B56" s="32"/>
      <c r="C56" s="40"/>
      <c r="D56" s="40"/>
      <c r="E56" s="40"/>
      <c r="F56" s="41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</row>
    <row r="57" spans="1:21" s="29" customFormat="1">
      <c r="A57" s="40"/>
      <c r="B57" s="32"/>
      <c r="C57" s="40"/>
      <c r="D57" s="40"/>
      <c r="E57" s="40"/>
      <c r="F57" s="41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</row>
    <row r="58" spans="1:21" s="29" customFormat="1">
      <c r="A58" s="40"/>
      <c r="B58" s="32"/>
      <c r="C58" s="40"/>
      <c r="D58" s="40"/>
      <c r="E58" s="40"/>
      <c r="F58" s="41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s="29" customFormat="1">
      <c r="A59" s="40"/>
      <c r="B59" s="32"/>
      <c r="C59" s="40"/>
      <c r="D59" s="40"/>
      <c r="E59" s="40"/>
      <c r="F59" s="41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</row>
    <row r="60" spans="1:21" s="29" customFormat="1">
      <c r="A60" s="40"/>
      <c r="B60" s="32"/>
      <c r="C60" s="40"/>
      <c r="D60" s="40"/>
      <c r="E60" s="40"/>
      <c r="F60" s="41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s="29" customFormat="1">
      <c r="A61" s="40"/>
      <c r="B61" s="32"/>
      <c r="C61" s="40"/>
      <c r="D61" s="40"/>
      <c r="E61" s="40"/>
      <c r="F61" s="41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</row>
    <row r="62" spans="1:21" s="29" customFormat="1">
      <c r="A62" s="40"/>
      <c r="B62" s="32"/>
      <c r="C62" s="40"/>
      <c r="D62" s="40"/>
      <c r="E62" s="40"/>
      <c r="F62" s="41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</row>
    <row r="63" spans="1:21" s="29" customFormat="1">
      <c r="A63" s="40"/>
      <c r="B63" s="32"/>
      <c r="C63" s="40"/>
      <c r="D63" s="40"/>
      <c r="E63" s="40"/>
      <c r="F63" s="41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</row>
    <row r="64" spans="1:21" s="29" customFormat="1">
      <c r="A64" s="40"/>
      <c r="B64" s="32"/>
      <c r="C64" s="40"/>
      <c r="D64" s="40"/>
      <c r="E64" s="40"/>
      <c r="F64" s="41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</row>
    <row r="65" spans="1:21" s="29" customFormat="1">
      <c r="A65" s="32"/>
      <c r="B65" s="32"/>
      <c r="C65" s="32"/>
      <c r="D65" s="32"/>
      <c r="E65" s="32"/>
      <c r="F65" s="33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</row>
    <row r="66" spans="1:21" s="29" customFormat="1">
      <c r="A66" s="32"/>
      <c r="B66" s="32"/>
      <c r="C66" s="32"/>
      <c r="D66" s="32"/>
      <c r="E66" s="32"/>
      <c r="F66" s="33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</row>
    <row r="67" spans="1:21" s="29" customFormat="1">
      <c r="A67" s="32"/>
      <c r="B67" s="32"/>
      <c r="C67" s="32"/>
      <c r="D67" s="32"/>
      <c r="E67" s="32"/>
      <c r="F67" s="33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</row>
    <row r="68" spans="1:21" s="29" customFormat="1">
      <c r="A68" s="32"/>
      <c r="B68" s="32"/>
      <c r="C68" s="32"/>
      <c r="D68" s="32"/>
      <c r="E68" s="32"/>
      <c r="F68" s="33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</row>
    <row r="69" spans="1:21" s="29" customFormat="1">
      <c r="A69" s="32"/>
      <c r="B69" s="32"/>
      <c r="C69" s="32"/>
      <c r="D69" s="32"/>
      <c r="E69" s="32"/>
      <c r="F69" s="33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</row>
    <row r="70" spans="1:21" s="29" customFormat="1">
      <c r="A70" s="32"/>
      <c r="B70" s="32"/>
      <c r="C70" s="32"/>
      <c r="D70" s="32"/>
      <c r="E70" s="32"/>
      <c r="F70" s="33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</row>
    <row r="71" spans="1:21" s="29" customFormat="1">
      <c r="A71" s="32"/>
      <c r="B71" s="32"/>
      <c r="C71" s="32"/>
      <c r="D71" s="32"/>
      <c r="E71" s="32"/>
      <c r="F71" s="33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</row>
    <row r="72" spans="1:21" s="29" customFormat="1">
      <c r="A72" s="32"/>
      <c r="B72" s="32"/>
      <c r="C72" s="32"/>
      <c r="D72" s="32"/>
      <c r="E72" s="32"/>
      <c r="F72" s="33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</row>
    <row r="73" spans="1:21" s="29" customFormat="1">
      <c r="A73" s="32"/>
      <c r="B73" s="32"/>
      <c r="C73" s="32"/>
      <c r="D73" s="32"/>
      <c r="E73" s="32"/>
      <c r="F73" s="33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</row>
    <row r="74" spans="1:21" s="29" customFormat="1">
      <c r="A74" s="32"/>
      <c r="B74" s="32"/>
      <c r="C74" s="32"/>
      <c r="D74" s="32"/>
      <c r="E74" s="32"/>
      <c r="F74" s="33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s="29" customFormat="1">
      <c r="A75" s="32"/>
      <c r="B75" s="32"/>
      <c r="C75" s="32"/>
      <c r="D75" s="32"/>
      <c r="E75" s="32"/>
      <c r="F75" s="33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</row>
    <row r="76" spans="1:21" s="29" customFormat="1">
      <c r="A76" s="32"/>
      <c r="B76" s="32"/>
      <c r="C76" s="32"/>
      <c r="D76" s="32"/>
      <c r="E76" s="32"/>
      <c r="F76" s="33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s="29" customFormat="1">
      <c r="A77" s="32"/>
      <c r="B77" s="32"/>
      <c r="C77" s="32"/>
      <c r="D77" s="32"/>
      <c r="E77" s="32"/>
      <c r="F77" s="33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</row>
    <row r="78" spans="1:21" s="29" customFormat="1">
      <c r="A78" s="32"/>
      <c r="B78" s="32"/>
      <c r="C78" s="32"/>
      <c r="D78" s="32"/>
      <c r="E78" s="32"/>
      <c r="F78" s="33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</row>
    <row r="79" spans="1:21" s="29" customFormat="1">
      <c r="A79" s="32"/>
      <c r="B79" s="32"/>
      <c r="C79" s="32"/>
      <c r="D79" s="32"/>
      <c r="E79" s="32"/>
      <c r="F79" s="33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</row>
    <row r="80" spans="1:21" s="29" customFormat="1">
      <c r="A80" s="32"/>
      <c r="B80" s="32"/>
      <c r="C80" s="32"/>
      <c r="D80" s="32"/>
      <c r="E80" s="32"/>
      <c r="F80" s="33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</row>
    <row r="81" spans="1:21" s="29" customFormat="1">
      <c r="A81" s="32"/>
      <c r="B81" s="32"/>
      <c r="C81" s="32"/>
      <c r="D81" s="32"/>
      <c r="E81" s="32"/>
      <c r="F81" s="33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</row>
    <row r="82" spans="1:21" s="29" customFormat="1">
      <c r="A82" s="32"/>
      <c r="B82" s="32"/>
      <c r="C82" s="32"/>
      <c r="D82" s="32"/>
      <c r="E82" s="32"/>
      <c r="F82" s="33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</row>
    <row r="83" spans="1:21" s="29" customFormat="1">
      <c r="A83" s="32"/>
      <c r="B83" s="32"/>
      <c r="C83" s="32"/>
      <c r="D83" s="32"/>
      <c r="E83" s="32"/>
      <c r="F83" s="33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</row>
    <row r="84" spans="1:21" s="29" customFormat="1">
      <c r="A84" s="32"/>
      <c r="B84" s="32"/>
      <c r="C84" s="32"/>
      <c r="D84" s="32"/>
      <c r="E84" s="32"/>
      <c r="F84" s="33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</row>
    <row r="85" spans="1:21" s="29" customFormat="1">
      <c r="A85" s="32"/>
      <c r="B85" s="32"/>
      <c r="C85" s="32"/>
      <c r="D85" s="32"/>
      <c r="E85" s="32"/>
      <c r="F85" s="33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</row>
    <row r="86" spans="1:21" s="29" customFormat="1">
      <c r="A86" s="32"/>
      <c r="B86" s="32"/>
      <c r="C86" s="32"/>
      <c r="D86" s="32"/>
      <c r="E86" s="32"/>
      <c r="F86" s="33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</row>
    <row r="87" spans="1:21" s="29" customFormat="1">
      <c r="A87" s="32"/>
      <c r="B87" s="32"/>
      <c r="C87" s="32"/>
      <c r="D87" s="32"/>
      <c r="E87" s="32"/>
      <c r="F87" s="33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</row>
    <row r="88" spans="1:21" s="29" customFormat="1">
      <c r="A88" s="32"/>
      <c r="B88" s="32"/>
      <c r="C88" s="32"/>
      <c r="D88" s="32"/>
      <c r="E88" s="32"/>
      <c r="F88" s="33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</row>
    <row r="89" spans="1:21" s="29" customFormat="1">
      <c r="A89" s="32"/>
      <c r="B89" s="32"/>
      <c r="C89" s="32"/>
      <c r="D89" s="32"/>
      <c r="E89" s="32"/>
      <c r="F89" s="33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</row>
    <row r="90" spans="1:21" s="29" customFormat="1">
      <c r="A90" s="32"/>
      <c r="B90" s="32"/>
      <c r="C90" s="32"/>
      <c r="D90" s="32"/>
      <c r="E90" s="32"/>
      <c r="F90" s="33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s="29" customFormat="1">
      <c r="A91" s="32"/>
      <c r="B91" s="32"/>
      <c r="C91" s="32"/>
      <c r="D91" s="32"/>
      <c r="E91" s="32"/>
      <c r="F91" s="33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</row>
    <row r="92" spans="1:21" s="29" customFormat="1">
      <c r="A92" s="32"/>
      <c r="B92" s="32"/>
      <c r="C92" s="32"/>
      <c r="D92" s="32"/>
      <c r="E92" s="32"/>
      <c r="F92" s="33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s="29" customFormat="1">
      <c r="A93" s="32"/>
      <c r="B93" s="32"/>
      <c r="C93" s="32"/>
      <c r="D93" s="32"/>
      <c r="E93" s="32"/>
      <c r="F93" s="33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</row>
    <row r="94" spans="1:21" s="29" customFormat="1">
      <c r="A94" s="32"/>
      <c r="B94" s="32"/>
      <c r="C94" s="32"/>
      <c r="D94" s="32"/>
      <c r="E94" s="32"/>
      <c r="F94" s="33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</row>
    <row r="95" spans="1:21" s="29" customFormat="1">
      <c r="A95" s="32"/>
      <c r="B95" s="32"/>
      <c r="C95" s="32"/>
      <c r="D95" s="32"/>
      <c r="E95" s="32"/>
      <c r="F95" s="33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</row>
    <row r="96" spans="1:21" s="29" customFormat="1">
      <c r="A96" s="32"/>
      <c r="B96" s="32"/>
      <c r="C96" s="32"/>
      <c r="D96" s="32"/>
      <c r="E96" s="32"/>
      <c r="F96" s="33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</row>
    <row r="97" spans="1:21" s="29" customFormat="1">
      <c r="A97" s="32"/>
      <c r="B97" s="32"/>
      <c r="C97" s="32"/>
      <c r="D97" s="32"/>
      <c r="E97" s="32"/>
      <c r="F97" s="33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</row>
    <row r="98" spans="1:21" s="29" customFormat="1">
      <c r="A98" s="32"/>
      <c r="B98" s="32"/>
      <c r="C98" s="32"/>
      <c r="D98" s="32"/>
      <c r="E98" s="32"/>
      <c r="F98" s="33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</row>
    <row r="99" spans="1:21" s="29" customFormat="1">
      <c r="A99" s="32"/>
      <c r="B99" s="32"/>
      <c r="C99" s="32"/>
      <c r="D99" s="32"/>
      <c r="E99" s="32"/>
      <c r="F99" s="33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</row>
    <row r="100" spans="1:21" s="29" customFormat="1">
      <c r="A100" s="32"/>
      <c r="B100" s="32"/>
      <c r="C100" s="32"/>
      <c r="D100" s="32"/>
      <c r="E100" s="32"/>
      <c r="F100" s="33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</row>
    <row r="101" spans="1:21" s="29" customFormat="1">
      <c r="A101" s="32"/>
      <c r="B101" s="32"/>
      <c r="C101" s="32"/>
      <c r="D101" s="32"/>
      <c r="E101" s="32"/>
      <c r="F101" s="33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</row>
    <row r="102" spans="1:21" s="29" customFormat="1">
      <c r="A102" s="32"/>
      <c r="B102" s="32"/>
      <c r="C102" s="32"/>
      <c r="D102" s="32"/>
      <c r="E102" s="32"/>
      <c r="F102" s="33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</row>
    <row r="103" spans="1:21" s="29" customFormat="1">
      <c r="A103" s="32"/>
      <c r="B103" s="32"/>
      <c r="C103" s="32"/>
      <c r="D103" s="32"/>
      <c r="E103" s="32"/>
      <c r="F103" s="33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</row>
    <row r="104" spans="1:21" s="29" customFormat="1">
      <c r="A104" s="32"/>
      <c r="B104" s="32"/>
      <c r="C104" s="32"/>
      <c r="D104" s="32"/>
      <c r="E104" s="32"/>
      <c r="F104" s="33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</row>
    <row r="105" spans="1:21" s="29" customFormat="1">
      <c r="A105" s="32"/>
      <c r="B105" s="32"/>
      <c r="C105" s="32"/>
      <c r="D105" s="32"/>
      <c r="E105" s="32"/>
      <c r="F105" s="33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</row>
    <row r="106" spans="1:21" s="29" customFormat="1">
      <c r="A106" s="32"/>
      <c r="B106" s="32"/>
      <c r="C106" s="32"/>
      <c r="D106" s="32"/>
      <c r="E106" s="32"/>
      <c r="F106" s="33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s="29" customFormat="1">
      <c r="A107" s="32"/>
      <c r="B107" s="32"/>
      <c r="C107" s="32"/>
      <c r="D107" s="32"/>
      <c r="E107" s="32"/>
      <c r="F107" s="33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</row>
    <row r="108" spans="1:21" s="29" customFormat="1">
      <c r="A108" s="32"/>
      <c r="B108" s="32"/>
      <c r="C108" s="32"/>
      <c r="D108" s="32"/>
      <c r="E108" s="32"/>
      <c r="F108" s="33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s="29" customFormat="1">
      <c r="A109" s="32"/>
      <c r="B109" s="32"/>
      <c r="C109" s="32"/>
      <c r="D109" s="32"/>
      <c r="E109" s="32"/>
      <c r="F109" s="33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</row>
    <row r="110" spans="1:21" s="29" customFormat="1">
      <c r="A110" s="32"/>
      <c r="B110" s="32"/>
      <c r="C110" s="32"/>
      <c r="D110" s="32"/>
      <c r="E110" s="32"/>
      <c r="F110" s="33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</row>
    <row r="111" spans="1:21" s="29" customFormat="1">
      <c r="A111" s="32"/>
      <c r="B111" s="32"/>
      <c r="C111" s="32"/>
      <c r="D111" s="32"/>
      <c r="E111" s="32"/>
      <c r="F111" s="33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</row>
    <row r="112" spans="1:21" s="29" customFormat="1">
      <c r="A112" s="32"/>
      <c r="B112" s="32"/>
      <c r="C112" s="32"/>
      <c r="D112" s="32"/>
      <c r="E112" s="32"/>
      <c r="F112" s="33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</row>
    <row r="113" spans="1:21" s="29" customFormat="1">
      <c r="A113" s="32"/>
      <c r="B113" s="32"/>
      <c r="C113" s="32"/>
      <c r="D113" s="32"/>
      <c r="E113" s="32"/>
      <c r="F113" s="33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</row>
    <row r="114" spans="1:21" s="29" customFormat="1">
      <c r="A114" s="32"/>
      <c r="B114" s="32"/>
      <c r="C114" s="32"/>
      <c r="D114" s="32"/>
      <c r="E114" s="32"/>
      <c r="F114" s="33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</row>
    <row r="115" spans="1:21" s="29" customFormat="1">
      <c r="A115" s="32"/>
      <c r="B115" s="32"/>
      <c r="C115" s="32"/>
      <c r="D115" s="32"/>
      <c r="E115" s="32"/>
      <c r="F115" s="33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</row>
    <row r="116" spans="1:21" s="29" customFormat="1">
      <c r="A116" s="32"/>
      <c r="B116" s="32"/>
      <c r="C116" s="32"/>
      <c r="D116" s="32"/>
      <c r="E116" s="32"/>
      <c r="F116" s="33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</row>
    <row r="117" spans="1:21" s="29" customFormat="1">
      <c r="A117" s="32"/>
      <c r="B117" s="32"/>
      <c r="C117" s="32"/>
      <c r="D117" s="32"/>
      <c r="E117" s="32"/>
      <c r="F117" s="33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</row>
    <row r="118" spans="1:21" s="29" customFormat="1">
      <c r="A118" s="32"/>
      <c r="B118" s="32"/>
      <c r="C118" s="32"/>
      <c r="D118" s="32"/>
      <c r="E118" s="32"/>
      <c r="F118" s="33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</row>
    <row r="119" spans="1:21" s="29" customFormat="1">
      <c r="A119" s="32"/>
      <c r="B119" s="32"/>
      <c r="C119" s="32"/>
      <c r="D119" s="32"/>
      <c r="E119" s="32"/>
      <c r="F119" s="33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</row>
    <row r="120" spans="1:21" s="29" customFormat="1">
      <c r="A120" s="32"/>
      <c r="B120" s="32"/>
      <c r="C120" s="32"/>
      <c r="D120" s="32"/>
      <c r="E120" s="32"/>
      <c r="F120" s="33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</row>
    <row r="121" spans="1:21" s="29" customFormat="1">
      <c r="A121" s="32"/>
      <c r="B121" s="32"/>
      <c r="C121" s="32"/>
      <c r="D121" s="32"/>
      <c r="E121" s="32"/>
      <c r="F121" s="33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</row>
    <row r="122" spans="1:21" s="29" customFormat="1">
      <c r="A122" s="32"/>
      <c r="B122" s="32"/>
      <c r="C122" s="32"/>
      <c r="D122" s="32"/>
      <c r="E122" s="32"/>
      <c r="F122" s="33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s="29" customFormat="1">
      <c r="A123" s="32"/>
      <c r="B123" s="32"/>
      <c r="C123" s="32"/>
      <c r="D123" s="32"/>
      <c r="E123" s="32"/>
      <c r="F123" s="33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</row>
    <row r="124" spans="1:21" s="29" customFormat="1">
      <c r="A124" s="32"/>
      <c r="B124" s="32"/>
      <c r="C124" s="32"/>
      <c r="D124" s="32"/>
      <c r="E124" s="32"/>
      <c r="F124" s="33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s="29" customFormat="1">
      <c r="A125" s="32"/>
      <c r="B125" s="32"/>
      <c r="C125" s="32"/>
      <c r="D125" s="32"/>
      <c r="E125" s="32"/>
      <c r="F125" s="33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</row>
    <row r="126" spans="1:21" s="29" customFormat="1">
      <c r="A126" s="32"/>
      <c r="B126" s="32"/>
      <c r="C126" s="32"/>
      <c r="D126" s="32"/>
      <c r="E126" s="32"/>
      <c r="F126" s="33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</row>
    <row r="127" spans="1:21" s="29" customFormat="1">
      <c r="A127" s="32"/>
      <c r="B127" s="32"/>
      <c r="C127" s="32"/>
      <c r="D127" s="32"/>
      <c r="E127" s="32"/>
      <c r="F127" s="33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</row>
    <row r="128" spans="1:21" s="29" customFormat="1">
      <c r="A128" s="32"/>
      <c r="B128" s="32"/>
      <c r="C128" s="32"/>
      <c r="D128" s="32"/>
      <c r="E128" s="32"/>
      <c r="F128" s="33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</row>
    <row r="129" spans="1:21" s="29" customFormat="1">
      <c r="A129" s="32"/>
      <c r="B129" s="32"/>
      <c r="C129" s="32"/>
      <c r="D129" s="32"/>
      <c r="E129" s="32"/>
      <c r="F129" s="33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</row>
    <row r="130" spans="1:21" s="29" customFormat="1">
      <c r="A130" s="32"/>
      <c r="B130" s="32"/>
      <c r="C130" s="32"/>
      <c r="D130" s="32"/>
      <c r="E130" s="32"/>
      <c r="F130" s="33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</row>
    <row r="131" spans="1:21" s="29" customFormat="1">
      <c r="A131" s="32"/>
      <c r="B131" s="32"/>
      <c r="C131" s="32"/>
      <c r="D131" s="32"/>
      <c r="E131" s="32"/>
      <c r="F131" s="33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</row>
    <row r="132" spans="1:21" s="29" customFormat="1">
      <c r="A132" s="32"/>
      <c r="B132" s="32"/>
      <c r="C132" s="32"/>
      <c r="D132" s="32"/>
      <c r="E132" s="32"/>
      <c r="F132" s="33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</row>
    <row r="133" spans="1:21" s="29" customFormat="1">
      <c r="A133" s="32"/>
      <c r="B133" s="32"/>
      <c r="C133" s="32"/>
      <c r="D133" s="32"/>
      <c r="E133" s="32"/>
      <c r="F133" s="33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</row>
    <row r="134" spans="1:21" s="29" customFormat="1">
      <c r="A134" s="32"/>
      <c r="B134" s="32"/>
      <c r="C134" s="32"/>
      <c r="D134" s="32"/>
      <c r="E134" s="32"/>
      <c r="F134" s="33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</row>
    <row r="135" spans="1:21" s="29" customFormat="1">
      <c r="A135" s="32"/>
      <c r="B135" s="32"/>
      <c r="C135" s="32"/>
      <c r="D135" s="32"/>
      <c r="E135" s="32"/>
      <c r="F135" s="33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</row>
    <row r="136" spans="1:21" s="29" customFormat="1">
      <c r="A136" s="32"/>
      <c r="B136" s="32"/>
      <c r="C136" s="32"/>
      <c r="D136" s="32"/>
      <c r="E136" s="32"/>
      <c r="F136" s="33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</row>
    <row r="137" spans="1:21" s="29" customFormat="1">
      <c r="A137" s="32"/>
      <c r="B137" s="32"/>
      <c r="C137" s="32"/>
      <c r="D137" s="32"/>
      <c r="E137" s="32"/>
      <c r="F137" s="33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</row>
    <row r="138" spans="1:21" s="29" customFormat="1">
      <c r="A138" s="32"/>
      <c r="B138" s="32"/>
      <c r="C138" s="32"/>
      <c r="D138" s="32"/>
      <c r="E138" s="32"/>
      <c r="F138" s="33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s="29" customFormat="1">
      <c r="A139" s="32"/>
      <c r="B139" s="32"/>
      <c r="C139" s="32"/>
      <c r="D139" s="32"/>
      <c r="E139" s="32"/>
      <c r="F139" s="33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</row>
    <row r="140" spans="1:21" s="29" customFormat="1">
      <c r="A140" s="32"/>
      <c r="B140" s="32"/>
      <c r="C140" s="32"/>
      <c r="D140" s="32"/>
      <c r="E140" s="32"/>
      <c r="F140" s="33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s="29" customFormat="1">
      <c r="A141" s="32"/>
      <c r="B141" s="32"/>
      <c r="C141" s="32"/>
      <c r="D141" s="32"/>
      <c r="E141" s="32"/>
      <c r="F141" s="33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</row>
    <row r="142" spans="1:21" s="29" customFormat="1">
      <c r="A142" s="32"/>
      <c r="B142" s="32"/>
      <c r="C142" s="32"/>
      <c r="D142" s="32"/>
      <c r="E142" s="32"/>
      <c r="F142" s="33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</row>
    <row r="143" spans="1:21" s="29" customFormat="1">
      <c r="A143" s="32"/>
      <c r="B143" s="32"/>
      <c r="C143" s="32"/>
      <c r="D143" s="32"/>
      <c r="E143" s="32"/>
      <c r="F143" s="33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</row>
    <row r="144" spans="1:21" s="29" customFormat="1">
      <c r="A144" s="32"/>
      <c r="B144" s="32"/>
      <c r="C144" s="32"/>
      <c r="D144" s="32"/>
      <c r="E144" s="32"/>
      <c r="F144" s="33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</row>
    <row r="145" spans="1:21" s="29" customFormat="1">
      <c r="A145" s="32"/>
      <c r="B145" s="32"/>
      <c r="C145" s="32"/>
      <c r="D145" s="32"/>
      <c r="E145" s="32"/>
      <c r="F145" s="33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</row>
    <row r="146" spans="1:21" s="29" customFormat="1">
      <c r="A146" s="32"/>
      <c r="B146" s="32"/>
      <c r="C146" s="32"/>
      <c r="D146" s="32"/>
      <c r="E146" s="32"/>
      <c r="F146" s="33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</row>
    <row r="147" spans="1:21" s="29" customFormat="1">
      <c r="A147" s="32"/>
      <c r="B147" s="32"/>
      <c r="C147" s="32"/>
      <c r="D147" s="32"/>
      <c r="E147" s="32"/>
      <c r="F147" s="33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</row>
    <row r="148" spans="1:21" s="29" customFormat="1">
      <c r="A148" s="32"/>
      <c r="B148" s="32"/>
      <c r="C148" s="32"/>
      <c r="D148" s="32"/>
      <c r="E148" s="32"/>
      <c r="F148" s="33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</row>
    <row r="149" spans="1:21" s="29" customFormat="1">
      <c r="A149" s="32"/>
      <c r="B149" s="32"/>
      <c r="C149" s="32"/>
      <c r="D149" s="32"/>
      <c r="E149" s="32"/>
      <c r="F149" s="33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</row>
    <row r="150" spans="1:21" s="29" customFormat="1">
      <c r="A150" s="32"/>
      <c r="B150" s="32"/>
      <c r="C150" s="32"/>
      <c r="D150" s="32"/>
      <c r="E150" s="32"/>
      <c r="F150" s="33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</row>
    <row r="151" spans="1:21" s="29" customFormat="1">
      <c r="A151" s="32"/>
      <c r="B151" s="32"/>
      <c r="C151" s="32"/>
      <c r="D151" s="32"/>
      <c r="E151" s="32"/>
      <c r="F151" s="33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</row>
    <row r="152" spans="1:21" s="29" customFormat="1">
      <c r="A152" s="32"/>
      <c r="B152" s="32"/>
      <c r="C152" s="32"/>
      <c r="D152" s="32"/>
      <c r="E152" s="32"/>
      <c r="F152" s="33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</row>
    <row r="153" spans="1:21" s="29" customFormat="1">
      <c r="A153" s="32"/>
      <c r="B153" s="32"/>
      <c r="C153" s="32"/>
      <c r="D153" s="32"/>
      <c r="E153" s="32"/>
      <c r="F153" s="33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</row>
    <row r="154" spans="1:21" s="29" customFormat="1">
      <c r="A154" s="32"/>
      <c r="B154" s="32"/>
      <c r="C154" s="32"/>
      <c r="D154" s="32"/>
      <c r="E154" s="32"/>
      <c r="F154" s="33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s="29" customFormat="1">
      <c r="A155" s="32"/>
      <c r="B155" s="32"/>
      <c r="C155" s="32"/>
      <c r="D155" s="32"/>
      <c r="E155" s="32"/>
      <c r="F155" s="33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</row>
    <row r="156" spans="1:21" s="29" customFormat="1">
      <c r="A156" s="32"/>
      <c r="B156" s="32"/>
      <c r="C156" s="32"/>
      <c r="D156" s="32"/>
      <c r="E156" s="32"/>
      <c r="F156" s="33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s="29" customFormat="1">
      <c r="A157" s="32"/>
      <c r="B157" s="32"/>
      <c r="C157" s="32"/>
      <c r="D157" s="32"/>
      <c r="E157" s="32"/>
      <c r="F157" s="33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</row>
    <row r="158" spans="1:21" s="29" customFormat="1">
      <c r="A158" s="32"/>
      <c r="B158" s="32"/>
      <c r="C158" s="32"/>
      <c r="D158" s="32"/>
      <c r="E158" s="32"/>
      <c r="F158" s="33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</row>
    <row r="159" spans="1:21" s="29" customFormat="1">
      <c r="A159" s="32"/>
      <c r="B159" s="32"/>
      <c r="C159" s="32"/>
      <c r="D159" s="32"/>
      <c r="E159" s="32"/>
      <c r="F159" s="33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</row>
    <row r="160" spans="1:21" s="29" customFormat="1">
      <c r="A160" s="32"/>
      <c r="B160" s="32"/>
      <c r="C160" s="32"/>
      <c r="D160" s="32"/>
      <c r="E160" s="32"/>
      <c r="F160" s="33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</row>
    <row r="161" spans="1:21" s="29" customFormat="1">
      <c r="A161" s="32"/>
      <c r="B161" s="32"/>
      <c r="C161" s="32"/>
      <c r="D161" s="32"/>
      <c r="E161" s="32"/>
      <c r="F161" s="33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</row>
    <row r="162" spans="1:21" s="29" customFormat="1">
      <c r="A162" s="32"/>
      <c r="B162" s="32"/>
      <c r="C162" s="32"/>
      <c r="D162" s="32"/>
      <c r="E162" s="32"/>
      <c r="F162" s="33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</row>
    <row r="163" spans="1:21" s="29" customFormat="1">
      <c r="A163" s="32"/>
      <c r="B163" s="32"/>
      <c r="C163" s="32"/>
      <c r="D163" s="32"/>
      <c r="E163" s="32"/>
      <c r="F163" s="33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</row>
    <row r="164" spans="1:21" s="29" customFormat="1">
      <c r="A164" s="32"/>
      <c r="B164" s="32"/>
      <c r="C164" s="32"/>
      <c r="D164" s="32"/>
      <c r="E164" s="32"/>
      <c r="F164" s="33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</row>
    <row r="165" spans="1:21" s="29" customFormat="1">
      <c r="A165" s="32"/>
      <c r="B165" s="32"/>
      <c r="C165" s="32"/>
      <c r="D165" s="32"/>
      <c r="E165" s="32"/>
      <c r="F165" s="33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</row>
    <row r="166" spans="1:21" s="29" customFormat="1">
      <c r="A166" s="32"/>
      <c r="B166" s="32"/>
      <c r="C166" s="32"/>
      <c r="D166" s="32"/>
      <c r="E166" s="32"/>
      <c r="F166" s="33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</row>
    <row r="167" spans="1:21" s="29" customFormat="1">
      <c r="A167" s="32"/>
      <c r="B167" s="32"/>
      <c r="C167" s="32"/>
      <c r="D167" s="32"/>
      <c r="E167" s="32"/>
      <c r="F167" s="33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</row>
    <row r="168" spans="1:21" s="29" customFormat="1">
      <c r="A168" s="32"/>
      <c r="B168" s="32"/>
      <c r="C168" s="32"/>
      <c r="D168" s="32"/>
      <c r="E168" s="32"/>
      <c r="F168" s="33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</row>
    <row r="169" spans="1:21" s="29" customFormat="1">
      <c r="A169" s="32"/>
      <c r="B169" s="32"/>
      <c r="C169" s="32"/>
      <c r="D169" s="32"/>
      <c r="E169" s="32"/>
      <c r="F169" s="33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</row>
    <row r="170" spans="1:21" s="29" customFormat="1">
      <c r="A170" s="32"/>
      <c r="B170" s="32"/>
      <c r="C170" s="32"/>
      <c r="D170" s="32"/>
      <c r="E170" s="32"/>
      <c r="F170" s="33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</row>
    <row r="171" spans="1:21" s="29" customFormat="1">
      <c r="A171" s="32"/>
      <c r="B171" s="32"/>
      <c r="C171" s="32"/>
      <c r="D171" s="32"/>
      <c r="E171" s="32"/>
      <c r="F171" s="33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</row>
    <row r="172" spans="1:21" s="29" customFormat="1">
      <c r="A172" s="32"/>
      <c r="B172" s="32"/>
      <c r="C172" s="32"/>
      <c r="D172" s="32"/>
      <c r="E172" s="32"/>
      <c r="F172" s="33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</row>
    <row r="173" spans="1:21" s="29" customFormat="1">
      <c r="A173" s="32"/>
      <c r="B173" s="32"/>
      <c r="C173" s="32"/>
      <c r="D173" s="32"/>
      <c r="E173" s="32"/>
      <c r="F173" s="33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</row>
    <row r="174" spans="1:21" s="29" customFormat="1">
      <c r="A174" s="32"/>
      <c r="B174" s="32"/>
      <c r="C174" s="32"/>
      <c r="D174" s="32"/>
      <c r="E174" s="32"/>
      <c r="F174" s="33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</row>
    <row r="175" spans="1:21" s="29" customFormat="1">
      <c r="A175" s="32"/>
      <c r="B175" s="32"/>
      <c r="C175" s="32"/>
      <c r="D175" s="32"/>
      <c r="E175" s="32"/>
      <c r="F175" s="33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</row>
    <row r="176" spans="1:21" s="29" customFormat="1">
      <c r="A176" s="32"/>
      <c r="B176" s="32"/>
      <c r="C176" s="32"/>
      <c r="D176" s="32"/>
      <c r="E176" s="32"/>
      <c r="F176" s="33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</row>
    <row r="177" spans="1:21" s="29" customFormat="1">
      <c r="A177" s="32"/>
      <c r="B177" s="32"/>
      <c r="C177" s="32"/>
      <c r="D177" s="32"/>
      <c r="E177" s="32"/>
      <c r="F177" s="33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</row>
    <row r="178" spans="1:21" s="29" customFormat="1">
      <c r="A178" s="32"/>
      <c r="B178" s="32"/>
      <c r="C178" s="32"/>
      <c r="D178" s="32"/>
      <c r="E178" s="32"/>
      <c r="F178" s="33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</row>
    <row r="179" spans="1:21" s="29" customFormat="1">
      <c r="A179" s="32"/>
      <c r="B179" s="32"/>
      <c r="C179" s="32"/>
      <c r="D179" s="32"/>
      <c r="E179" s="32"/>
      <c r="F179" s="33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</row>
    <row r="180" spans="1:21" s="29" customFormat="1">
      <c r="A180" s="32"/>
      <c r="B180" s="32"/>
      <c r="C180" s="32"/>
      <c r="D180" s="32"/>
      <c r="E180" s="32"/>
      <c r="F180" s="33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</row>
    <row r="181" spans="1:21" s="29" customFormat="1">
      <c r="A181" s="32"/>
      <c r="B181" s="32"/>
      <c r="C181" s="32"/>
      <c r="D181" s="32"/>
      <c r="E181" s="32"/>
      <c r="F181" s="33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</row>
    <row r="182" spans="1:21" s="29" customFormat="1">
      <c r="A182" s="32"/>
      <c r="B182" s="32"/>
      <c r="C182" s="32"/>
      <c r="D182" s="32"/>
      <c r="E182" s="32"/>
      <c r="F182" s="33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</row>
    <row r="183" spans="1:21" s="29" customFormat="1">
      <c r="A183" s="32"/>
      <c r="B183" s="32"/>
      <c r="C183" s="32"/>
      <c r="D183" s="32"/>
      <c r="E183" s="32"/>
      <c r="F183" s="33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</row>
    <row r="184" spans="1:21" s="29" customFormat="1">
      <c r="A184" s="32"/>
      <c r="B184" s="32"/>
      <c r="C184" s="32"/>
      <c r="D184" s="32"/>
      <c r="E184" s="32"/>
      <c r="F184" s="33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</row>
    <row r="185" spans="1:21" s="29" customFormat="1">
      <c r="A185" s="32"/>
      <c r="B185" s="32"/>
      <c r="C185" s="32"/>
      <c r="D185" s="32"/>
      <c r="E185" s="32"/>
      <c r="F185" s="33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</row>
    <row r="186" spans="1:21" s="29" customFormat="1">
      <c r="A186" s="32"/>
      <c r="B186" s="32"/>
      <c r="C186" s="32"/>
      <c r="D186" s="32"/>
      <c r="E186" s="32"/>
      <c r="F186" s="33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</row>
    <row r="187" spans="1:21" s="29" customFormat="1">
      <c r="A187" s="32"/>
      <c r="B187" s="32"/>
      <c r="C187" s="32"/>
      <c r="D187" s="32"/>
      <c r="E187" s="32"/>
      <c r="F187" s="33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</row>
    <row r="188" spans="1:21" s="29" customFormat="1">
      <c r="A188" s="32"/>
      <c r="B188" s="32"/>
      <c r="C188" s="32"/>
      <c r="D188" s="32"/>
      <c r="E188" s="32"/>
      <c r="F188" s="33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</row>
    <row r="189" spans="1:21" s="29" customFormat="1">
      <c r="A189" s="32"/>
      <c r="B189" s="32"/>
      <c r="C189" s="32"/>
      <c r="D189" s="32"/>
      <c r="E189" s="32"/>
      <c r="F189" s="33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</row>
    <row r="190" spans="1:21" s="29" customFormat="1">
      <c r="A190" s="32"/>
      <c r="B190" s="32"/>
      <c r="C190" s="32"/>
      <c r="D190" s="32"/>
      <c r="E190" s="32"/>
      <c r="F190" s="33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</row>
    <row r="191" spans="1:21" s="29" customFormat="1">
      <c r="A191" s="32"/>
      <c r="B191" s="32"/>
      <c r="C191" s="32"/>
      <c r="D191" s="32"/>
      <c r="E191" s="32"/>
      <c r="F191" s="33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</row>
    <row r="192" spans="1:21" s="29" customFormat="1">
      <c r="A192" s="32"/>
      <c r="B192" s="32"/>
      <c r="C192" s="32"/>
      <c r="D192" s="32"/>
      <c r="E192" s="32"/>
      <c r="F192" s="33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</row>
    <row r="193" spans="1:21" s="29" customFormat="1">
      <c r="A193" s="32"/>
      <c r="B193" s="32"/>
      <c r="C193" s="32"/>
      <c r="D193" s="32"/>
      <c r="E193" s="32"/>
      <c r="F193" s="33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</row>
    <row r="194" spans="1:21" s="29" customFormat="1">
      <c r="A194" s="32"/>
      <c r="B194" s="32"/>
      <c r="C194" s="32"/>
      <c r="D194" s="32"/>
      <c r="E194" s="32"/>
      <c r="F194" s="33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</row>
    <row r="195" spans="1:21" s="29" customFormat="1">
      <c r="A195" s="32"/>
      <c r="B195" s="32"/>
      <c r="C195" s="32"/>
      <c r="D195" s="32"/>
      <c r="E195" s="32"/>
      <c r="F195" s="33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</row>
    <row r="196" spans="1:21" s="29" customFormat="1">
      <c r="A196" s="32"/>
      <c r="B196" s="32"/>
      <c r="C196" s="32"/>
      <c r="D196" s="32"/>
      <c r="E196" s="32"/>
      <c r="F196" s="33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</row>
    <row r="197" spans="1:21" s="29" customFormat="1">
      <c r="A197" s="32"/>
      <c r="B197" s="32"/>
      <c r="C197" s="32"/>
      <c r="D197" s="32"/>
      <c r="E197" s="32"/>
      <c r="F197" s="33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</row>
    <row r="198" spans="1:21" s="29" customFormat="1">
      <c r="A198" s="32"/>
      <c r="B198" s="32"/>
      <c r="C198" s="32"/>
      <c r="D198" s="32"/>
      <c r="E198" s="32"/>
      <c r="F198" s="33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</row>
    <row r="199" spans="1:21" s="29" customFormat="1">
      <c r="A199" s="32"/>
      <c r="B199" s="32"/>
      <c r="C199" s="32"/>
      <c r="D199" s="32"/>
      <c r="E199" s="32"/>
      <c r="F199" s="33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</row>
    <row r="200" spans="1:21" s="29" customFormat="1">
      <c r="A200" s="32"/>
      <c r="B200" s="32"/>
      <c r="C200" s="32"/>
      <c r="D200" s="32"/>
      <c r="E200" s="32"/>
      <c r="F200" s="33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</row>
    <row r="201" spans="1:21" s="29" customFormat="1">
      <c r="A201" s="32"/>
      <c r="B201" s="32"/>
      <c r="C201" s="32"/>
      <c r="D201" s="32"/>
      <c r="E201" s="32"/>
      <c r="F201" s="33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</row>
    <row r="202" spans="1:21" s="29" customFormat="1">
      <c r="A202" s="32"/>
      <c r="B202" s="32"/>
      <c r="C202" s="32"/>
      <c r="D202" s="32"/>
      <c r="E202" s="32"/>
      <c r="F202" s="33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</row>
    <row r="203" spans="1:21" s="29" customFormat="1">
      <c r="A203" s="32"/>
      <c r="B203" s="32"/>
      <c r="C203" s="32"/>
      <c r="D203" s="32"/>
      <c r="E203" s="32"/>
      <c r="F203" s="33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</row>
    <row r="204" spans="1:21" s="29" customFormat="1">
      <c r="A204" s="32"/>
      <c r="B204" s="32"/>
      <c r="C204" s="32"/>
      <c r="D204" s="32"/>
      <c r="E204" s="32"/>
      <c r="F204" s="33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</row>
    <row r="205" spans="1:21" s="29" customFormat="1">
      <c r="A205" s="32"/>
      <c r="B205" s="32"/>
      <c r="C205" s="32"/>
      <c r="D205" s="32"/>
      <c r="E205" s="32"/>
      <c r="F205" s="33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</row>
    <row r="206" spans="1:21" s="29" customFormat="1">
      <c r="A206" s="32"/>
      <c r="B206" s="32"/>
      <c r="C206" s="32"/>
      <c r="D206" s="32"/>
      <c r="E206" s="32"/>
      <c r="F206" s="33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</row>
    <row r="207" spans="1:21" s="29" customFormat="1">
      <c r="A207" s="32"/>
      <c r="B207" s="32"/>
      <c r="C207" s="32"/>
      <c r="D207" s="32"/>
      <c r="E207" s="32"/>
      <c r="F207" s="33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</row>
    <row r="208" spans="1:21" s="29" customFormat="1">
      <c r="A208" s="32"/>
      <c r="B208" s="32"/>
      <c r="C208" s="32"/>
      <c r="D208" s="32"/>
      <c r="E208" s="32"/>
      <c r="F208" s="33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</row>
    <row r="209" spans="1:21" s="29" customFormat="1">
      <c r="A209" s="32"/>
      <c r="B209" s="32"/>
      <c r="C209" s="32"/>
      <c r="D209" s="32"/>
      <c r="E209" s="32"/>
      <c r="F209" s="33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</row>
    <row r="210" spans="1:21" s="29" customFormat="1">
      <c r="A210" s="32"/>
      <c r="B210" s="32"/>
      <c r="C210" s="32"/>
      <c r="D210" s="32"/>
      <c r="E210" s="32"/>
      <c r="F210" s="33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</row>
    <row r="211" spans="1:21" s="29" customFormat="1">
      <c r="A211" s="32"/>
      <c r="B211" s="32"/>
      <c r="C211" s="32"/>
      <c r="D211" s="32"/>
      <c r="E211" s="32"/>
      <c r="F211" s="33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</row>
    <row r="212" spans="1:21" s="29" customFormat="1">
      <c r="A212" s="32"/>
      <c r="B212" s="32"/>
      <c r="C212" s="32"/>
      <c r="D212" s="32"/>
      <c r="E212" s="32"/>
      <c r="F212" s="33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</row>
    <row r="213" spans="1:21" s="29" customFormat="1">
      <c r="A213" s="32"/>
      <c r="B213" s="32"/>
      <c r="C213" s="32"/>
      <c r="D213" s="32"/>
      <c r="E213" s="32"/>
      <c r="F213" s="33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</row>
    <row r="214" spans="1:21" s="29" customFormat="1">
      <c r="A214" s="32"/>
      <c r="B214" s="32"/>
      <c r="C214" s="32"/>
      <c r="D214" s="32"/>
      <c r="E214" s="32"/>
      <c r="F214" s="33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</row>
    <row r="215" spans="1:21" s="29" customFormat="1">
      <c r="A215" s="32"/>
      <c r="B215" s="32"/>
      <c r="C215" s="32"/>
      <c r="D215" s="32"/>
      <c r="E215" s="32"/>
      <c r="F215" s="33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</row>
    <row r="216" spans="1:21" s="29" customFormat="1">
      <c r="A216" s="32"/>
      <c r="B216" s="32"/>
      <c r="C216" s="32"/>
      <c r="D216" s="32"/>
      <c r="E216" s="32"/>
      <c r="F216" s="33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</row>
    <row r="217" spans="1:21" s="29" customFormat="1">
      <c r="A217" s="32"/>
      <c r="B217" s="32"/>
      <c r="C217" s="32"/>
      <c r="D217" s="32"/>
      <c r="E217" s="32"/>
      <c r="F217" s="33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</row>
    <row r="218" spans="1:21" s="29" customFormat="1">
      <c r="A218" s="32"/>
      <c r="B218" s="32"/>
      <c r="C218" s="32"/>
      <c r="D218" s="32"/>
      <c r="E218" s="32"/>
      <c r="F218" s="33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</row>
    <row r="219" spans="1:21" s="29" customFormat="1">
      <c r="A219" s="32"/>
      <c r="B219" s="32"/>
      <c r="C219" s="32"/>
      <c r="D219" s="32"/>
      <c r="E219" s="32"/>
      <c r="F219" s="33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</row>
    <row r="220" spans="1:21" s="29" customFormat="1">
      <c r="A220" s="32"/>
      <c r="B220" s="32"/>
      <c r="C220" s="32"/>
      <c r="D220" s="32"/>
      <c r="E220" s="32"/>
      <c r="F220" s="33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</row>
    <row r="221" spans="1:21" s="29" customFormat="1">
      <c r="A221" s="32"/>
      <c r="B221" s="32"/>
      <c r="C221" s="32"/>
      <c r="D221" s="32"/>
      <c r="E221" s="32"/>
      <c r="F221" s="33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</row>
    <row r="222" spans="1:21" s="29" customFormat="1">
      <c r="A222" s="32"/>
      <c r="B222" s="32"/>
      <c r="C222" s="32"/>
      <c r="D222" s="32"/>
      <c r="E222" s="32"/>
      <c r="F222" s="33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</row>
    <row r="223" spans="1:21" s="29" customFormat="1">
      <c r="A223" s="32"/>
      <c r="B223" s="32"/>
      <c r="C223" s="32"/>
      <c r="D223" s="32"/>
      <c r="E223" s="32"/>
      <c r="F223" s="33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</row>
    <row r="224" spans="1:21" s="29" customFormat="1">
      <c r="A224" s="32"/>
      <c r="B224" s="32"/>
      <c r="C224" s="32"/>
      <c r="D224" s="32"/>
      <c r="E224" s="32"/>
      <c r="F224" s="33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</row>
    <row r="225" spans="1:21" s="29" customFormat="1">
      <c r="A225" s="32"/>
      <c r="B225" s="32"/>
      <c r="C225" s="32"/>
      <c r="D225" s="32"/>
      <c r="E225" s="32"/>
      <c r="F225" s="33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</row>
    <row r="226" spans="1:21" s="29" customFormat="1">
      <c r="A226" s="32"/>
      <c r="B226" s="32"/>
      <c r="C226" s="32"/>
      <c r="D226" s="32"/>
      <c r="E226" s="32"/>
      <c r="F226" s="33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</row>
    <row r="227" spans="1:21" s="29" customFormat="1">
      <c r="A227" s="32"/>
      <c r="B227" s="32"/>
      <c r="C227" s="32"/>
      <c r="D227" s="32"/>
      <c r="E227" s="32"/>
      <c r="F227" s="33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</row>
    <row r="228" spans="1:21" s="29" customFormat="1">
      <c r="A228" s="32"/>
      <c r="B228" s="32"/>
      <c r="C228" s="32"/>
      <c r="D228" s="32"/>
      <c r="E228" s="32"/>
      <c r="F228" s="33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</row>
    <row r="229" spans="1:21" s="29" customFormat="1">
      <c r="A229" s="32"/>
      <c r="B229" s="32"/>
      <c r="C229" s="32"/>
      <c r="D229" s="32"/>
      <c r="E229" s="32"/>
      <c r="F229" s="33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</row>
    <row r="230" spans="1:21" s="29" customFormat="1">
      <c r="A230" s="32"/>
      <c r="B230" s="32"/>
      <c r="C230" s="32"/>
      <c r="D230" s="32"/>
      <c r="E230" s="32"/>
      <c r="F230" s="33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</row>
    <row r="231" spans="1:21" s="29" customFormat="1">
      <c r="A231" s="32"/>
      <c r="B231" s="32"/>
      <c r="C231" s="32"/>
      <c r="D231" s="32"/>
      <c r="E231" s="32"/>
      <c r="F231" s="33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</row>
    <row r="232" spans="1:21" s="29" customFormat="1">
      <c r="A232" s="32"/>
      <c r="B232" s="32"/>
      <c r="C232" s="32"/>
      <c r="D232" s="32"/>
      <c r="E232" s="32"/>
      <c r="F232" s="33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</row>
    <row r="233" spans="1:21" s="29" customFormat="1">
      <c r="A233" s="32"/>
      <c r="B233" s="32"/>
      <c r="C233" s="32"/>
      <c r="D233" s="32"/>
      <c r="E233" s="32"/>
      <c r="F233" s="33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</row>
    <row r="234" spans="1:21" s="29" customFormat="1">
      <c r="A234" s="32"/>
      <c r="B234" s="32"/>
      <c r="C234" s="32"/>
      <c r="D234" s="32"/>
      <c r="E234" s="32"/>
      <c r="F234" s="33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</row>
    <row r="235" spans="1:21" s="29" customFormat="1">
      <c r="A235" s="32"/>
      <c r="B235" s="32"/>
      <c r="C235" s="32"/>
      <c r="D235" s="32"/>
      <c r="E235" s="32"/>
      <c r="F235" s="33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</row>
    <row r="236" spans="1:21" s="29" customFormat="1">
      <c r="A236" s="32"/>
      <c r="B236" s="32"/>
      <c r="C236" s="32"/>
      <c r="D236" s="32"/>
      <c r="E236" s="32"/>
      <c r="F236" s="33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</row>
    <row r="237" spans="1:21" s="29" customFormat="1">
      <c r="A237" s="32"/>
      <c r="B237" s="32"/>
      <c r="C237" s="32"/>
      <c r="D237" s="32"/>
      <c r="E237" s="32"/>
      <c r="F237" s="33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</row>
    <row r="238" spans="1:21" s="29" customFormat="1">
      <c r="A238" s="32"/>
      <c r="B238" s="32"/>
      <c r="C238" s="32"/>
      <c r="D238" s="32"/>
      <c r="E238" s="32"/>
      <c r="F238" s="33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</row>
    <row r="239" spans="1:21" s="29" customFormat="1">
      <c r="A239" s="32"/>
      <c r="B239" s="32"/>
      <c r="C239" s="32"/>
      <c r="D239" s="32"/>
      <c r="E239" s="32"/>
      <c r="F239" s="33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</row>
    <row r="240" spans="1:21" s="29" customFormat="1">
      <c r="A240" s="32"/>
      <c r="B240" s="32"/>
      <c r="C240" s="32"/>
      <c r="D240" s="32"/>
      <c r="E240" s="32"/>
      <c r="F240" s="33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</row>
    <row r="241" spans="1:21" s="29" customFormat="1">
      <c r="A241" s="32"/>
      <c r="B241" s="32"/>
      <c r="C241" s="32"/>
      <c r="D241" s="32"/>
      <c r="E241" s="32"/>
      <c r="F241" s="33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</row>
    <row r="242" spans="1:21" s="29" customFormat="1">
      <c r="A242" s="32"/>
      <c r="B242" s="32"/>
      <c r="C242" s="32"/>
      <c r="D242" s="32"/>
      <c r="E242" s="32"/>
      <c r="F242" s="33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</row>
    <row r="243" spans="1:21" s="29" customFormat="1">
      <c r="A243" s="32"/>
      <c r="B243" s="32"/>
      <c r="C243" s="32"/>
      <c r="D243" s="32"/>
      <c r="E243" s="32"/>
      <c r="F243" s="33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</row>
    <row r="244" spans="1:21" s="29" customFormat="1">
      <c r="A244" s="32"/>
      <c r="B244" s="32"/>
      <c r="C244" s="32"/>
      <c r="D244" s="32"/>
      <c r="E244" s="32"/>
      <c r="F244" s="33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</row>
    <row r="245" spans="1:21" s="29" customFormat="1">
      <c r="A245" s="32"/>
      <c r="B245" s="32"/>
      <c r="C245" s="32"/>
      <c r="D245" s="32"/>
      <c r="E245" s="32"/>
      <c r="F245" s="33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</row>
    <row r="246" spans="1:21" s="29" customFormat="1">
      <c r="A246" s="32"/>
      <c r="B246" s="32"/>
      <c r="C246" s="32"/>
      <c r="D246" s="32"/>
      <c r="E246" s="32"/>
      <c r="F246" s="33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</row>
    <row r="247" spans="1:21" s="29" customFormat="1">
      <c r="A247" s="32"/>
      <c r="B247" s="32"/>
      <c r="C247" s="32"/>
      <c r="D247" s="32"/>
      <c r="E247" s="32"/>
      <c r="F247" s="33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</row>
    <row r="248" spans="1:21" s="29" customFormat="1">
      <c r="A248" s="32"/>
      <c r="B248" s="32"/>
      <c r="C248" s="32"/>
      <c r="D248" s="32"/>
      <c r="E248" s="32"/>
      <c r="F248" s="33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</row>
    <row r="249" spans="1:21" s="29" customFormat="1">
      <c r="A249" s="32"/>
      <c r="B249" s="32"/>
      <c r="C249" s="32"/>
      <c r="D249" s="32"/>
      <c r="E249" s="32"/>
      <c r="F249" s="33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</row>
    <row r="250" spans="1:21" s="29" customFormat="1">
      <c r="A250" s="32"/>
      <c r="B250" s="32"/>
      <c r="C250" s="32"/>
      <c r="D250" s="32"/>
      <c r="E250" s="32"/>
      <c r="F250" s="33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</row>
    <row r="251" spans="1:21" s="29" customFormat="1">
      <c r="A251" s="32"/>
      <c r="B251" s="32"/>
      <c r="C251" s="32"/>
      <c r="D251" s="32"/>
      <c r="E251" s="32"/>
      <c r="F251" s="33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</row>
    <row r="252" spans="1:21" s="29" customFormat="1">
      <c r="A252" s="32"/>
      <c r="B252" s="32"/>
      <c r="C252" s="32"/>
      <c r="D252" s="32"/>
      <c r="E252" s="32"/>
      <c r="F252" s="33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</row>
    <row r="253" spans="1:21" s="29" customFormat="1">
      <c r="A253" s="32"/>
      <c r="B253" s="32"/>
      <c r="C253" s="32"/>
      <c r="D253" s="32"/>
      <c r="E253" s="32"/>
      <c r="F253" s="33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</row>
    <row r="254" spans="1:21" s="29" customFormat="1">
      <c r="A254" s="32"/>
      <c r="B254" s="32"/>
      <c r="C254" s="32"/>
      <c r="D254" s="32"/>
      <c r="E254" s="32"/>
      <c r="F254" s="33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</row>
    <row r="255" spans="1:21" s="29" customFormat="1">
      <c r="A255" s="32"/>
      <c r="B255" s="32"/>
      <c r="C255" s="32"/>
      <c r="D255" s="32"/>
      <c r="E255" s="32"/>
      <c r="F255" s="33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</row>
    <row r="256" spans="1:21" s="29" customFormat="1">
      <c r="A256" s="32"/>
      <c r="B256" s="32"/>
      <c r="C256" s="32"/>
      <c r="D256" s="32"/>
      <c r="E256" s="32"/>
      <c r="F256" s="33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</row>
    <row r="257" spans="1:21" s="29" customFormat="1">
      <c r="A257" s="32"/>
      <c r="B257" s="32"/>
      <c r="C257" s="32"/>
      <c r="D257" s="32"/>
      <c r="E257" s="32"/>
      <c r="F257" s="33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</row>
    <row r="258" spans="1:21" s="29" customFormat="1">
      <c r="A258" s="32"/>
      <c r="B258" s="32"/>
      <c r="C258" s="32"/>
      <c r="D258" s="32"/>
      <c r="E258" s="32"/>
      <c r="F258" s="33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</row>
    <row r="259" spans="1:21" s="29" customFormat="1">
      <c r="A259" s="32"/>
      <c r="B259" s="32"/>
      <c r="C259" s="32"/>
      <c r="D259" s="32"/>
      <c r="E259" s="32"/>
      <c r="F259" s="33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</row>
    <row r="260" spans="1:21" s="29" customFormat="1">
      <c r="A260" s="32"/>
      <c r="B260" s="32"/>
      <c r="C260" s="32"/>
      <c r="D260" s="32"/>
      <c r="E260" s="32"/>
      <c r="F260" s="33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</row>
    <row r="261" spans="1:21" s="29" customFormat="1">
      <c r="A261" s="32"/>
      <c r="B261" s="32"/>
      <c r="C261" s="32"/>
      <c r="D261" s="32"/>
      <c r="E261" s="32"/>
      <c r="F261" s="33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</row>
    <row r="262" spans="1:21" s="29" customFormat="1">
      <c r="A262" s="32"/>
      <c r="B262" s="32"/>
      <c r="C262" s="32"/>
      <c r="D262" s="32"/>
      <c r="E262" s="32"/>
      <c r="F262" s="33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</row>
    <row r="263" spans="1:21" s="29" customFormat="1">
      <c r="A263" s="32"/>
      <c r="B263" s="32"/>
      <c r="C263" s="32"/>
      <c r="D263" s="32"/>
      <c r="E263" s="32"/>
      <c r="F263" s="33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</row>
    <row r="264" spans="1:21" s="29" customFormat="1">
      <c r="A264" s="32"/>
      <c r="B264" s="32"/>
      <c r="C264" s="32"/>
      <c r="D264" s="32"/>
      <c r="E264" s="32"/>
      <c r="F264" s="33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</row>
    <row r="265" spans="1:21" s="29" customFormat="1">
      <c r="A265" s="32"/>
      <c r="B265" s="32"/>
      <c r="C265" s="32"/>
      <c r="D265" s="32"/>
      <c r="E265" s="32"/>
      <c r="F265" s="33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</row>
    <row r="266" spans="1:21" s="29" customFormat="1">
      <c r="A266" s="32"/>
      <c r="B266" s="32"/>
      <c r="C266" s="32"/>
      <c r="D266" s="32"/>
      <c r="E266" s="32"/>
      <c r="F266" s="33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</row>
    <row r="267" spans="1:21" s="29" customFormat="1">
      <c r="A267" s="32"/>
      <c r="B267" s="32"/>
      <c r="C267" s="32"/>
      <c r="D267" s="32"/>
      <c r="E267" s="32"/>
      <c r="F267" s="33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</row>
    <row r="268" spans="1:21" s="29" customFormat="1">
      <c r="A268" s="32"/>
      <c r="B268" s="32"/>
      <c r="C268" s="32"/>
      <c r="D268" s="32"/>
      <c r="E268" s="32"/>
      <c r="F268" s="33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</row>
    <row r="269" spans="1:21" s="29" customFormat="1">
      <c r="A269" s="32"/>
      <c r="B269" s="32"/>
      <c r="C269" s="32"/>
      <c r="D269" s="32"/>
      <c r="E269" s="32"/>
      <c r="F269" s="33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</row>
    <row r="270" spans="1:21" s="29" customFormat="1">
      <c r="A270" s="32"/>
      <c r="B270" s="32"/>
      <c r="C270" s="32"/>
      <c r="D270" s="32"/>
      <c r="E270" s="32"/>
      <c r="F270" s="33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</row>
    <row r="271" spans="1:21" s="29" customFormat="1">
      <c r="A271" s="32"/>
      <c r="B271" s="32"/>
      <c r="C271" s="32"/>
      <c r="D271" s="32"/>
      <c r="E271" s="32"/>
      <c r="F271" s="33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</row>
    <row r="272" spans="1:21" s="29" customFormat="1">
      <c r="A272" s="32"/>
      <c r="B272" s="32"/>
      <c r="C272" s="32"/>
      <c r="D272" s="32"/>
      <c r="E272" s="32"/>
      <c r="F272" s="33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</row>
    <row r="273" spans="1:21" s="29" customFormat="1">
      <c r="A273" s="32"/>
      <c r="B273" s="32"/>
      <c r="C273" s="32"/>
      <c r="D273" s="32"/>
      <c r="E273" s="32"/>
      <c r="F273" s="33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</row>
    <row r="274" spans="1:21" s="29" customFormat="1">
      <c r="A274" s="32"/>
      <c r="B274" s="32"/>
      <c r="C274" s="32"/>
      <c r="D274" s="32"/>
      <c r="E274" s="32"/>
      <c r="F274" s="33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</row>
    <row r="275" spans="1:21" s="29" customFormat="1">
      <c r="A275" s="32"/>
      <c r="B275" s="32"/>
      <c r="C275" s="32"/>
      <c r="D275" s="32"/>
      <c r="E275" s="32"/>
      <c r="F275" s="33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</row>
    <row r="276" spans="1:21" s="29" customFormat="1">
      <c r="A276" s="32"/>
      <c r="B276" s="32"/>
      <c r="C276" s="32"/>
      <c r="D276" s="32"/>
      <c r="E276" s="32"/>
      <c r="F276" s="33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</row>
    <row r="277" spans="1:21" s="29" customFormat="1">
      <c r="A277" s="32"/>
      <c r="B277" s="32"/>
      <c r="C277" s="32"/>
      <c r="D277" s="32"/>
      <c r="E277" s="32"/>
      <c r="F277" s="33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</row>
    <row r="278" spans="1:21" s="29" customFormat="1">
      <c r="A278" s="32"/>
      <c r="B278" s="32"/>
      <c r="C278" s="32"/>
      <c r="D278" s="32"/>
      <c r="E278" s="32"/>
      <c r="F278" s="33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</row>
    <row r="279" spans="1:21" s="29" customFormat="1">
      <c r="A279" s="32"/>
      <c r="B279" s="32"/>
      <c r="C279" s="32"/>
      <c r="D279" s="32"/>
      <c r="E279" s="32"/>
      <c r="F279" s="33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</row>
    <row r="280" spans="1:21" s="29" customFormat="1">
      <c r="A280" s="32"/>
      <c r="B280" s="32"/>
      <c r="C280" s="32"/>
      <c r="D280" s="32"/>
      <c r="E280" s="32"/>
      <c r="F280" s="33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</row>
    <row r="281" spans="1:21" s="29" customFormat="1">
      <c r="A281" s="32"/>
      <c r="B281" s="32"/>
      <c r="C281" s="32"/>
      <c r="D281" s="32"/>
      <c r="E281" s="32"/>
      <c r="F281" s="33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</row>
    <row r="282" spans="1:21" s="29" customFormat="1">
      <c r="A282" s="32"/>
      <c r="B282" s="32"/>
      <c r="C282" s="32"/>
      <c r="D282" s="32"/>
      <c r="E282" s="32"/>
      <c r="F282" s="33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</row>
    <row r="283" spans="1:21" s="29" customFormat="1">
      <c r="A283" s="32"/>
      <c r="B283" s="32"/>
      <c r="C283" s="32"/>
      <c r="D283" s="32"/>
      <c r="E283" s="32"/>
      <c r="F283" s="33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</row>
    <row r="284" spans="1:21" s="29" customFormat="1">
      <c r="A284" s="32"/>
      <c r="B284" s="32"/>
      <c r="C284" s="32"/>
      <c r="D284" s="32"/>
      <c r="E284" s="32"/>
      <c r="F284" s="33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</row>
    <row r="285" spans="1:21" s="29" customFormat="1">
      <c r="A285" s="32"/>
      <c r="B285" s="32"/>
      <c r="C285" s="32"/>
      <c r="D285" s="32"/>
      <c r="E285" s="32"/>
      <c r="F285" s="33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</row>
    <row r="286" spans="1:21" s="29" customFormat="1">
      <c r="A286" s="32"/>
      <c r="B286" s="32"/>
      <c r="C286" s="32"/>
      <c r="D286" s="32"/>
      <c r="E286" s="32"/>
      <c r="F286" s="33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</row>
    <row r="287" spans="1:21" s="29" customFormat="1">
      <c r="A287" s="32"/>
      <c r="B287" s="32"/>
      <c r="C287" s="32"/>
      <c r="D287" s="32"/>
      <c r="E287" s="32"/>
      <c r="F287" s="33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</row>
    <row r="288" spans="1:21" s="29" customFormat="1">
      <c r="A288" s="32"/>
      <c r="B288" s="32"/>
      <c r="C288" s="32"/>
      <c r="D288" s="32"/>
      <c r="E288" s="32"/>
      <c r="F288" s="33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</row>
    <row r="289" spans="1:21" s="29" customFormat="1">
      <c r="A289" s="32"/>
      <c r="B289" s="32"/>
      <c r="C289" s="32"/>
      <c r="D289" s="32"/>
      <c r="E289" s="32"/>
      <c r="F289" s="33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</row>
    <row r="290" spans="1:21" s="29" customFormat="1">
      <c r="A290" s="32"/>
      <c r="B290" s="32"/>
      <c r="C290" s="32"/>
      <c r="D290" s="32"/>
      <c r="E290" s="32"/>
      <c r="F290" s="33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</row>
    <row r="291" spans="1:21" s="29" customFormat="1">
      <c r="A291" s="32"/>
      <c r="B291" s="32"/>
      <c r="C291" s="32"/>
      <c r="D291" s="32"/>
      <c r="E291" s="32"/>
      <c r="F291" s="33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</row>
    <row r="292" spans="1:21" s="29" customFormat="1">
      <c r="A292" s="32"/>
      <c r="B292" s="32"/>
      <c r="C292" s="32"/>
      <c r="D292" s="32"/>
      <c r="E292" s="32"/>
      <c r="F292" s="33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</row>
    <row r="293" spans="1:21" s="29" customFormat="1">
      <c r="A293" s="32"/>
      <c r="B293" s="32"/>
      <c r="C293" s="32"/>
      <c r="D293" s="32"/>
      <c r="E293" s="32"/>
      <c r="F293" s="33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</row>
    <row r="294" spans="1:21" s="29" customFormat="1">
      <c r="A294" s="32"/>
      <c r="B294" s="32"/>
      <c r="C294" s="32"/>
      <c r="D294" s="32"/>
      <c r="E294" s="32"/>
      <c r="F294" s="33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</row>
    <row r="295" spans="1:21" s="29" customFormat="1">
      <c r="A295" s="32"/>
      <c r="B295" s="32"/>
      <c r="C295" s="32"/>
      <c r="D295" s="32"/>
      <c r="E295" s="32"/>
      <c r="F295" s="33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</row>
    <row r="296" spans="1:21" s="29" customFormat="1">
      <c r="A296" s="32"/>
      <c r="B296" s="32"/>
      <c r="C296" s="32"/>
      <c r="D296" s="32"/>
      <c r="E296" s="32"/>
      <c r="F296" s="33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</row>
    <row r="297" spans="1:21" s="29" customFormat="1">
      <c r="A297" s="32"/>
      <c r="B297" s="32"/>
      <c r="C297" s="32"/>
      <c r="D297" s="32"/>
      <c r="E297" s="32"/>
      <c r="F297" s="33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</row>
    <row r="298" spans="1:21" s="29" customFormat="1">
      <c r="A298" s="32"/>
      <c r="B298" s="32"/>
      <c r="C298" s="32"/>
      <c r="D298" s="32"/>
      <c r="E298" s="32"/>
      <c r="F298" s="33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</row>
    <row r="299" spans="1:21" s="29" customFormat="1">
      <c r="A299" s="32"/>
      <c r="B299" s="32"/>
      <c r="C299" s="32"/>
      <c r="D299" s="32"/>
      <c r="E299" s="32"/>
      <c r="F299" s="33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</row>
    <row r="300" spans="1:21" s="29" customFormat="1">
      <c r="A300" s="32"/>
      <c r="B300" s="32"/>
      <c r="C300" s="32"/>
      <c r="D300" s="32"/>
      <c r="E300" s="32"/>
      <c r="F300" s="33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</row>
    <row r="301" spans="1:21" s="29" customFormat="1">
      <c r="A301" s="32"/>
      <c r="B301" s="32"/>
      <c r="C301" s="32"/>
      <c r="D301" s="32"/>
      <c r="E301" s="32"/>
      <c r="F301" s="33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</row>
    <row r="302" spans="1:21" s="29" customFormat="1">
      <c r="A302" s="32"/>
      <c r="B302" s="32"/>
      <c r="C302" s="32"/>
      <c r="D302" s="32"/>
      <c r="E302" s="32"/>
      <c r="F302" s="33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</row>
    <row r="303" spans="1:21" s="29" customFormat="1">
      <c r="A303" s="32"/>
      <c r="B303" s="32"/>
      <c r="C303" s="32"/>
      <c r="D303" s="32"/>
      <c r="E303" s="32"/>
      <c r="F303" s="33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</row>
    <row r="304" spans="1:21" s="29" customFormat="1">
      <c r="A304" s="32"/>
      <c r="B304" s="32"/>
      <c r="C304" s="32"/>
      <c r="D304" s="32"/>
      <c r="E304" s="32"/>
      <c r="F304" s="33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0"/>
    </row>
    <row r="305" spans="1:21" s="29" customFormat="1">
      <c r="A305" s="32"/>
      <c r="B305" s="32"/>
      <c r="C305" s="32"/>
      <c r="D305" s="32"/>
      <c r="E305" s="32"/>
      <c r="F305" s="33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</row>
    <row r="306" spans="1:21" s="29" customFormat="1">
      <c r="A306" s="32"/>
      <c r="B306" s="32"/>
      <c r="C306" s="32"/>
      <c r="D306" s="32"/>
      <c r="E306" s="32"/>
      <c r="F306" s="33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</row>
    <row r="307" spans="1:21" s="29" customFormat="1">
      <c r="A307" s="32"/>
      <c r="B307" s="32"/>
      <c r="C307" s="32"/>
      <c r="D307" s="32"/>
      <c r="E307" s="32"/>
      <c r="F307" s="33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30"/>
    </row>
    <row r="308" spans="1:21" s="29" customFormat="1">
      <c r="A308" s="32"/>
      <c r="B308" s="32"/>
      <c r="C308" s="32"/>
      <c r="D308" s="32"/>
      <c r="E308" s="32"/>
      <c r="F308" s="33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</row>
    <row r="309" spans="1:21" s="29" customFormat="1">
      <c r="A309" s="32"/>
      <c r="B309" s="32"/>
      <c r="C309" s="32"/>
      <c r="D309" s="32"/>
      <c r="E309" s="32"/>
      <c r="F309" s="33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</row>
    <row r="310" spans="1:21" s="29" customFormat="1">
      <c r="A310" s="32"/>
      <c r="B310" s="32"/>
      <c r="C310" s="32"/>
      <c r="D310" s="32"/>
      <c r="E310" s="32"/>
      <c r="F310" s="33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30"/>
    </row>
    <row r="311" spans="1:21" s="29" customFormat="1">
      <c r="A311" s="32"/>
      <c r="B311" s="32"/>
      <c r="C311" s="32"/>
      <c r="D311" s="32"/>
      <c r="E311" s="32"/>
      <c r="F311" s="33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</row>
    <row r="312" spans="1:21" s="29" customFormat="1">
      <c r="A312" s="32"/>
      <c r="B312" s="32"/>
      <c r="C312" s="32"/>
      <c r="D312" s="32"/>
      <c r="E312" s="32"/>
      <c r="F312" s="33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</row>
    <row r="313" spans="1:21" s="29" customFormat="1">
      <c r="A313" s="32"/>
      <c r="B313" s="32"/>
      <c r="C313" s="32"/>
      <c r="D313" s="32"/>
      <c r="E313" s="32"/>
      <c r="F313" s="33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30"/>
    </row>
    <row r="314" spans="1:21" s="29" customFormat="1">
      <c r="A314" s="32"/>
      <c r="B314" s="32"/>
      <c r="C314" s="32"/>
      <c r="D314" s="32"/>
      <c r="E314" s="32"/>
      <c r="F314" s="33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</row>
    <row r="315" spans="1:21" s="29" customFormat="1">
      <c r="A315" s="32"/>
      <c r="B315" s="32"/>
      <c r="C315" s="32"/>
      <c r="D315" s="32"/>
      <c r="E315" s="32"/>
      <c r="F315" s="33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</row>
    <row r="316" spans="1:21" s="29" customFormat="1">
      <c r="A316" s="32"/>
      <c r="B316" s="32"/>
      <c r="C316" s="32"/>
      <c r="D316" s="32"/>
      <c r="E316" s="32"/>
      <c r="F316" s="33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30"/>
    </row>
    <row r="317" spans="1:21" s="29" customFormat="1">
      <c r="A317" s="32"/>
      <c r="B317" s="32"/>
      <c r="C317" s="32"/>
      <c r="D317" s="32"/>
      <c r="E317" s="32"/>
      <c r="F317" s="33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</row>
    <row r="318" spans="1:21" s="29" customFormat="1">
      <c r="A318" s="32"/>
      <c r="B318" s="32"/>
      <c r="C318" s="32"/>
      <c r="D318" s="32"/>
      <c r="E318" s="32"/>
      <c r="F318" s="33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</row>
    <row r="319" spans="1:21" s="29" customFormat="1">
      <c r="A319" s="32"/>
      <c r="B319" s="32"/>
      <c r="C319" s="32"/>
      <c r="D319" s="32"/>
      <c r="E319" s="32"/>
      <c r="F319" s="33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30"/>
    </row>
    <row r="320" spans="1:21" s="29" customFormat="1">
      <c r="A320" s="32"/>
      <c r="B320" s="32"/>
      <c r="C320" s="32"/>
      <c r="D320" s="32"/>
      <c r="E320" s="32"/>
      <c r="F320" s="33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</row>
    <row r="321" spans="1:21" s="29" customFormat="1">
      <c r="A321" s="32"/>
      <c r="B321" s="32"/>
      <c r="C321" s="32"/>
      <c r="D321" s="32"/>
      <c r="E321" s="32"/>
      <c r="F321" s="33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</row>
    <row r="322" spans="1:21" s="29" customFormat="1">
      <c r="A322" s="32"/>
      <c r="B322" s="32"/>
      <c r="C322" s="32"/>
      <c r="D322" s="32"/>
      <c r="E322" s="32"/>
      <c r="F322" s="33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30"/>
    </row>
    <row r="323" spans="1:21" s="29" customFormat="1">
      <c r="A323" s="32"/>
      <c r="B323" s="32"/>
      <c r="C323" s="32"/>
      <c r="D323" s="32"/>
      <c r="E323" s="32"/>
      <c r="F323" s="33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</row>
    <row r="324" spans="1:21" s="29" customFormat="1">
      <c r="A324" s="32"/>
      <c r="B324" s="32"/>
      <c r="C324" s="32"/>
      <c r="D324" s="32"/>
      <c r="E324" s="32"/>
      <c r="F324" s="33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</row>
    <row r="325" spans="1:21" s="29" customFormat="1">
      <c r="A325" s="32"/>
      <c r="B325" s="32"/>
      <c r="C325" s="32"/>
      <c r="D325" s="32"/>
      <c r="E325" s="32"/>
      <c r="F325" s="33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30"/>
    </row>
    <row r="326" spans="1:21" s="29" customFormat="1">
      <c r="A326" s="32"/>
      <c r="B326" s="32"/>
      <c r="C326" s="32"/>
      <c r="D326" s="32"/>
      <c r="E326" s="32"/>
      <c r="F326" s="33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</row>
    <row r="327" spans="1:21" s="29" customFormat="1">
      <c r="A327" s="32"/>
      <c r="B327" s="32"/>
      <c r="C327" s="32"/>
      <c r="D327" s="32"/>
      <c r="E327" s="32"/>
      <c r="F327" s="33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</row>
    <row r="328" spans="1:21" s="29" customFormat="1">
      <c r="A328" s="32"/>
      <c r="B328" s="32"/>
      <c r="C328" s="32"/>
      <c r="D328" s="32"/>
      <c r="E328" s="32"/>
      <c r="F328" s="33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30"/>
    </row>
    <row r="329" spans="1:21" s="29" customFormat="1">
      <c r="A329" s="32"/>
      <c r="B329" s="32"/>
      <c r="C329" s="32"/>
      <c r="D329" s="32"/>
      <c r="E329" s="32"/>
      <c r="F329" s="33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</row>
    <row r="330" spans="1:21" s="29" customFormat="1">
      <c r="A330" s="32"/>
      <c r="B330" s="32"/>
      <c r="C330" s="32"/>
      <c r="D330" s="32"/>
      <c r="E330" s="32"/>
      <c r="F330" s="33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</row>
    <row r="331" spans="1:21" s="29" customFormat="1">
      <c r="A331" s="32"/>
      <c r="B331" s="32"/>
      <c r="C331" s="32"/>
      <c r="D331" s="32"/>
      <c r="E331" s="32"/>
      <c r="F331" s="33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30"/>
    </row>
    <row r="332" spans="1:21" s="29" customFormat="1">
      <c r="A332" s="32"/>
      <c r="B332" s="32"/>
      <c r="C332" s="32"/>
      <c r="D332" s="32"/>
      <c r="E332" s="32"/>
      <c r="F332" s="33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</row>
    <row r="333" spans="1:21" s="29" customFormat="1">
      <c r="A333" s="32"/>
      <c r="B333" s="32"/>
      <c r="C333" s="32"/>
      <c r="D333" s="32"/>
      <c r="E333" s="32"/>
      <c r="F333" s="33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</row>
    <row r="334" spans="1:21" s="29" customFormat="1">
      <c r="A334" s="32"/>
      <c r="B334" s="32"/>
      <c r="C334" s="32"/>
      <c r="D334" s="32"/>
      <c r="E334" s="32"/>
      <c r="F334" s="33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30"/>
    </row>
    <row r="335" spans="1:21" s="29" customFormat="1">
      <c r="A335" s="32"/>
      <c r="B335" s="32"/>
      <c r="C335" s="32"/>
      <c r="D335" s="32"/>
      <c r="E335" s="32"/>
      <c r="F335" s="33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</row>
    <row r="336" spans="1:21" s="29" customFormat="1">
      <c r="A336" s="32"/>
      <c r="B336" s="32"/>
      <c r="C336" s="32"/>
      <c r="D336" s="32"/>
      <c r="E336" s="32"/>
      <c r="F336" s="33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</row>
    <row r="337" spans="1:21" s="29" customFormat="1">
      <c r="A337" s="32"/>
      <c r="B337" s="32"/>
      <c r="C337" s="32"/>
      <c r="D337" s="32"/>
      <c r="E337" s="32"/>
      <c r="F337" s="33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30"/>
    </row>
    <row r="338" spans="1:21" s="29" customFormat="1">
      <c r="A338" s="32"/>
      <c r="B338" s="32"/>
      <c r="C338" s="32"/>
      <c r="D338" s="32"/>
      <c r="E338" s="32"/>
      <c r="F338" s="33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</row>
    <row r="339" spans="1:21" s="29" customFormat="1">
      <c r="A339" s="32"/>
      <c r="B339" s="32"/>
      <c r="C339" s="32"/>
      <c r="D339" s="32"/>
      <c r="E339" s="32"/>
      <c r="F339" s="33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</row>
    <row r="340" spans="1:21" s="29" customFormat="1">
      <c r="A340" s="32"/>
      <c r="B340" s="32"/>
      <c r="C340" s="32"/>
      <c r="D340" s="32"/>
      <c r="E340" s="32"/>
      <c r="F340" s="33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30"/>
    </row>
    <row r="341" spans="1:21" s="29" customFormat="1">
      <c r="A341" s="32"/>
      <c r="B341" s="32"/>
      <c r="C341" s="32"/>
      <c r="D341" s="32"/>
      <c r="E341" s="32"/>
      <c r="F341" s="33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</row>
    <row r="342" spans="1:21" s="29" customFormat="1">
      <c r="A342" s="32"/>
      <c r="B342" s="32"/>
      <c r="C342" s="32"/>
      <c r="D342" s="32"/>
      <c r="E342" s="32"/>
      <c r="F342" s="33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</row>
    <row r="343" spans="1:21" s="29" customFormat="1">
      <c r="A343" s="32"/>
      <c r="B343" s="32"/>
      <c r="C343" s="32"/>
      <c r="D343" s="32"/>
      <c r="E343" s="32"/>
      <c r="F343" s="33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30"/>
    </row>
    <row r="344" spans="1:21" s="29" customFormat="1">
      <c r="A344" s="32"/>
      <c r="B344" s="32"/>
      <c r="C344" s="32"/>
      <c r="D344" s="32"/>
      <c r="E344" s="32"/>
      <c r="F344" s="33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</row>
    <row r="345" spans="1:21" s="29" customFormat="1">
      <c r="A345" s="32"/>
      <c r="B345" s="32"/>
      <c r="C345" s="32"/>
      <c r="D345" s="32"/>
      <c r="E345" s="32"/>
      <c r="F345" s="33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</row>
    <row r="346" spans="1:21" s="29" customFormat="1">
      <c r="A346" s="32"/>
      <c r="B346" s="32"/>
      <c r="C346" s="32"/>
      <c r="D346" s="32"/>
      <c r="E346" s="32"/>
      <c r="F346" s="33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30"/>
    </row>
    <row r="347" spans="1:21" s="29" customFormat="1">
      <c r="A347" s="32"/>
      <c r="B347" s="32"/>
      <c r="C347" s="32"/>
      <c r="D347" s="32"/>
      <c r="E347" s="32"/>
      <c r="F347" s="33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</row>
    <row r="348" spans="1:21" s="29" customFormat="1">
      <c r="A348" s="32"/>
      <c r="B348" s="32"/>
      <c r="C348" s="32"/>
      <c r="D348" s="32"/>
      <c r="E348" s="32"/>
      <c r="F348" s="33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</row>
    <row r="349" spans="1:21" s="29" customFormat="1">
      <c r="A349" s="32"/>
      <c r="B349" s="32"/>
      <c r="C349" s="32"/>
      <c r="D349" s="32"/>
      <c r="E349" s="32"/>
      <c r="F349" s="33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30"/>
    </row>
    <row r="350" spans="1:21" s="29" customFormat="1">
      <c r="A350" s="32"/>
      <c r="B350" s="32"/>
      <c r="C350" s="32"/>
      <c r="D350" s="32"/>
      <c r="E350" s="32"/>
      <c r="F350" s="33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</row>
    <row r="351" spans="1:21" s="29" customFormat="1">
      <c r="A351" s="32"/>
      <c r="B351" s="32"/>
      <c r="C351" s="32"/>
      <c r="D351" s="32"/>
      <c r="E351" s="32"/>
      <c r="F351" s="33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</row>
    <row r="352" spans="1:21" s="29" customFormat="1">
      <c r="A352" s="32"/>
      <c r="B352" s="32"/>
      <c r="C352" s="32"/>
      <c r="D352" s="32"/>
      <c r="E352" s="32"/>
      <c r="F352" s="33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30"/>
    </row>
    <row r="353" spans="1:21" s="29" customFormat="1">
      <c r="A353" s="32"/>
      <c r="B353" s="32"/>
      <c r="C353" s="32"/>
      <c r="D353" s="32"/>
      <c r="E353" s="32"/>
      <c r="F353" s="33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</row>
    <row r="354" spans="1:21" s="29" customFormat="1">
      <c r="A354" s="32"/>
      <c r="B354" s="32"/>
      <c r="C354" s="32"/>
      <c r="D354" s="32"/>
      <c r="E354" s="32"/>
      <c r="F354" s="33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</row>
    <row r="355" spans="1:21" s="29" customFormat="1">
      <c r="A355" s="32"/>
      <c r="B355" s="32"/>
      <c r="C355" s="32"/>
      <c r="D355" s="32"/>
      <c r="E355" s="32"/>
      <c r="F355" s="33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0"/>
    </row>
    <row r="356" spans="1:21" s="29" customFormat="1">
      <c r="A356" s="32"/>
      <c r="B356" s="32"/>
      <c r="C356" s="32"/>
      <c r="D356" s="32"/>
      <c r="E356" s="32"/>
      <c r="F356" s="33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</row>
    <row r="357" spans="1:21" s="29" customFormat="1">
      <c r="A357" s="32"/>
      <c r="B357" s="32"/>
      <c r="C357" s="32"/>
      <c r="D357" s="32"/>
      <c r="E357" s="32"/>
      <c r="F357" s="33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</row>
    <row r="358" spans="1:21" s="29" customFormat="1">
      <c r="A358" s="32"/>
      <c r="B358" s="32"/>
      <c r="C358" s="32"/>
      <c r="D358" s="32"/>
      <c r="E358" s="32"/>
      <c r="F358" s="33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30"/>
    </row>
    <row r="359" spans="1:21" s="29" customFormat="1">
      <c r="A359" s="32"/>
      <c r="B359" s="32"/>
      <c r="C359" s="32"/>
      <c r="D359" s="32"/>
      <c r="E359" s="32"/>
      <c r="F359" s="33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</row>
    <row r="360" spans="1:21" s="29" customFormat="1">
      <c r="A360" s="32"/>
      <c r="B360" s="32"/>
      <c r="C360" s="32"/>
      <c r="D360" s="32"/>
      <c r="E360" s="32"/>
      <c r="F360" s="33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</row>
    <row r="361" spans="1:21" s="29" customFormat="1">
      <c r="A361" s="32"/>
      <c r="B361" s="32"/>
      <c r="C361" s="32"/>
      <c r="D361" s="32"/>
      <c r="E361" s="32"/>
      <c r="F361" s="33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30"/>
    </row>
    <row r="362" spans="1:21" s="29" customFormat="1">
      <c r="A362" s="32"/>
      <c r="B362" s="32"/>
      <c r="C362" s="32"/>
      <c r="D362" s="32"/>
      <c r="E362" s="32"/>
      <c r="F362" s="33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</row>
    <row r="363" spans="1:21" s="29" customFormat="1">
      <c r="A363" s="32"/>
      <c r="B363" s="32"/>
      <c r="C363" s="32"/>
      <c r="D363" s="32"/>
      <c r="E363" s="32"/>
      <c r="F363" s="33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</row>
    <row r="364" spans="1:21" s="29" customFormat="1">
      <c r="A364" s="32"/>
      <c r="B364" s="32"/>
      <c r="C364" s="32"/>
      <c r="D364" s="32"/>
      <c r="E364" s="32"/>
      <c r="F364" s="33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30"/>
    </row>
    <row r="365" spans="1:21" s="29" customFormat="1">
      <c r="A365" s="32"/>
      <c r="B365" s="32"/>
      <c r="C365" s="32"/>
      <c r="D365" s="32"/>
      <c r="E365" s="32"/>
      <c r="F365" s="33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</row>
    <row r="366" spans="1:21" s="29" customFormat="1">
      <c r="A366" s="32"/>
      <c r="B366" s="32"/>
      <c r="C366" s="32"/>
      <c r="D366" s="32"/>
      <c r="E366" s="32"/>
      <c r="F366" s="33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</row>
    <row r="367" spans="1:21" s="29" customFormat="1">
      <c r="A367" s="32"/>
      <c r="B367" s="32"/>
      <c r="C367" s="32"/>
      <c r="D367" s="32"/>
      <c r="E367" s="32"/>
      <c r="F367" s="33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0"/>
    </row>
    <row r="368" spans="1:21" s="29" customFormat="1">
      <c r="A368" s="32"/>
      <c r="B368" s="32"/>
      <c r="C368" s="32"/>
      <c r="D368" s="32"/>
      <c r="E368" s="32"/>
      <c r="F368" s="33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</row>
    <row r="369" spans="1:21" s="29" customFormat="1">
      <c r="A369" s="32"/>
      <c r="B369" s="32"/>
      <c r="C369" s="32"/>
      <c r="D369" s="32"/>
      <c r="E369" s="32"/>
      <c r="F369" s="33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</row>
    <row r="370" spans="1:21" s="29" customFormat="1">
      <c r="A370" s="32"/>
      <c r="B370" s="32"/>
      <c r="C370" s="32"/>
      <c r="D370" s="32"/>
      <c r="E370" s="32"/>
      <c r="F370" s="33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30"/>
    </row>
    <row r="371" spans="1:21" s="29" customFormat="1">
      <c r="A371" s="32"/>
      <c r="B371" s="32"/>
      <c r="C371" s="32"/>
      <c r="D371" s="32"/>
      <c r="E371" s="32"/>
      <c r="F371" s="33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</row>
    <row r="372" spans="1:21" s="29" customFormat="1">
      <c r="A372" s="32"/>
      <c r="B372" s="32"/>
      <c r="C372" s="32"/>
      <c r="D372" s="32"/>
      <c r="E372" s="32"/>
      <c r="F372" s="33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</row>
    <row r="373" spans="1:21" s="29" customFormat="1">
      <c r="A373" s="32"/>
      <c r="B373" s="32"/>
      <c r="C373" s="32"/>
      <c r="D373" s="32"/>
      <c r="E373" s="32"/>
      <c r="F373" s="33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30"/>
    </row>
    <row r="374" spans="1:21" s="29" customFormat="1">
      <c r="A374" s="32"/>
      <c r="B374" s="32"/>
      <c r="C374" s="32"/>
      <c r="D374" s="32"/>
      <c r="E374" s="32"/>
      <c r="F374" s="33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</row>
    <row r="375" spans="1:21" s="29" customFormat="1">
      <c r="A375" s="32"/>
      <c r="B375" s="32"/>
      <c r="C375" s="32"/>
      <c r="D375" s="32"/>
      <c r="E375" s="32"/>
      <c r="F375" s="33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</row>
    <row r="376" spans="1:21" s="29" customFormat="1">
      <c r="A376" s="32"/>
      <c r="B376" s="32"/>
      <c r="C376" s="32"/>
      <c r="D376" s="32"/>
      <c r="E376" s="32"/>
      <c r="F376" s="33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30"/>
    </row>
    <row r="377" spans="1:21" s="29" customFormat="1">
      <c r="A377" s="32"/>
      <c r="B377" s="32"/>
      <c r="C377" s="32"/>
      <c r="D377" s="32"/>
      <c r="E377" s="32"/>
      <c r="F377" s="33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</row>
    <row r="378" spans="1:21" s="29" customFormat="1">
      <c r="A378" s="32"/>
      <c r="B378" s="32"/>
      <c r="C378" s="32"/>
      <c r="D378" s="32"/>
      <c r="E378" s="32"/>
      <c r="F378" s="33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</row>
    <row r="379" spans="1:21" s="29" customFormat="1">
      <c r="A379" s="32"/>
      <c r="B379" s="32"/>
      <c r="C379" s="32"/>
      <c r="D379" s="32"/>
      <c r="E379" s="32"/>
      <c r="F379" s="33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30"/>
    </row>
    <row r="380" spans="1:21" s="29" customFormat="1">
      <c r="A380" s="32"/>
      <c r="B380" s="32"/>
      <c r="C380" s="32"/>
      <c r="D380" s="32"/>
      <c r="E380" s="32"/>
      <c r="F380" s="33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</row>
    <row r="381" spans="1:21" s="29" customFormat="1">
      <c r="A381" s="32"/>
      <c r="B381" s="32"/>
      <c r="C381" s="32"/>
      <c r="D381" s="32"/>
      <c r="E381" s="32"/>
      <c r="F381" s="33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</row>
    <row r="382" spans="1:21" s="29" customFormat="1">
      <c r="A382" s="32"/>
      <c r="B382" s="32"/>
      <c r="C382" s="32"/>
      <c r="D382" s="32"/>
      <c r="E382" s="32"/>
      <c r="F382" s="33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30"/>
    </row>
    <row r="383" spans="1:21" s="29" customFormat="1">
      <c r="A383" s="32"/>
      <c r="B383" s="32"/>
      <c r="C383" s="32"/>
      <c r="D383" s="32"/>
      <c r="E383" s="32"/>
      <c r="F383" s="33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</row>
    <row r="384" spans="1:21" s="29" customFormat="1">
      <c r="A384" s="32"/>
      <c r="B384" s="32"/>
      <c r="C384" s="32"/>
      <c r="D384" s="32"/>
      <c r="E384" s="32"/>
      <c r="F384" s="33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</row>
    <row r="385" spans="1:21" s="29" customFormat="1">
      <c r="A385" s="32"/>
      <c r="B385" s="32"/>
      <c r="C385" s="32"/>
      <c r="D385" s="32"/>
      <c r="E385" s="32"/>
      <c r="F385" s="33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30"/>
    </row>
    <row r="386" spans="1:21" s="29" customFormat="1">
      <c r="A386" s="32"/>
      <c r="B386" s="32"/>
      <c r="C386" s="32"/>
      <c r="D386" s="32"/>
      <c r="E386" s="32"/>
      <c r="F386" s="33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</row>
    <row r="387" spans="1:21" s="29" customFormat="1">
      <c r="A387" s="32"/>
      <c r="B387" s="32"/>
      <c r="C387" s="32"/>
      <c r="D387" s="32"/>
      <c r="E387" s="32"/>
      <c r="F387" s="33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</row>
    <row r="388" spans="1:21" s="29" customFormat="1">
      <c r="A388" s="32"/>
      <c r="B388" s="32"/>
      <c r="C388" s="32"/>
      <c r="D388" s="32"/>
      <c r="E388" s="32"/>
      <c r="F388" s="33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30"/>
    </row>
    <row r="389" spans="1:21" s="29" customFormat="1">
      <c r="A389" s="32"/>
      <c r="B389" s="32"/>
      <c r="C389" s="32"/>
      <c r="D389" s="32"/>
      <c r="E389" s="32"/>
      <c r="F389" s="33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</row>
    <row r="390" spans="1:21" s="29" customFormat="1">
      <c r="A390" s="32"/>
      <c r="B390" s="32"/>
      <c r="C390" s="32"/>
      <c r="D390" s="32"/>
      <c r="E390" s="32"/>
      <c r="F390" s="33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</row>
    <row r="391" spans="1:21" s="29" customFormat="1">
      <c r="A391" s="32"/>
      <c r="B391" s="32"/>
      <c r="C391" s="32"/>
      <c r="D391" s="32"/>
      <c r="E391" s="32"/>
      <c r="F391" s="33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30"/>
    </row>
    <row r="392" spans="1:21" s="29" customFormat="1">
      <c r="A392" s="32"/>
      <c r="B392" s="32"/>
      <c r="C392" s="32"/>
      <c r="D392" s="32"/>
      <c r="E392" s="32"/>
      <c r="F392" s="33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</row>
    <row r="393" spans="1:21" s="29" customFormat="1">
      <c r="A393" s="32"/>
      <c r="B393" s="32"/>
      <c r="C393" s="32"/>
      <c r="D393" s="32"/>
      <c r="E393" s="32"/>
      <c r="F393" s="33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</row>
    <row r="394" spans="1:21" s="29" customFormat="1">
      <c r="A394" s="32"/>
      <c r="B394" s="32"/>
      <c r="C394" s="32"/>
      <c r="D394" s="32"/>
      <c r="E394" s="32"/>
      <c r="F394" s="33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30"/>
    </row>
    <row r="395" spans="1:21" s="29" customFormat="1">
      <c r="A395" s="32"/>
      <c r="B395" s="32"/>
      <c r="C395" s="32"/>
      <c r="D395" s="32"/>
      <c r="E395" s="32"/>
      <c r="F395" s="33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</row>
    <row r="396" spans="1:21" s="29" customFormat="1">
      <c r="A396" s="32"/>
      <c r="B396" s="32"/>
      <c r="C396" s="32"/>
      <c r="D396" s="32"/>
      <c r="E396" s="32"/>
      <c r="F396" s="33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</row>
    <row r="397" spans="1:21" s="29" customFormat="1">
      <c r="A397" s="32"/>
      <c r="B397" s="32"/>
      <c r="C397" s="32"/>
      <c r="D397" s="32"/>
      <c r="E397" s="32"/>
      <c r="F397" s="33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30"/>
    </row>
    <row r="398" spans="1:21" s="29" customFormat="1">
      <c r="A398" s="32"/>
      <c r="B398" s="32"/>
      <c r="C398" s="32"/>
      <c r="D398" s="32"/>
      <c r="E398" s="32"/>
      <c r="F398" s="33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</row>
    <row r="399" spans="1:21" s="29" customFormat="1">
      <c r="A399" s="32"/>
      <c r="B399" s="32"/>
      <c r="C399" s="32"/>
      <c r="D399" s="32"/>
      <c r="E399" s="32"/>
      <c r="F399" s="33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</row>
    <row r="400" spans="1:21" s="29" customFormat="1">
      <c r="A400" s="32"/>
      <c r="B400" s="32"/>
      <c r="C400" s="32"/>
      <c r="D400" s="32"/>
      <c r="E400" s="32"/>
      <c r="F400" s="33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30"/>
    </row>
    <row r="401" spans="1:21" s="29" customFormat="1">
      <c r="A401" s="32"/>
      <c r="B401" s="32"/>
      <c r="C401" s="32"/>
      <c r="D401" s="32"/>
      <c r="E401" s="32"/>
      <c r="F401" s="33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</row>
    <row r="402" spans="1:21" s="29" customFormat="1">
      <c r="A402" s="32"/>
      <c r="B402" s="32"/>
      <c r="C402" s="32"/>
      <c r="D402" s="32"/>
      <c r="E402" s="32"/>
      <c r="F402" s="33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</row>
    <row r="403" spans="1:21" s="29" customFormat="1">
      <c r="A403" s="32"/>
      <c r="B403" s="32"/>
      <c r="C403" s="32"/>
      <c r="D403" s="32"/>
      <c r="E403" s="32"/>
      <c r="F403" s="33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</row>
    <row r="404" spans="1:21" s="29" customFormat="1">
      <c r="A404" s="32"/>
      <c r="B404" s="32"/>
      <c r="C404" s="32"/>
      <c r="D404" s="32"/>
      <c r="E404" s="32"/>
      <c r="F404" s="33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</row>
    <row r="405" spans="1:21" s="29" customFormat="1">
      <c r="A405" s="32"/>
      <c r="B405" s="32"/>
      <c r="C405" s="32"/>
      <c r="D405" s="32"/>
      <c r="E405" s="32"/>
      <c r="F405" s="33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</row>
    <row r="406" spans="1:21" s="29" customFormat="1">
      <c r="A406" s="32"/>
      <c r="B406" s="32"/>
      <c r="C406" s="32"/>
      <c r="D406" s="32"/>
      <c r="E406" s="32"/>
      <c r="F406" s="33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</row>
    <row r="407" spans="1:21" s="29" customFormat="1">
      <c r="A407" s="32"/>
      <c r="B407" s="32"/>
      <c r="C407" s="32"/>
      <c r="D407" s="32"/>
      <c r="E407" s="32"/>
      <c r="F407" s="33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</row>
    <row r="408" spans="1:21" s="29" customFormat="1">
      <c r="A408" s="32"/>
      <c r="B408" s="32"/>
      <c r="C408" s="32"/>
      <c r="D408" s="32"/>
      <c r="E408" s="32"/>
      <c r="F408" s="33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</row>
    <row r="409" spans="1:21" s="29" customFormat="1">
      <c r="A409" s="32"/>
      <c r="B409" s="32"/>
      <c r="C409" s="32"/>
      <c r="D409" s="32"/>
      <c r="E409" s="32"/>
      <c r="F409" s="33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</row>
    <row r="410" spans="1:21" s="29" customFormat="1">
      <c r="A410" s="32"/>
      <c r="B410" s="32"/>
      <c r="C410" s="32"/>
      <c r="D410" s="32"/>
      <c r="E410" s="32"/>
      <c r="F410" s="33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</row>
    <row r="411" spans="1:21" s="29" customFormat="1">
      <c r="A411" s="32"/>
      <c r="B411" s="32"/>
      <c r="C411" s="32"/>
      <c r="D411" s="32"/>
      <c r="E411" s="32"/>
      <c r="F411" s="33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</row>
    <row r="412" spans="1:21" s="29" customFormat="1">
      <c r="A412" s="32"/>
      <c r="B412" s="32"/>
      <c r="C412" s="32"/>
      <c r="D412" s="32"/>
      <c r="E412" s="32"/>
      <c r="F412" s="33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</row>
    <row r="413" spans="1:21" s="29" customFormat="1">
      <c r="A413" s="32"/>
      <c r="B413" s="32"/>
      <c r="C413" s="32"/>
      <c r="D413" s="32"/>
      <c r="E413" s="32"/>
      <c r="F413" s="33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</row>
    <row r="414" spans="1:21" s="29" customFormat="1">
      <c r="A414" s="32"/>
      <c r="B414" s="32"/>
      <c r="C414" s="32"/>
      <c r="D414" s="32"/>
      <c r="E414" s="32"/>
      <c r="F414" s="33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</row>
    <row r="415" spans="1:21" s="29" customFormat="1">
      <c r="A415" s="32"/>
      <c r="B415" s="32"/>
      <c r="C415" s="32"/>
      <c r="D415" s="32"/>
      <c r="E415" s="32"/>
      <c r="F415" s="33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</row>
    <row r="416" spans="1:21" s="29" customFormat="1">
      <c r="A416" s="32"/>
      <c r="B416" s="32"/>
      <c r="C416" s="32"/>
      <c r="D416" s="32"/>
      <c r="E416" s="32"/>
      <c r="F416" s="33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</row>
    <row r="417" spans="1:21" s="29" customFormat="1">
      <c r="A417" s="32"/>
      <c r="B417" s="32"/>
      <c r="C417" s="32"/>
      <c r="D417" s="32"/>
      <c r="E417" s="32"/>
      <c r="F417" s="33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</row>
    <row r="418" spans="1:21" s="29" customFormat="1">
      <c r="A418" s="32"/>
      <c r="B418" s="32"/>
      <c r="C418" s="32"/>
      <c r="D418" s="32"/>
      <c r="E418" s="32"/>
      <c r="F418" s="33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</row>
    <row r="419" spans="1:21" s="29" customFormat="1">
      <c r="A419" s="32"/>
      <c r="B419" s="32"/>
      <c r="C419" s="32"/>
      <c r="D419" s="32"/>
      <c r="E419" s="32"/>
      <c r="F419" s="33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</row>
    <row r="420" spans="1:21" s="29" customFormat="1">
      <c r="A420" s="32"/>
      <c r="B420" s="32"/>
      <c r="C420" s="32"/>
      <c r="D420" s="32"/>
      <c r="E420" s="32"/>
      <c r="F420" s="33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</row>
    <row r="421" spans="1:21" s="29" customFormat="1">
      <c r="A421" s="32"/>
      <c r="B421" s="32"/>
      <c r="C421" s="32"/>
      <c r="D421" s="32"/>
      <c r="E421" s="32"/>
      <c r="F421" s="33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</row>
    <row r="422" spans="1:21" s="29" customFormat="1">
      <c r="A422" s="32"/>
      <c r="B422" s="32"/>
      <c r="C422" s="32"/>
      <c r="D422" s="32"/>
      <c r="E422" s="32"/>
      <c r="F422" s="33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</row>
    <row r="423" spans="1:21" s="29" customFormat="1">
      <c r="A423" s="32"/>
      <c r="B423" s="32"/>
      <c r="C423" s="32"/>
      <c r="D423" s="32"/>
      <c r="E423" s="32"/>
      <c r="F423" s="33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</row>
    <row r="424" spans="1:21" s="29" customFormat="1">
      <c r="A424" s="32"/>
      <c r="B424" s="32"/>
      <c r="C424" s="32"/>
      <c r="D424" s="32"/>
      <c r="E424" s="32"/>
      <c r="F424" s="33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</row>
    <row r="425" spans="1:21" s="29" customFormat="1">
      <c r="A425" s="32"/>
      <c r="B425" s="32"/>
      <c r="C425" s="32"/>
      <c r="D425" s="32"/>
      <c r="E425" s="32"/>
      <c r="F425" s="33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</row>
    <row r="426" spans="1:21" s="29" customFormat="1">
      <c r="A426" s="32"/>
      <c r="B426" s="32"/>
      <c r="C426" s="32"/>
      <c r="D426" s="32"/>
      <c r="E426" s="32"/>
      <c r="F426" s="33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</row>
    <row r="427" spans="1:21" s="29" customFormat="1">
      <c r="A427" s="32"/>
      <c r="B427" s="32"/>
      <c r="C427" s="32"/>
      <c r="D427" s="32"/>
      <c r="E427" s="32"/>
      <c r="F427" s="33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</row>
    <row r="428" spans="1:21" s="29" customFormat="1">
      <c r="A428" s="32"/>
      <c r="B428" s="32"/>
      <c r="C428" s="32"/>
      <c r="D428" s="32"/>
      <c r="E428" s="32"/>
      <c r="F428" s="33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</row>
    <row r="429" spans="1:21" s="29" customFormat="1">
      <c r="A429" s="32"/>
      <c r="B429" s="32"/>
      <c r="C429" s="32"/>
      <c r="D429" s="32"/>
      <c r="E429" s="32"/>
      <c r="F429" s="33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</row>
    <row r="430" spans="1:21" s="29" customFormat="1">
      <c r="A430" s="32"/>
      <c r="B430" s="32"/>
      <c r="C430" s="32"/>
      <c r="D430" s="32"/>
      <c r="E430" s="32"/>
      <c r="F430" s="33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</row>
    <row r="431" spans="1:21" s="29" customFormat="1">
      <c r="A431" s="32"/>
      <c r="B431" s="32"/>
      <c r="C431" s="32"/>
      <c r="D431" s="32"/>
      <c r="E431" s="32"/>
      <c r="F431" s="33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</row>
    <row r="432" spans="1:21" s="29" customFormat="1">
      <c r="A432" s="32"/>
      <c r="B432" s="32"/>
      <c r="C432" s="32"/>
      <c r="D432" s="32"/>
      <c r="E432" s="32"/>
      <c r="F432" s="33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</row>
    <row r="433" spans="1:21" s="29" customFormat="1">
      <c r="A433" s="32"/>
      <c r="B433" s="32"/>
      <c r="C433" s="32"/>
      <c r="D433" s="32"/>
      <c r="E433" s="32"/>
      <c r="F433" s="33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30"/>
    </row>
    <row r="434" spans="1:21" s="29" customFormat="1">
      <c r="A434" s="32"/>
      <c r="B434" s="32"/>
      <c r="C434" s="32"/>
      <c r="D434" s="32"/>
      <c r="E434" s="32"/>
      <c r="F434" s="33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</row>
    <row r="435" spans="1:21" s="29" customFormat="1">
      <c r="A435" s="32"/>
      <c r="B435" s="32"/>
      <c r="C435" s="32"/>
      <c r="D435" s="32"/>
      <c r="E435" s="32"/>
      <c r="F435" s="33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</row>
    <row r="436" spans="1:21" s="29" customFormat="1">
      <c r="A436" s="32"/>
      <c r="B436" s="32"/>
      <c r="C436" s="32"/>
      <c r="D436" s="32"/>
      <c r="E436" s="32"/>
      <c r="F436" s="33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</row>
    <row r="437" spans="1:21" s="29" customFormat="1">
      <c r="A437" s="32"/>
      <c r="B437" s="32"/>
      <c r="C437" s="32"/>
      <c r="D437" s="32"/>
      <c r="E437" s="32"/>
      <c r="F437" s="33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</row>
    <row r="438" spans="1:21" s="29" customFormat="1">
      <c r="A438" s="32"/>
      <c r="B438" s="32"/>
      <c r="C438" s="32"/>
      <c r="D438" s="32"/>
      <c r="E438" s="32"/>
      <c r="F438" s="33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</row>
    <row r="439" spans="1:21" s="29" customFormat="1">
      <c r="A439" s="32"/>
      <c r="B439" s="32"/>
      <c r="C439" s="32"/>
      <c r="D439" s="32"/>
      <c r="E439" s="32"/>
      <c r="F439" s="33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0"/>
    </row>
    <row r="440" spans="1:21" s="29" customFormat="1">
      <c r="A440" s="32"/>
      <c r="B440" s="32"/>
      <c r="C440" s="32"/>
      <c r="D440" s="32"/>
      <c r="E440" s="32"/>
      <c r="F440" s="33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</row>
    <row r="441" spans="1:21" s="29" customFormat="1">
      <c r="A441" s="32"/>
      <c r="B441" s="32"/>
      <c r="C441" s="32"/>
      <c r="D441" s="32"/>
      <c r="E441" s="32"/>
      <c r="F441" s="33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</row>
    <row r="442" spans="1:21" s="29" customFormat="1">
      <c r="A442" s="32"/>
      <c r="B442" s="32"/>
      <c r="C442" s="32"/>
      <c r="D442" s="32"/>
      <c r="E442" s="32"/>
      <c r="F442" s="33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</row>
    <row r="443" spans="1:21" s="29" customFormat="1">
      <c r="A443" s="32"/>
      <c r="B443" s="32"/>
      <c r="C443" s="32"/>
      <c r="D443" s="32"/>
      <c r="E443" s="32"/>
      <c r="F443" s="33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</row>
    <row r="444" spans="1:21" s="29" customFormat="1">
      <c r="A444" s="32"/>
      <c r="B444" s="32"/>
      <c r="C444" s="32"/>
      <c r="D444" s="32"/>
      <c r="E444" s="32"/>
      <c r="F444" s="33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</row>
    <row r="445" spans="1:21" s="29" customFormat="1">
      <c r="A445" s="32"/>
      <c r="B445" s="32"/>
      <c r="C445" s="32"/>
      <c r="D445" s="32"/>
      <c r="E445" s="32"/>
      <c r="F445" s="33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30"/>
    </row>
    <row r="446" spans="1:21" s="29" customFormat="1">
      <c r="A446" s="32"/>
      <c r="B446" s="32"/>
      <c r="C446" s="32"/>
      <c r="D446" s="32"/>
      <c r="E446" s="32"/>
      <c r="F446" s="33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</row>
    <row r="447" spans="1:21" s="29" customFormat="1">
      <c r="A447" s="32"/>
      <c r="B447" s="32"/>
      <c r="C447" s="32"/>
      <c r="D447" s="32"/>
      <c r="E447" s="32"/>
      <c r="F447" s="33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</row>
    <row r="448" spans="1:21" s="29" customFormat="1">
      <c r="A448" s="32"/>
      <c r="B448" s="32"/>
      <c r="C448" s="32"/>
      <c r="D448" s="32"/>
      <c r="E448" s="32"/>
      <c r="F448" s="33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30"/>
    </row>
    <row r="449" spans="1:21" s="29" customFormat="1">
      <c r="A449" s="32"/>
      <c r="B449" s="32"/>
      <c r="C449" s="32"/>
      <c r="D449" s="32"/>
      <c r="E449" s="32"/>
      <c r="F449" s="33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</row>
    <row r="450" spans="1:21" s="29" customFormat="1">
      <c r="A450" s="32"/>
      <c r="B450" s="32"/>
      <c r="C450" s="32"/>
      <c r="D450" s="32"/>
      <c r="E450" s="32"/>
      <c r="F450" s="33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</row>
    <row r="451" spans="1:21" s="29" customFormat="1">
      <c r="A451" s="32"/>
      <c r="B451" s="32"/>
      <c r="C451" s="32"/>
      <c r="D451" s="32"/>
      <c r="E451" s="32"/>
      <c r="F451" s="33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30"/>
    </row>
    <row r="452" spans="1:21" s="29" customFormat="1">
      <c r="A452" s="32"/>
      <c r="B452" s="32"/>
      <c r="C452" s="32"/>
      <c r="D452" s="32"/>
      <c r="E452" s="32"/>
      <c r="F452" s="33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</row>
    <row r="453" spans="1:21" s="29" customFormat="1">
      <c r="A453" s="32"/>
      <c r="B453" s="32"/>
      <c r="C453" s="32"/>
      <c r="D453" s="32"/>
      <c r="E453" s="32"/>
      <c r="F453" s="33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</row>
    <row r="454" spans="1:21" s="29" customFormat="1">
      <c r="A454" s="32"/>
      <c r="B454" s="32"/>
      <c r="C454" s="32"/>
      <c r="D454" s="32"/>
      <c r="E454" s="32"/>
      <c r="F454" s="33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30"/>
    </row>
    <row r="455" spans="1:21" s="29" customFormat="1">
      <c r="A455" s="32"/>
      <c r="B455" s="32"/>
      <c r="C455" s="32"/>
      <c r="D455" s="32"/>
      <c r="E455" s="32"/>
      <c r="F455" s="33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</row>
    <row r="456" spans="1:21" s="29" customFormat="1">
      <c r="A456" s="32"/>
      <c r="B456" s="32"/>
      <c r="C456" s="32"/>
      <c r="D456" s="32"/>
      <c r="E456" s="32"/>
      <c r="F456" s="33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</row>
    <row r="457" spans="1:21" s="29" customFormat="1">
      <c r="A457" s="32"/>
      <c r="B457" s="32"/>
      <c r="C457" s="32"/>
      <c r="D457" s="32"/>
      <c r="E457" s="32"/>
      <c r="F457" s="33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30"/>
    </row>
    <row r="458" spans="1:21" s="29" customFormat="1">
      <c r="A458" s="32"/>
      <c r="B458" s="32"/>
      <c r="C458" s="32"/>
      <c r="D458" s="32"/>
      <c r="E458" s="32"/>
      <c r="F458" s="33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</row>
    <row r="459" spans="1:21" s="29" customFormat="1">
      <c r="A459" s="32"/>
      <c r="B459" s="32"/>
      <c r="C459" s="32"/>
      <c r="D459" s="32"/>
      <c r="E459" s="32"/>
      <c r="F459" s="33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</row>
    <row r="460" spans="1:21" s="29" customFormat="1">
      <c r="A460" s="32"/>
      <c r="B460" s="32"/>
      <c r="C460" s="32"/>
      <c r="D460" s="32"/>
      <c r="E460" s="32"/>
      <c r="F460" s="33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0"/>
    </row>
    <row r="461" spans="1:21" s="29" customFormat="1">
      <c r="A461" s="32"/>
      <c r="B461" s="32"/>
      <c r="C461" s="32"/>
      <c r="D461" s="32"/>
      <c r="E461" s="32"/>
      <c r="F461" s="33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</row>
    <row r="462" spans="1:21" s="29" customFormat="1">
      <c r="A462" s="32"/>
      <c r="B462" s="32"/>
      <c r="C462" s="32"/>
      <c r="D462" s="32"/>
      <c r="E462" s="32"/>
      <c r="F462" s="33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</row>
    <row r="463" spans="1:21" s="29" customFormat="1">
      <c r="A463" s="32"/>
      <c r="B463" s="32"/>
      <c r="C463" s="32"/>
      <c r="D463" s="32"/>
      <c r="E463" s="32"/>
      <c r="F463" s="33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30"/>
    </row>
    <row r="464" spans="1:21" s="29" customFormat="1">
      <c r="A464" s="32"/>
      <c r="B464" s="32"/>
      <c r="C464" s="32"/>
      <c r="D464" s="32"/>
      <c r="E464" s="32"/>
      <c r="F464" s="33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</row>
    <row r="465" spans="1:21" s="29" customFormat="1">
      <c r="A465" s="32"/>
      <c r="B465" s="32"/>
      <c r="C465" s="32"/>
      <c r="D465" s="32"/>
      <c r="E465" s="32"/>
      <c r="F465" s="33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</row>
    <row r="466" spans="1:21" s="29" customFormat="1">
      <c r="A466" s="32"/>
      <c r="B466" s="32"/>
      <c r="C466" s="32"/>
      <c r="D466" s="32"/>
      <c r="E466" s="32"/>
      <c r="F466" s="33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</row>
    <row r="467" spans="1:21" s="29" customFormat="1">
      <c r="A467" s="32"/>
      <c r="B467" s="32"/>
      <c r="C467" s="32"/>
      <c r="D467" s="32"/>
      <c r="E467" s="32"/>
      <c r="F467" s="33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</row>
    <row r="468" spans="1:21" s="29" customFormat="1">
      <c r="A468" s="32"/>
      <c r="B468" s="32"/>
      <c r="C468" s="32"/>
      <c r="D468" s="32"/>
      <c r="E468" s="32"/>
      <c r="F468" s="33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</row>
    <row r="469" spans="1:21" s="29" customFormat="1">
      <c r="A469" s="32"/>
      <c r="B469" s="32"/>
      <c r="C469" s="32"/>
      <c r="D469" s="32"/>
      <c r="E469" s="32"/>
      <c r="F469" s="33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30"/>
    </row>
    <row r="470" spans="1:21" s="29" customFormat="1">
      <c r="A470" s="32"/>
      <c r="B470" s="32"/>
      <c r="C470" s="32"/>
      <c r="D470" s="32"/>
      <c r="E470" s="32"/>
      <c r="F470" s="33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</row>
    <row r="471" spans="1:21" s="29" customFormat="1">
      <c r="A471" s="32"/>
      <c r="B471" s="32"/>
      <c r="C471" s="32"/>
      <c r="D471" s="32"/>
      <c r="E471" s="32"/>
      <c r="F471" s="33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</row>
    <row r="472" spans="1:21" s="29" customFormat="1">
      <c r="A472" s="32"/>
      <c r="B472" s="32"/>
      <c r="C472" s="32"/>
      <c r="D472" s="32"/>
      <c r="E472" s="32"/>
      <c r="F472" s="33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0"/>
    </row>
    <row r="473" spans="1:21" s="29" customFormat="1">
      <c r="A473" s="32"/>
      <c r="B473" s="32"/>
      <c r="C473" s="32"/>
      <c r="D473" s="32"/>
      <c r="E473" s="32"/>
      <c r="F473" s="33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</row>
    <row r="474" spans="1:21" s="29" customFormat="1">
      <c r="A474" s="32"/>
      <c r="B474" s="32"/>
      <c r="C474" s="32"/>
      <c r="D474" s="32"/>
      <c r="E474" s="32"/>
      <c r="F474" s="33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</row>
    <row r="475" spans="1:21" s="29" customFormat="1">
      <c r="A475" s="32"/>
      <c r="B475" s="32"/>
      <c r="C475" s="32"/>
      <c r="D475" s="32"/>
      <c r="E475" s="32"/>
      <c r="F475" s="33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30"/>
    </row>
    <row r="476" spans="1:21" s="29" customFormat="1">
      <c r="A476" s="32"/>
      <c r="B476" s="32"/>
      <c r="C476" s="32"/>
      <c r="D476" s="32"/>
      <c r="E476" s="32"/>
      <c r="F476" s="33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</row>
    <row r="477" spans="1:21" s="29" customFormat="1">
      <c r="A477" s="32"/>
      <c r="B477" s="32"/>
      <c r="C477" s="32"/>
      <c r="D477" s="32"/>
      <c r="E477" s="32"/>
      <c r="F477" s="33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</row>
    <row r="478" spans="1:21" s="29" customFormat="1">
      <c r="A478" s="32"/>
      <c r="B478" s="32"/>
      <c r="C478" s="32"/>
      <c r="D478" s="32"/>
      <c r="E478" s="32"/>
      <c r="F478" s="33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30"/>
    </row>
    <row r="479" spans="1:21" s="29" customFormat="1">
      <c r="A479" s="32"/>
      <c r="B479" s="32"/>
      <c r="C479" s="32"/>
      <c r="D479" s="32"/>
      <c r="E479" s="32"/>
      <c r="F479" s="33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</row>
    <row r="480" spans="1:21" s="29" customFormat="1">
      <c r="A480" s="32"/>
      <c r="B480" s="32"/>
      <c r="C480" s="32"/>
      <c r="D480" s="32"/>
      <c r="E480" s="32"/>
      <c r="F480" s="33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</row>
    <row r="481" spans="1:21" s="29" customFormat="1">
      <c r="A481" s="32"/>
      <c r="B481" s="32"/>
      <c r="C481" s="32"/>
      <c r="D481" s="32"/>
      <c r="E481" s="32"/>
      <c r="F481" s="33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30"/>
    </row>
    <row r="482" spans="1:21" s="29" customFormat="1">
      <c r="A482" s="32"/>
      <c r="B482" s="32"/>
      <c r="C482" s="32"/>
      <c r="D482" s="32"/>
      <c r="E482" s="32"/>
      <c r="F482" s="33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</row>
    <row r="483" spans="1:21" s="29" customFormat="1">
      <c r="A483" s="32"/>
      <c r="B483" s="32"/>
      <c r="C483" s="32"/>
      <c r="D483" s="32"/>
      <c r="E483" s="32"/>
      <c r="F483" s="33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</row>
    <row r="484" spans="1:21" s="29" customFormat="1">
      <c r="A484" s="32"/>
      <c r="B484" s="32"/>
      <c r="C484" s="32"/>
      <c r="D484" s="32"/>
      <c r="E484" s="32"/>
      <c r="F484" s="33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30"/>
    </row>
    <row r="485" spans="1:21" s="29" customFormat="1">
      <c r="A485" s="32"/>
      <c r="B485" s="32"/>
      <c r="C485" s="32"/>
      <c r="D485" s="32"/>
      <c r="E485" s="32"/>
      <c r="F485" s="33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</row>
    <row r="486" spans="1:21" s="29" customFormat="1">
      <c r="A486" s="32"/>
      <c r="B486" s="32"/>
      <c r="C486" s="32"/>
      <c r="D486" s="32"/>
      <c r="E486" s="32"/>
      <c r="F486" s="33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</row>
    <row r="487" spans="1:21" s="29" customFormat="1">
      <c r="A487" s="32"/>
      <c r="B487" s="32"/>
      <c r="C487" s="32"/>
      <c r="D487" s="32"/>
      <c r="E487" s="32"/>
      <c r="F487" s="33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30"/>
    </row>
    <row r="488" spans="1:21" s="29" customFormat="1">
      <c r="A488" s="32"/>
      <c r="B488" s="32"/>
      <c r="C488" s="32"/>
      <c r="D488" s="32"/>
      <c r="E488" s="32"/>
      <c r="F488" s="33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</row>
    <row r="489" spans="1:21" s="29" customFormat="1">
      <c r="A489" s="32"/>
      <c r="B489" s="32"/>
      <c r="C489" s="32"/>
      <c r="D489" s="32"/>
      <c r="E489" s="32"/>
      <c r="F489" s="33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</row>
    <row r="490" spans="1:21" s="29" customFormat="1">
      <c r="A490" s="32"/>
      <c r="B490" s="32"/>
      <c r="C490" s="32"/>
      <c r="D490" s="32"/>
      <c r="E490" s="32"/>
      <c r="F490" s="33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30"/>
    </row>
    <row r="491" spans="1:21" s="29" customFormat="1">
      <c r="A491" s="32"/>
      <c r="B491" s="32"/>
      <c r="C491" s="32"/>
      <c r="D491" s="32"/>
      <c r="E491" s="32"/>
      <c r="F491" s="33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</row>
    <row r="492" spans="1:21" s="29" customFormat="1">
      <c r="A492" s="32"/>
      <c r="B492" s="32"/>
      <c r="C492" s="32"/>
      <c r="D492" s="32"/>
      <c r="E492" s="32"/>
      <c r="F492" s="33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</row>
    <row r="493" spans="1:21" s="29" customFormat="1">
      <c r="A493" s="32"/>
      <c r="B493" s="32"/>
      <c r="C493" s="32"/>
      <c r="D493" s="32"/>
      <c r="E493" s="32"/>
      <c r="F493" s="33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30"/>
    </row>
    <row r="494" spans="1:21" s="29" customFormat="1">
      <c r="A494" s="32"/>
      <c r="B494" s="32"/>
      <c r="C494" s="32"/>
      <c r="D494" s="32"/>
      <c r="E494" s="32"/>
      <c r="F494" s="33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</row>
    <row r="495" spans="1:21" s="29" customFormat="1">
      <c r="A495" s="32"/>
      <c r="B495" s="32"/>
      <c r="C495" s="32"/>
      <c r="D495" s="32"/>
      <c r="E495" s="32"/>
      <c r="F495" s="33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</row>
    <row r="496" spans="1:21" s="29" customFormat="1">
      <c r="A496" s="32"/>
      <c r="B496" s="32"/>
      <c r="C496" s="32"/>
      <c r="D496" s="32"/>
      <c r="E496" s="32"/>
      <c r="F496" s="33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30"/>
    </row>
    <row r="497" spans="1:21" s="29" customFormat="1">
      <c r="A497" s="32"/>
      <c r="B497" s="32"/>
      <c r="C497" s="32"/>
      <c r="D497" s="32"/>
      <c r="E497" s="32"/>
      <c r="F497" s="33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</row>
    <row r="498" spans="1:21" s="29" customFormat="1">
      <c r="A498" s="32"/>
      <c r="B498" s="32"/>
      <c r="C498" s="32"/>
      <c r="D498" s="32"/>
      <c r="E498" s="32"/>
      <c r="F498" s="33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</row>
    <row r="499" spans="1:21" s="29" customFormat="1">
      <c r="A499" s="32"/>
      <c r="B499" s="32"/>
      <c r="C499" s="32"/>
      <c r="D499" s="32"/>
      <c r="E499" s="32"/>
      <c r="F499" s="33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30"/>
    </row>
    <row r="500" spans="1:21" s="29" customFormat="1">
      <c r="A500" s="32"/>
      <c r="B500" s="32"/>
      <c r="C500" s="32"/>
      <c r="D500" s="32"/>
      <c r="E500" s="32"/>
      <c r="F500" s="33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</row>
    <row r="501" spans="1:21" s="29" customFormat="1">
      <c r="A501" s="32"/>
      <c r="B501" s="32"/>
      <c r="C501" s="32"/>
      <c r="D501" s="32"/>
      <c r="E501" s="32"/>
      <c r="F501" s="33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</row>
    <row r="502" spans="1:21" s="29" customFormat="1">
      <c r="A502" s="32"/>
      <c r="B502" s="32"/>
      <c r="C502" s="32"/>
      <c r="D502" s="32"/>
      <c r="E502" s="32"/>
      <c r="F502" s="33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30"/>
    </row>
    <row r="503" spans="1:21" s="29" customFormat="1">
      <c r="A503" s="32"/>
      <c r="B503" s="32"/>
      <c r="C503" s="32"/>
      <c r="D503" s="32"/>
      <c r="E503" s="32"/>
      <c r="F503" s="33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</row>
    <row r="504" spans="1:21" s="29" customFormat="1">
      <c r="A504" s="32"/>
      <c r="B504" s="32"/>
      <c r="C504" s="32"/>
      <c r="D504" s="32"/>
      <c r="E504" s="32"/>
      <c r="F504" s="33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</row>
    <row r="505" spans="1:21" s="29" customFormat="1">
      <c r="A505" s="32"/>
      <c r="B505" s="32"/>
      <c r="C505" s="32"/>
      <c r="D505" s="32"/>
      <c r="E505" s="32"/>
      <c r="F505" s="33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30"/>
    </row>
    <row r="506" spans="1:21" s="29" customFormat="1">
      <c r="A506" s="32"/>
      <c r="B506" s="32"/>
      <c r="C506" s="32"/>
      <c r="D506" s="32"/>
      <c r="E506" s="32"/>
      <c r="F506" s="33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</row>
    <row r="507" spans="1:21" s="29" customFormat="1">
      <c r="A507" s="32"/>
      <c r="B507" s="32"/>
      <c r="C507" s="32"/>
      <c r="D507" s="32"/>
      <c r="E507" s="32"/>
      <c r="F507" s="33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</row>
    <row r="508" spans="1:21" s="29" customFormat="1">
      <c r="A508" s="32"/>
      <c r="B508" s="32"/>
      <c r="C508" s="32"/>
      <c r="D508" s="32"/>
      <c r="E508" s="32"/>
      <c r="F508" s="33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</row>
    <row r="509" spans="1:21" s="29" customFormat="1">
      <c r="A509" s="32"/>
      <c r="B509" s="32"/>
      <c r="C509" s="32"/>
      <c r="D509" s="32"/>
      <c r="E509" s="32"/>
      <c r="F509" s="33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</row>
    <row r="510" spans="1:21" s="29" customFormat="1">
      <c r="A510" s="32"/>
      <c r="B510" s="32"/>
      <c r="C510" s="32"/>
      <c r="D510" s="32"/>
      <c r="E510" s="32"/>
      <c r="F510" s="33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</row>
    <row r="511" spans="1:21" s="29" customFormat="1">
      <c r="A511" s="32"/>
      <c r="B511" s="32"/>
      <c r="C511" s="32"/>
      <c r="D511" s="32"/>
      <c r="E511" s="32"/>
      <c r="F511" s="33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30"/>
    </row>
    <row r="512" spans="1:21" s="29" customFormat="1">
      <c r="A512" s="32"/>
      <c r="B512" s="32"/>
      <c r="C512" s="32"/>
      <c r="D512" s="32"/>
      <c r="E512" s="32"/>
      <c r="F512" s="33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</row>
    <row r="513" spans="1:21" s="29" customFormat="1">
      <c r="A513" s="32"/>
      <c r="B513" s="32"/>
      <c r="C513" s="32"/>
      <c r="D513" s="32"/>
      <c r="E513" s="32"/>
      <c r="F513" s="33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</row>
    <row r="514" spans="1:21" s="29" customFormat="1">
      <c r="A514" s="32"/>
      <c r="B514" s="32"/>
      <c r="C514" s="32"/>
      <c r="D514" s="32"/>
      <c r="E514" s="32"/>
      <c r="F514" s="33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0"/>
    </row>
    <row r="515" spans="1:21" s="29" customFormat="1">
      <c r="A515" s="32"/>
      <c r="B515" s="32"/>
      <c r="C515" s="32"/>
      <c r="D515" s="32"/>
      <c r="E515" s="32"/>
      <c r="F515" s="33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</row>
    <row r="516" spans="1:21" s="29" customFormat="1">
      <c r="A516" s="32"/>
      <c r="B516" s="32"/>
      <c r="C516" s="32"/>
      <c r="D516" s="32"/>
      <c r="E516" s="32"/>
      <c r="F516" s="33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</row>
    <row r="517" spans="1:21" s="29" customFormat="1">
      <c r="A517" s="32"/>
      <c r="B517" s="32"/>
      <c r="C517" s="32"/>
      <c r="D517" s="32"/>
      <c r="E517" s="32"/>
      <c r="F517" s="33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30"/>
    </row>
    <row r="518" spans="1:21" s="29" customFormat="1">
      <c r="A518" s="32"/>
      <c r="B518" s="32"/>
      <c r="C518" s="32"/>
      <c r="D518" s="32"/>
      <c r="E518" s="32"/>
      <c r="F518" s="33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</row>
    <row r="519" spans="1:21" s="29" customFormat="1">
      <c r="A519" s="32"/>
      <c r="B519" s="32"/>
      <c r="C519" s="32"/>
      <c r="D519" s="32"/>
      <c r="E519" s="32"/>
      <c r="F519" s="33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</row>
    <row r="520" spans="1:21" s="29" customFormat="1">
      <c r="A520" s="32"/>
      <c r="B520" s="32"/>
      <c r="C520" s="32"/>
      <c r="D520" s="32"/>
      <c r="E520" s="32"/>
      <c r="F520" s="33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30"/>
    </row>
    <row r="521" spans="1:21" s="29" customFormat="1">
      <c r="A521" s="32"/>
      <c r="B521" s="32"/>
      <c r="C521" s="32"/>
      <c r="D521" s="32"/>
      <c r="E521" s="32"/>
      <c r="F521" s="33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</row>
    <row r="522" spans="1:21" s="29" customFormat="1">
      <c r="A522" s="32"/>
      <c r="B522" s="32"/>
      <c r="C522" s="32"/>
      <c r="D522" s="32"/>
      <c r="E522" s="32"/>
      <c r="F522" s="33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</row>
    <row r="523" spans="1:21" s="29" customFormat="1">
      <c r="A523" s="32"/>
      <c r="B523" s="32"/>
      <c r="C523" s="32"/>
      <c r="D523" s="32"/>
      <c r="E523" s="32"/>
      <c r="F523" s="33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</row>
    <row r="524" spans="1:21" s="29" customFormat="1">
      <c r="A524" s="32"/>
      <c r="B524" s="32"/>
      <c r="C524" s="32"/>
      <c r="D524" s="32"/>
      <c r="E524" s="32"/>
      <c r="F524" s="33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</row>
    <row r="525" spans="1:21" s="29" customFormat="1">
      <c r="A525" s="32"/>
      <c r="B525" s="32"/>
      <c r="C525" s="32"/>
      <c r="D525" s="32"/>
      <c r="E525" s="32"/>
      <c r="F525" s="33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</row>
    <row r="526" spans="1:21" s="29" customFormat="1">
      <c r="A526" s="32"/>
      <c r="B526" s="32"/>
      <c r="C526" s="32"/>
      <c r="D526" s="32"/>
      <c r="E526" s="32"/>
      <c r="F526" s="33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</row>
    <row r="527" spans="1:21" s="29" customFormat="1">
      <c r="A527" s="32"/>
      <c r="B527" s="32"/>
      <c r="C527" s="32"/>
      <c r="D527" s="32"/>
      <c r="E527" s="32"/>
      <c r="F527" s="33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</row>
    <row r="528" spans="1:21" s="29" customFormat="1">
      <c r="A528" s="32"/>
      <c r="B528" s="32"/>
      <c r="C528" s="32"/>
      <c r="D528" s="32"/>
      <c r="E528" s="32"/>
      <c r="F528" s="33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</row>
    <row r="529" spans="1:21" s="29" customFormat="1">
      <c r="A529" s="32"/>
      <c r="B529" s="32"/>
      <c r="C529" s="32"/>
      <c r="D529" s="32"/>
      <c r="E529" s="32"/>
      <c r="F529" s="33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30"/>
    </row>
    <row r="530" spans="1:21" s="29" customFormat="1">
      <c r="A530" s="32"/>
      <c r="B530" s="32"/>
      <c r="C530" s="32"/>
      <c r="D530" s="32"/>
      <c r="E530" s="32"/>
      <c r="F530" s="33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</row>
    <row r="531" spans="1:21" s="29" customFormat="1">
      <c r="A531" s="32"/>
      <c r="B531" s="32"/>
      <c r="C531" s="32"/>
      <c r="D531" s="32"/>
      <c r="E531" s="32"/>
      <c r="F531" s="33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</row>
    <row r="532" spans="1:21" s="29" customFormat="1">
      <c r="A532" s="32"/>
      <c r="B532" s="32"/>
      <c r="C532" s="32"/>
      <c r="D532" s="32"/>
      <c r="E532" s="32"/>
      <c r="F532" s="33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30"/>
    </row>
    <row r="533" spans="1:21" s="29" customFormat="1">
      <c r="A533" s="32"/>
      <c r="B533" s="32"/>
      <c r="C533" s="32"/>
      <c r="D533" s="32"/>
      <c r="E533" s="32"/>
      <c r="F533" s="33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</row>
    <row r="534" spans="1:21" s="29" customFormat="1">
      <c r="A534" s="32"/>
      <c r="B534" s="32"/>
      <c r="C534" s="32"/>
      <c r="D534" s="32"/>
      <c r="E534" s="32"/>
      <c r="F534" s="33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</row>
    <row r="535" spans="1:21" s="29" customFormat="1">
      <c r="A535" s="32"/>
      <c r="B535" s="32"/>
      <c r="C535" s="32"/>
      <c r="D535" s="32"/>
      <c r="E535" s="32"/>
      <c r="F535" s="33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</row>
    <row r="536" spans="1:21" s="29" customFormat="1">
      <c r="A536" s="32"/>
      <c r="B536" s="32"/>
      <c r="C536" s="32"/>
      <c r="D536" s="32"/>
      <c r="E536" s="32"/>
      <c r="F536" s="33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</row>
    <row r="537" spans="1:21" s="29" customFormat="1">
      <c r="A537" s="32"/>
      <c r="B537" s="32"/>
      <c r="C537" s="32"/>
      <c r="D537" s="32"/>
      <c r="E537" s="32"/>
      <c r="F537" s="33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</row>
    <row r="538" spans="1:21" s="29" customFormat="1">
      <c r="A538" s="32"/>
      <c r="B538" s="32"/>
      <c r="C538" s="32"/>
      <c r="D538" s="32"/>
      <c r="E538" s="32"/>
      <c r="F538" s="33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30"/>
    </row>
    <row r="539" spans="1:21" s="29" customFormat="1">
      <c r="A539" s="32"/>
      <c r="B539" s="32"/>
      <c r="C539" s="32"/>
      <c r="D539" s="32"/>
      <c r="E539" s="32"/>
      <c r="F539" s="33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</row>
    <row r="540" spans="1:21" s="29" customFormat="1">
      <c r="A540" s="32"/>
      <c r="B540" s="32"/>
      <c r="C540" s="32"/>
      <c r="D540" s="32"/>
      <c r="E540" s="32"/>
      <c r="F540" s="33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</row>
    <row r="541" spans="1:21" s="29" customFormat="1">
      <c r="A541" s="32"/>
      <c r="B541" s="32"/>
      <c r="C541" s="32"/>
      <c r="D541" s="32"/>
      <c r="E541" s="32"/>
      <c r="F541" s="33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30"/>
    </row>
    <row r="542" spans="1:21" s="29" customFormat="1">
      <c r="A542" s="32"/>
      <c r="B542" s="32"/>
      <c r="C542" s="32"/>
      <c r="D542" s="32"/>
      <c r="E542" s="32"/>
      <c r="F542" s="33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</row>
    <row r="543" spans="1:21" s="29" customFormat="1">
      <c r="A543" s="32"/>
      <c r="B543" s="32"/>
      <c r="C543" s="32"/>
      <c r="D543" s="32"/>
      <c r="E543" s="32"/>
      <c r="F543" s="33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</row>
    <row r="544" spans="1:21" s="29" customFormat="1">
      <c r="A544" s="32"/>
      <c r="B544" s="32"/>
      <c r="C544" s="32"/>
      <c r="D544" s="32"/>
      <c r="E544" s="32"/>
      <c r="F544" s="33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0"/>
    </row>
    <row r="545" spans="1:21" s="29" customFormat="1">
      <c r="A545" s="32"/>
      <c r="B545" s="32"/>
      <c r="C545" s="32"/>
      <c r="D545" s="32"/>
      <c r="E545" s="32"/>
      <c r="F545" s="33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</row>
    <row r="546" spans="1:21" s="29" customFormat="1">
      <c r="A546" s="32"/>
      <c r="B546" s="32"/>
      <c r="C546" s="32"/>
      <c r="D546" s="32"/>
      <c r="E546" s="32"/>
      <c r="F546" s="33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</row>
    <row r="547" spans="1:21" s="29" customFormat="1">
      <c r="A547" s="32"/>
      <c r="B547" s="32"/>
      <c r="C547" s="32"/>
      <c r="D547" s="32"/>
      <c r="E547" s="32"/>
      <c r="F547" s="33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30"/>
    </row>
    <row r="548" spans="1:21" s="29" customFormat="1">
      <c r="A548" s="32"/>
      <c r="B548" s="32"/>
      <c r="C548" s="32"/>
      <c r="D548" s="32"/>
      <c r="E548" s="32"/>
      <c r="F548" s="33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</row>
    <row r="549" spans="1:21" s="29" customFormat="1">
      <c r="A549" s="32"/>
      <c r="B549" s="32"/>
      <c r="C549" s="32"/>
      <c r="D549" s="32"/>
      <c r="E549" s="32"/>
      <c r="F549" s="33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</row>
    <row r="550" spans="1:21" s="29" customFormat="1">
      <c r="A550" s="32"/>
      <c r="B550" s="32"/>
      <c r="C550" s="32"/>
      <c r="D550" s="32"/>
      <c r="E550" s="32"/>
      <c r="F550" s="33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</row>
    <row r="551" spans="1:21" s="29" customFormat="1">
      <c r="A551" s="32"/>
      <c r="B551" s="32"/>
      <c r="C551" s="32"/>
      <c r="D551" s="32"/>
      <c r="E551" s="32"/>
      <c r="F551" s="33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</row>
    <row r="552" spans="1:21" s="29" customFormat="1">
      <c r="A552" s="32"/>
      <c r="B552" s="32"/>
      <c r="C552" s="32"/>
      <c r="D552" s="32"/>
      <c r="E552" s="32"/>
      <c r="F552" s="33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</row>
    <row r="553" spans="1:21" s="29" customFormat="1">
      <c r="A553" s="32"/>
      <c r="B553" s="32"/>
      <c r="C553" s="32"/>
      <c r="D553" s="32"/>
      <c r="E553" s="32"/>
      <c r="F553" s="33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30"/>
    </row>
    <row r="554" spans="1:21" s="29" customFormat="1">
      <c r="A554" s="32"/>
      <c r="B554" s="32"/>
      <c r="C554" s="32"/>
      <c r="D554" s="32"/>
      <c r="E554" s="32"/>
      <c r="F554" s="33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</row>
    <row r="555" spans="1:21" s="29" customFormat="1">
      <c r="A555" s="32"/>
      <c r="B555" s="32"/>
      <c r="C555" s="32"/>
      <c r="D555" s="32"/>
      <c r="E555" s="32"/>
      <c r="F555" s="33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</row>
    <row r="556" spans="1:21" s="29" customFormat="1">
      <c r="A556" s="32"/>
      <c r="B556" s="32"/>
      <c r="C556" s="32"/>
      <c r="D556" s="32"/>
      <c r="E556" s="32"/>
      <c r="F556" s="33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30"/>
    </row>
    <row r="557" spans="1:21" s="29" customFormat="1">
      <c r="A557" s="32"/>
      <c r="B557" s="32"/>
      <c r="C557" s="32"/>
      <c r="D557" s="32"/>
      <c r="E557" s="32"/>
      <c r="F557" s="33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</row>
    <row r="558" spans="1:21" s="29" customFormat="1">
      <c r="A558" s="32"/>
      <c r="B558" s="32"/>
      <c r="C558" s="32"/>
      <c r="D558" s="32"/>
      <c r="E558" s="32"/>
      <c r="F558" s="33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</row>
    <row r="559" spans="1:21" s="29" customFormat="1">
      <c r="A559" s="32"/>
      <c r="B559" s="32"/>
      <c r="C559" s="32"/>
      <c r="D559" s="32"/>
      <c r="E559" s="32"/>
      <c r="F559" s="33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30"/>
    </row>
    <row r="560" spans="1:21" s="29" customFormat="1">
      <c r="A560" s="32"/>
      <c r="B560" s="32"/>
      <c r="C560" s="32"/>
      <c r="D560" s="32"/>
      <c r="E560" s="32"/>
      <c r="F560" s="33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</row>
    <row r="561" spans="1:21" s="29" customFormat="1">
      <c r="A561" s="32"/>
      <c r="B561" s="32"/>
      <c r="C561" s="32"/>
      <c r="D561" s="32"/>
      <c r="E561" s="32"/>
      <c r="F561" s="33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</row>
    <row r="562" spans="1:21" s="29" customFormat="1">
      <c r="A562" s="32"/>
      <c r="B562" s="32"/>
      <c r="C562" s="32"/>
      <c r="D562" s="32"/>
      <c r="E562" s="32"/>
      <c r="F562" s="33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30"/>
    </row>
    <row r="563" spans="1:21" s="29" customFormat="1">
      <c r="A563" s="32"/>
      <c r="B563" s="32"/>
      <c r="C563" s="32"/>
      <c r="D563" s="32"/>
      <c r="E563" s="32"/>
      <c r="F563" s="33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</row>
    <row r="564" spans="1:21" s="29" customFormat="1">
      <c r="A564" s="32"/>
      <c r="B564" s="32"/>
      <c r="C564" s="32"/>
      <c r="D564" s="32"/>
      <c r="E564" s="32"/>
      <c r="F564" s="33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</row>
    <row r="565" spans="1:21" s="29" customFormat="1">
      <c r="A565" s="32"/>
      <c r="B565" s="32"/>
      <c r="C565" s="32"/>
      <c r="D565" s="32"/>
      <c r="E565" s="32"/>
      <c r="F565" s="33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30"/>
    </row>
    <row r="566" spans="1:21" s="29" customFormat="1">
      <c r="A566" s="32"/>
      <c r="B566" s="32"/>
      <c r="C566" s="32"/>
      <c r="D566" s="32"/>
      <c r="E566" s="32"/>
      <c r="F566" s="33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</row>
    <row r="567" spans="1:21" s="29" customFormat="1">
      <c r="A567" s="32"/>
      <c r="B567" s="32"/>
      <c r="C567" s="32"/>
      <c r="D567" s="32"/>
      <c r="E567" s="32"/>
      <c r="F567" s="33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</row>
    <row r="568" spans="1:21" s="29" customFormat="1">
      <c r="A568" s="32"/>
      <c r="B568" s="32"/>
      <c r="C568" s="32"/>
      <c r="D568" s="32"/>
      <c r="E568" s="32"/>
      <c r="F568" s="33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30"/>
    </row>
    <row r="569" spans="1:21" s="29" customFormat="1">
      <c r="A569" s="32"/>
      <c r="B569" s="32"/>
      <c r="C569" s="32"/>
      <c r="D569" s="32"/>
      <c r="E569" s="32"/>
      <c r="F569" s="33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</row>
    <row r="570" spans="1:21" s="29" customFormat="1">
      <c r="A570" s="32"/>
      <c r="B570" s="32"/>
      <c r="C570" s="32"/>
      <c r="D570" s="32"/>
      <c r="E570" s="32"/>
      <c r="F570" s="33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</row>
    <row r="571" spans="1:21" s="29" customFormat="1">
      <c r="A571" s="32"/>
      <c r="B571" s="32"/>
      <c r="C571" s="32"/>
      <c r="D571" s="32"/>
      <c r="E571" s="32"/>
      <c r="F571" s="33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30"/>
    </row>
    <row r="572" spans="1:21" s="29" customFormat="1">
      <c r="A572" s="32"/>
      <c r="B572" s="32"/>
      <c r="C572" s="32"/>
      <c r="D572" s="32"/>
      <c r="E572" s="32"/>
      <c r="F572" s="33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</row>
    <row r="573" spans="1:21" s="29" customFormat="1">
      <c r="A573" s="32"/>
      <c r="B573" s="32"/>
      <c r="C573" s="32"/>
      <c r="D573" s="32"/>
      <c r="E573" s="32"/>
      <c r="F573" s="33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</row>
    <row r="574" spans="1:21" s="29" customFormat="1">
      <c r="A574" s="32"/>
      <c r="B574" s="32"/>
      <c r="C574" s="32"/>
      <c r="D574" s="32"/>
      <c r="E574" s="32"/>
      <c r="F574" s="33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30"/>
    </row>
    <row r="575" spans="1:21" s="29" customFormat="1">
      <c r="A575" s="32"/>
      <c r="B575" s="32"/>
      <c r="C575" s="32"/>
      <c r="D575" s="32"/>
      <c r="E575" s="32"/>
      <c r="F575" s="33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</row>
    <row r="576" spans="1:21" s="29" customFormat="1">
      <c r="A576" s="32"/>
      <c r="B576" s="32"/>
      <c r="C576" s="32"/>
      <c r="D576" s="32"/>
      <c r="E576" s="32"/>
      <c r="F576" s="33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</row>
    <row r="577" spans="1:21" s="29" customFormat="1">
      <c r="A577" s="32"/>
      <c r="B577" s="32"/>
      <c r="C577" s="32"/>
      <c r="D577" s="32"/>
      <c r="E577" s="32"/>
      <c r="F577" s="33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30"/>
    </row>
    <row r="578" spans="1:21" s="29" customFormat="1">
      <c r="A578" s="32"/>
      <c r="B578" s="32"/>
      <c r="C578" s="32"/>
      <c r="D578" s="32"/>
      <c r="E578" s="32"/>
      <c r="F578" s="33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</row>
    <row r="579" spans="1:21" s="29" customFormat="1">
      <c r="A579" s="32"/>
      <c r="B579" s="32"/>
      <c r="C579" s="32"/>
      <c r="D579" s="32"/>
      <c r="E579" s="32"/>
      <c r="F579" s="33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</row>
    <row r="580" spans="1:21" s="29" customFormat="1">
      <c r="A580" s="32"/>
      <c r="B580" s="32"/>
      <c r="C580" s="32"/>
      <c r="D580" s="32"/>
      <c r="E580" s="32"/>
      <c r="F580" s="33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0"/>
    </row>
    <row r="581" spans="1:21" s="29" customFormat="1">
      <c r="A581" s="32"/>
      <c r="B581" s="32"/>
      <c r="C581" s="32"/>
      <c r="D581" s="32"/>
      <c r="E581" s="32"/>
      <c r="F581" s="33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</row>
    <row r="582" spans="1:21" s="29" customFormat="1">
      <c r="A582" s="32"/>
      <c r="B582" s="32"/>
      <c r="C582" s="32"/>
      <c r="D582" s="32"/>
      <c r="E582" s="32"/>
      <c r="F582" s="33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</row>
    <row r="583" spans="1:21" s="29" customFormat="1">
      <c r="A583" s="32"/>
      <c r="B583" s="32"/>
      <c r="C583" s="32"/>
      <c r="D583" s="32"/>
      <c r="E583" s="32"/>
      <c r="F583" s="33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0"/>
    </row>
    <row r="584" spans="1:21" s="29" customFormat="1">
      <c r="A584" s="32"/>
      <c r="B584" s="32"/>
      <c r="C584" s="32"/>
      <c r="D584" s="32"/>
      <c r="E584" s="32"/>
      <c r="F584" s="33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</row>
    <row r="585" spans="1:21" s="29" customFormat="1">
      <c r="A585" s="32"/>
      <c r="B585" s="32"/>
      <c r="C585" s="32"/>
      <c r="D585" s="32"/>
      <c r="E585" s="32"/>
      <c r="F585" s="33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</row>
    <row r="586" spans="1:21" s="29" customFormat="1">
      <c r="A586" s="32"/>
      <c r="B586" s="32"/>
      <c r="C586" s="32"/>
      <c r="D586" s="32"/>
      <c r="E586" s="32"/>
      <c r="F586" s="33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</row>
    <row r="587" spans="1:21" s="29" customFormat="1">
      <c r="A587" s="32"/>
      <c r="B587" s="32"/>
      <c r="C587" s="32"/>
      <c r="D587" s="32"/>
      <c r="E587" s="32"/>
      <c r="F587" s="33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</row>
    <row r="588" spans="1:21" s="29" customFormat="1">
      <c r="A588" s="32"/>
      <c r="B588" s="32"/>
      <c r="C588" s="32"/>
      <c r="D588" s="32"/>
      <c r="E588" s="32"/>
      <c r="F588" s="33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</row>
    <row r="589" spans="1:21" s="29" customFormat="1">
      <c r="A589" s="32"/>
      <c r="B589" s="32"/>
      <c r="C589" s="32"/>
      <c r="D589" s="32"/>
      <c r="E589" s="32"/>
      <c r="F589" s="33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</row>
    <row r="590" spans="1:21" s="29" customFormat="1">
      <c r="A590" s="32"/>
      <c r="B590" s="32"/>
      <c r="C590" s="32"/>
      <c r="D590" s="32"/>
      <c r="E590" s="32"/>
      <c r="F590" s="33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</row>
    <row r="591" spans="1:21" s="29" customFormat="1">
      <c r="A591" s="32"/>
      <c r="B591" s="32"/>
      <c r="C591" s="32"/>
      <c r="D591" s="32"/>
      <c r="E591" s="32"/>
      <c r="F591" s="33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</row>
    <row r="592" spans="1:21" s="29" customFormat="1">
      <c r="A592" s="32"/>
      <c r="B592" s="32"/>
      <c r="C592" s="32"/>
      <c r="D592" s="32"/>
      <c r="E592" s="32"/>
      <c r="F592" s="33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</row>
    <row r="593" spans="1:21" s="29" customFormat="1">
      <c r="A593" s="32"/>
      <c r="B593" s="32"/>
      <c r="C593" s="32"/>
      <c r="D593" s="32"/>
      <c r="E593" s="32"/>
      <c r="F593" s="33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</row>
    <row r="594" spans="1:21" s="29" customFormat="1">
      <c r="A594" s="32"/>
      <c r="B594" s="32"/>
      <c r="C594" s="32"/>
      <c r="D594" s="32"/>
      <c r="E594" s="32"/>
      <c r="F594" s="33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</row>
    <row r="595" spans="1:21" s="29" customFormat="1">
      <c r="A595" s="32"/>
      <c r="B595" s="32"/>
      <c r="C595" s="32"/>
      <c r="D595" s="32"/>
      <c r="E595" s="32"/>
      <c r="F595" s="33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</row>
    <row r="596" spans="1:21" s="29" customFormat="1">
      <c r="A596" s="32"/>
      <c r="B596" s="32"/>
      <c r="C596" s="32"/>
      <c r="D596" s="32"/>
      <c r="E596" s="32"/>
      <c r="F596" s="33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</row>
    <row r="597" spans="1:21" s="29" customFormat="1">
      <c r="A597" s="32"/>
      <c r="B597" s="32"/>
      <c r="C597" s="32"/>
      <c r="D597" s="32"/>
      <c r="E597" s="32"/>
      <c r="F597" s="33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</row>
    <row r="598" spans="1:21" s="29" customFormat="1">
      <c r="A598" s="32"/>
      <c r="B598" s="32"/>
      <c r="C598" s="32"/>
      <c r="D598" s="32"/>
      <c r="E598" s="32"/>
      <c r="F598" s="33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</row>
    <row r="599" spans="1:21" s="29" customFormat="1">
      <c r="A599" s="32"/>
      <c r="B599" s="32"/>
      <c r="C599" s="32"/>
      <c r="D599" s="32"/>
      <c r="E599" s="32"/>
      <c r="F599" s="33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</row>
    <row r="600" spans="1:21" s="29" customFormat="1">
      <c r="A600" s="32"/>
      <c r="B600" s="32"/>
      <c r="C600" s="32"/>
      <c r="D600" s="32"/>
      <c r="E600" s="32"/>
      <c r="F600" s="33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</row>
    <row r="601" spans="1:21" s="29" customFormat="1">
      <c r="A601" s="32"/>
      <c r="B601" s="32"/>
      <c r="C601" s="32"/>
      <c r="D601" s="32"/>
      <c r="E601" s="32"/>
      <c r="F601" s="33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</row>
    <row r="602" spans="1:21" s="29" customFormat="1">
      <c r="A602" s="32"/>
      <c r="B602" s="32"/>
      <c r="C602" s="32"/>
      <c r="D602" s="32"/>
      <c r="E602" s="32"/>
      <c r="F602" s="33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</row>
    <row r="603" spans="1:21" s="29" customFormat="1">
      <c r="A603" s="32"/>
      <c r="B603" s="32"/>
      <c r="C603" s="32"/>
      <c r="D603" s="32"/>
      <c r="E603" s="32"/>
      <c r="F603" s="33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</row>
    <row r="604" spans="1:21" s="29" customFormat="1">
      <c r="A604" s="32"/>
      <c r="B604" s="32"/>
      <c r="C604" s="32"/>
      <c r="D604" s="32"/>
      <c r="E604" s="32"/>
      <c r="F604" s="33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</row>
    <row r="605" spans="1:21" s="29" customFormat="1">
      <c r="A605" s="32"/>
      <c r="B605" s="32"/>
      <c r="C605" s="32"/>
      <c r="D605" s="32"/>
      <c r="E605" s="32"/>
      <c r="F605" s="33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</row>
    <row r="606" spans="1:21" s="29" customFormat="1">
      <c r="A606" s="32"/>
      <c r="B606" s="32"/>
      <c r="C606" s="32"/>
      <c r="D606" s="32"/>
      <c r="E606" s="32"/>
      <c r="F606" s="33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</row>
    <row r="607" spans="1:21" s="29" customFormat="1">
      <c r="A607" s="32"/>
      <c r="B607" s="32"/>
      <c r="C607" s="32"/>
      <c r="D607" s="32"/>
      <c r="E607" s="32"/>
      <c r="F607" s="33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</row>
    <row r="608" spans="1:21" s="29" customFormat="1">
      <c r="A608" s="32"/>
      <c r="B608" s="32"/>
      <c r="C608" s="32"/>
      <c r="D608" s="32"/>
      <c r="E608" s="32"/>
      <c r="F608" s="33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</row>
    <row r="609" spans="1:21" s="29" customFormat="1">
      <c r="A609" s="32"/>
      <c r="B609" s="32"/>
      <c r="C609" s="32"/>
      <c r="D609" s="32"/>
      <c r="E609" s="32"/>
      <c r="F609" s="33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</row>
    <row r="610" spans="1:21" s="29" customFormat="1">
      <c r="A610" s="32"/>
      <c r="B610" s="32"/>
      <c r="C610" s="32"/>
      <c r="D610" s="32"/>
      <c r="E610" s="32"/>
      <c r="F610" s="33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</row>
    <row r="611" spans="1:21" s="29" customFormat="1">
      <c r="A611" s="32"/>
      <c r="B611" s="32"/>
      <c r="C611" s="32"/>
      <c r="D611" s="32"/>
      <c r="E611" s="32"/>
      <c r="F611" s="33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</row>
    <row r="612" spans="1:21" s="29" customFormat="1">
      <c r="A612" s="32"/>
      <c r="B612" s="32"/>
      <c r="C612" s="32"/>
      <c r="D612" s="32"/>
      <c r="E612" s="32"/>
      <c r="F612" s="33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</row>
    <row r="613" spans="1:21" s="29" customFormat="1">
      <c r="A613" s="32"/>
      <c r="B613" s="32"/>
      <c r="C613" s="32"/>
      <c r="D613" s="32"/>
      <c r="E613" s="32"/>
      <c r="F613" s="33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</row>
    <row r="614" spans="1:21" s="29" customFormat="1">
      <c r="A614" s="32"/>
      <c r="B614" s="32"/>
      <c r="C614" s="32"/>
      <c r="D614" s="32"/>
      <c r="E614" s="32"/>
      <c r="F614" s="33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</row>
    <row r="615" spans="1:21" s="29" customFormat="1">
      <c r="A615" s="32"/>
      <c r="B615" s="32"/>
      <c r="C615" s="32"/>
      <c r="D615" s="32"/>
      <c r="E615" s="32"/>
      <c r="F615" s="33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</row>
    <row r="616" spans="1:21" s="29" customFormat="1">
      <c r="A616" s="32"/>
      <c r="B616" s="32"/>
      <c r="C616" s="32"/>
      <c r="D616" s="32"/>
      <c r="E616" s="32"/>
      <c r="F616" s="33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</row>
    <row r="617" spans="1:21" s="29" customFormat="1">
      <c r="A617" s="32"/>
      <c r="B617" s="32"/>
      <c r="C617" s="32"/>
      <c r="D617" s="32"/>
      <c r="E617" s="32"/>
      <c r="F617" s="33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</row>
    <row r="618" spans="1:21" s="29" customFormat="1">
      <c r="A618" s="32"/>
      <c r="B618" s="32"/>
      <c r="C618" s="32"/>
      <c r="D618" s="32"/>
      <c r="E618" s="32"/>
      <c r="F618" s="33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</row>
    <row r="619" spans="1:21" s="29" customFormat="1">
      <c r="A619" s="32"/>
      <c r="B619" s="32"/>
      <c r="C619" s="32"/>
      <c r="D619" s="32"/>
      <c r="E619" s="32"/>
      <c r="F619" s="33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</row>
    <row r="620" spans="1:21" s="29" customFormat="1">
      <c r="A620" s="32"/>
      <c r="B620" s="32"/>
      <c r="C620" s="32"/>
      <c r="D620" s="32"/>
      <c r="E620" s="32"/>
      <c r="F620" s="33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</row>
    <row r="621" spans="1:21" s="29" customFormat="1">
      <c r="A621" s="32"/>
      <c r="B621" s="32"/>
      <c r="C621" s="32"/>
      <c r="D621" s="32"/>
      <c r="E621" s="32"/>
      <c r="F621" s="33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</row>
    <row r="622" spans="1:21" s="29" customFormat="1">
      <c r="A622" s="32"/>
      <c r="B622" s="32"/>
      <c r="C622" s="32"/>
      <c r="D622" s="32"/>
      <c r="E622" s="32"/>
      <c r="F622" s="33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</row>
    <row r="623" spans="1:21" s="29" customFormat="1">
      <c r="A623" s="32"/>
      <c r="B623" s="32"/>
      <c r="C623" s="32"/>
      <c r="D623" s="32"/>
      <c r="E623" s="32"/>
      <c r="F623" s="33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</row>
    <row r="624" spans="1:21" s="29" customFormat="1">
      <c r="A624" s="32"/>
      <c r="B624" s="32"/>
      <c r="C624" s="32"/>
      <c r="D624" s="32"/>
      <c r="E624" s="32"/>
      <c r="F624" s="33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</row>
    <row r="625" spans="1:21" s="29" customFormat="1">
      <c r="A625" s="32"/>
      <c r="B625" s="32"/>
      <c r="C625" s="32"/>
      <c r="D625" s="32"/>
      <c r="E625" s="32"/>
      <c r="F625" s="33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</row>
    <row r="626" spans="1:21" s="29" customFormat="1">
      <c r="A626" s="32"/>
      <c r="B626" s="32"/>
      <c r="C626" s="32"/>
      <c r="D626" s="32"/>
      <c r="E626" s="32"/>
      <c r="F626" s="33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</row>
    <row r="627" spans="1:21" s="29" customFormat="1">
      <c r="A627" s="32"/>
      <c r="B627" s="32"/>
      <c r="C627" s="32"/>
      <c r="D627" s="32"/>
      <c r="E627" s="32"/>
      <c r="F627" s="33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</row>
    <row r="628" spans="1:21" s="29" customFormat="1">
      <c r="A628" s="32"/>
      <c r="B628" s="32"/>
      <c r="C628" s="32"/>
      <c r="D628" s="32"/>
      <c r="E628" s="32"/>
      <c r="F628" s="33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</row>
    <row r="629" spans="1:21" s="29" customFormat="1">
      <c r="A629" s="32"/>
      <c r="B629" s="32"/>
      <c r="C629" s="32"/>
      <c r="D629" s="32"/>
      <c r="E629" s="32"/>
      <c r="F629" s="33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</row>
    <row r="630" spans="1:21" s="29" customFormat="1">
      <c r="A630" s="32"/>
      <c r="B630" s="32"/>
      <c r="C630" s="32"/>
      <c r="D630" s="32"/>
      <c r="E630" s="32"/>
      <c r="F630" s="33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</row>
    <row r="631" spans="1:21" s="29" customFormat="1">
      <c r="A631" s="32"/>
      <c r="B631" s="32"/>
      <c r="C631" s="32"/>
      <c r="D631" s="32"/>
      <c r="E631" s="32"/>
      <c r="F631" s="33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</row>
    <row r="632" spans="1:21" s="29" customFormat="1">
      <c r="A632" s="32"/>
      <c r="B632" s="32"/>
      <c r="C632" s="32"/>
      <c r="D632" s="32"/>
      <c r="E632" s="32"/>
      <c r="F632" s="33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</row>
    <row r="633" spans="1:21" s="29" customFormat="1">
      <c r="A633" s="32"/>
      <c r="B633" s="32"/>
      <c r="C633" s="32"/>
      <c r="D633" s="32"/>
      <c r="E633" s="32"/>
      <c r="F633" s="33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</row>
    <row r="634" spans="1:21" s="29" customFormat="1">
      <c r="A634" s="32"/>
      <c r="B634" s="32"/>
      <c r="C634" s="32"/>
      <c r="D634" s="32"/>
      <c r="E634" s="32"/>
      <c r="F634" s="33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</row>
    <row r="635" spans="1:21" s="29" customFormat="1">
      <c r="A635" s="32"/>
      <c r="B635" s="32"/>
      <c r="C635" s="32"/>
      <c r="D635" s="32"/>
      <c r="E635" s="32"/>
      <c r="F635" s="33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</row>
    <row r="636" spans="1:21" s="29" customFormat="1">
      <c r="A636" s="32"/>
      <c r="B636" s="32"/>
      <c r="C636" s="32"/>
      <c r="D636" s="32"/>
      <c r="E636" s="32"/>
      <c r="F636" s="33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</row>
    <row r="637" spans="1:21" s="29" customFormat="1">
      <c r="A637" s="32"/>
      <c r="B637" s="32"/>
      <c r="C637" s="32"/>
      <c r="D637" s="32"/>
      <c r="E637" s="32"/>
      <c r="F637" s="33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</row>
    <row r="638" spans="1:21" s="29" customFormat="1">
      <c r="A638" s="32"/>
      <c r="B638" s="32"/>
      <c r="C638" s="32"/>
      <c r="D638" s="32"/>
      <c r="E638" s="32"/>
      <c r="F638" s="33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</row>
    <row r="639" spans="1:21" s="29" customFormat="1">
      <c r="A639" s="32"/>
      <c r="B639" s="32"/>
      <c r="C639" s="32"/>
      <c r="D639" s="32"/>
      <c r="E639" s="32"/>
      <c r="F639" s="33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</row>
    <row r="640" spans="1:21" s="29" customFormat="1">
      <c r="A640" s="32"/>
      <c r="B640" s="32"/>
      <c r="C640" s="32"/>
      <c r="D640" s="32"/>
      <c r="E640" s="32"/>
      <c r="F640" s="33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</row>
    <row r="641" spans="1:21" s="29" customFormat="1">
      <c r="A641" s="32"/>
      <c r="B641" s="32"/>
      <c r="C641" s="32"/>
      <c r="D641" s="32"/>
      <c r="E641" s="32"/>
      <c r="F641" s="33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</row>
    <row r="642" spans="1:21" s="29" customFormat="1">
      <c r="A642" s="32"/>
      <c r="B642" s="32"/>
      <c r="C642" s="32"/>
      <c r="D642" s="32"/>
      <c r="E642" s="32"/>
      <c r="F642" s="33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</row>
    <row r="643" spans="1:21" s="29" customFormat="1">
      <c r="A643" s="32"/>
      <c r="B643" s="32"/>
      <c r="C643" s="32"/>
      <c r="D643" s="32"/>
      <c r="E643" s="32"/>
      <c r="F643" s="33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</row>
    <row r="644" spans="1:21" s="29" customFormat="1">
      <c r="A644" s="32"/>
      <c r="B644" s="32"/>
      <c r="C644" s="32"/>
      <c r="D644" s="32"/>
      <c r="E644" s="32"/>
      <c r="F644" s="33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</row>
    <row r="645" spans="1:21" s="29" customFormat="1">
      <c r="A645" s="32"/>
      <c r="B645" s="32"/>
      <c r="C645" s="32"/>
      <c r="D645" s="32"/>
      <c r="E645" s="32"/>
      <c r="F645" s="33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</row>
    <row r="646" spans="1:21" s="29" customFormat="1">
      <c r="A646" s="32"/>
      <c r="B646" s="32"/>
      <c r="C646" s="32"/>
      <c r="D646" s="32"/>
      <c r="E646" s="32"/>
      <c r="F646" s="33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</row>
    <row r="647" spans="1:21" s="29" customFormat="1">
      <c r="A647" s="32"/>
      <c r="B647" s="32"/>
      <c r="C647" s="32"/>
      <c r="D647" s="32"/>
      <c r="E647" s="32"/>
      <c r="F647" s="33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</row>
    <row r="648" spans="1:21" s="29" customFormat="1">
      <c r="A648" s="32"/>
      <c r="B648" s="32"/>
      <c r="C648" s="32"/>
      <c r="D648" s="32"/>
      <c r="E648" s="32"/>
      <c r="F648" s="33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</row>
    <row r="649" spans="1:21" s="29" customFormat="1">
      <c r="A649" s="32"/>
      <c r="B649" s="32"/>
      <c r="C649" s="32"/>
      <c r="D649" s="32"/>
      <c r="E649" s="32"/>
      <c r="F649" s="33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</row>
    <row r="650" spans="1:21" s="29" customFormat="1">
      <c r="A650" s="32"/>
      <c r="B650" s="32"/>
      <c r="C650" s="32"/>
      <c r="D650" s="32"/>
      <c r="E650" s="32"/>
      <c r="F650" s="33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</row>
    <row r="651" spans="1:21" s="29" customFormat="1">
      <c r="A651" s="32"/>
      <c r="B651" s="32"/>
      <c r="C651" s="32"/>
      <c r="D651" s="32"/>
      <c r="E651" s="32"/>
      <c r="F651" s="33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</row>
    <row r="652" spans="1:21" s="29" customFormat="1">
      <c r="A652" s="32"/>
      <c r="B652" s="32"/>
      <c r="C652" s="32"/>
      <c r="D652" s="32"/>
      <c r="E652" s="32"/>
      <c r="F652" s="33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</row>
    <row r="653" spans="1:21" s="29" customFormat="1">
      <c r="A653" s="32"/>
      <c r="B653" s="32"/>
      <c r="C653" s="32"/>
      <c r="D653" s="32"/>
      <c r="E653" s="32"/>
      <c r="F653" s="33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</row>
    <row r="654" spans="1:21" s="29" customFormat="1">
      <c r="A654" s="32"/>
      <c r="B654" s="32"/>
      <c r="C654" s="32"/>
      <c r="D654" s="32"/>
      <c r="E654" s="32"/>
      <c r="F654" s="33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</row>
    <row r="655" spans="1:21" s="29" customFormat="1">
      <c r="A655" s="32"/>
      <c r="B655" s="32"/>
      <c r="C655" s="32"/>
      <c r="D655" s="32"/>
      <c r="E655" s="32"/>
      <c r="F655" s="33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</row>
    <row r="656" spans="1:21" s="29" customFormat="1">
      <c r="A656" s="32"/>
      <c r="B656" s="32"/>
      <c r="C656" s="32"/>
      <c r="D656" s="32"/>
      <c r="E656" s="32"/>
      <c r="F656" s="33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</row>
    <row r="657" spans="1:21" s="29" customFormat="1">
      <c r="A657" s="32"/>
      <c r="B657" s="32"/>
      <c r="C657" s="32"/>
      <c r="D657" s="32"/>
      <c r="E657" s="32"/>
      <c r="F657" s="33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</row>
    <row r="658" spans="1:21" s="29" customFormat="1">
      <c r="A658" s="32"/>
      <c r="B658" s="32"/>
      <c r="C658" s="32"/>
      <c r="D658" s="32"/>
      <c r="E658" s="32"/>
      <c r="F658" s="33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</row>
    <row r="659" spans="1:21" s="29" customFormat="1">
      <c r="A659" s="32"/>
      <c r="B659" s="32"/>
      <c r="C659" s="32"/>
      <c r="D659" s="32"/>
      <c r="E659" s="32"/>
      <c r="F659" s="33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</row>
    <row r="660" spans="1:21" s="29" customFormat="1">
      <c r="A660" s="32"/>
      <c r="B660" s="32"/>
      <c r="C660" s="32"/>
      <c r="D660" s="32"/>
      <c r="E660" s="32"/>
      <c r="F660" s="33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</row>
    <row r="661" spans="1:21" s="29" customFormat="1">
      <c r="A661" s="32"/>
      <c r="B661" s="32"/>
      <c r="C661" s="32"/>
      <c r="D661" s="32"/>
      <c r="E661" s="32"/>
      <c r="F661" s="33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</row>
    <row r="662" spans="1:21" s="29" customFormat="1">
      <c r="A662" s="32"/>
      <c r="B662" s="32"/>
      <c r="C662" s="32"/>
      <c r="D662" s="32"/>
      <c r="E662" s="32"/>
      <c r="F662" s="33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</row>
    <row r="663" spans="1:21" s="29" customFormat="1">
      <c r="A663" s="32"/>
      <c r="B663" s="32"/>
      <c r="C663" s="32"/>
      <c r="D663" s="32"/>
      <c r="E663" s="32"/>
      <c r="F663" s="33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</row>
    <row r="664" spans="1:21" s="29" customFormat="1">
      <c r="A664" s="32"/>
      <c r="B664" s="32"/>
      <c r="C664" s="32"/>
      <c r="D664" s="32"/>
      <c r="E664" s="32"/>
      <c r="F664" s="33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</row>
    <row r="665" spans="1:21" s="29" customFormat="1">
      <c r="A665" s="32"/>
      <c r="B665" s="32"/>
      <c r="C665" s="32"/>
      <c r="D665" s="32"/>
      <c r="E665" s="32"/>
      <c r="F665" s="33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</row>
    <row r="666" spans="1:21" s="29" customFormat="1">
      <c r="A666" s="32"/>
      <c r="B666" s="32"/>
      <c r="C666" s="32"/>
      <c r="D666" s="32"/>
      <c r="E666" s="32"/>
      <c r="F666" s="33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</row>
    <row r="667" spans="1:21" s="29" customFormat="1">
      <c r="A667" s="32"/>
      <c r="B667" s="32"/>
      <c r="C667" s="32"/>
      <c r="D667" s="32"/>
      <c r="E667" s="32"/>
      <c r="F667" s="33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</row>
    <row r="668" spans="1:21" s="29" customFormat="1">
      <c r="A668" s="32"/>
      <c r="B668" s="32"/>
      <c r="C668" s="32"/>
      <c r="D668" s="32"/>
      <c r="E668" s="32"/>
      <c r="F668" s="33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</row>
    <row r="669" spans="1:21" s="29" customFormat="1">
      <c r="A669" s="32"/>
      <c r="B669" s="32"/>
      <c r="C669" s="32"/>
      <c r="D669" s="32"/>
      <c r="E669" s="32"/>
      <c r="F669" s="33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</row>
    <row r="670" spans="1:21" s="29" customFormat="1">
      <c r="A670" s="32"/>
      <c r="B670" s="32"/>
      <c r="C670" s="32"/>
      <c r="D670" s="32"/>
      <c r="E670" s="32"/>
      <c r="F670" s="33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</row>
    <row r="671" spans="1:21" s="29" customFormat="1">
      <c r="A671" s="32"/>
      <c r="B671" s="32"/>
      <c r="C671" s="32"/>
      <c r="D671" s="32"/>
      <c r="E671" s="32"/>
      <c r="F671" s="33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</row>
    <row r="672" spans="1:21" s="29" customFormat="1">
      <c r="A672" s="32"/>
      <c r="B672" s="32"/>
      <c r="C672" s="32"/>
      <c r="D672" s="32"/>
      <c r="E672" s="32"/>
      <c r="F672" s="33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</row>
    <row r="673" spans="1:21" s="29" customFormat="1">
      <c r="A673" s="32"/>
      <c r="B673" s="32"/>
      <c r="C673" s="32"/>
      <c r="D673" s="32"/>
      <c r="E673" s="32"/>
      <c r="F673" s="33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</row>
    <row r="674" spans="1:21" s="29" customFormat="1">
      <c r="A674" s="32"/>
      <c r="B674" s="32"/>
      <c r="C674" s="32"/>
      <c r="D674" s="32"/>
      <c r="E674" s="32"/>
      <c r="F674" s="33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</row>
    <row r="675" spans="1:21" s="29" customFormat="1">
      <c r="A675" s="32"/>
      <c r="B675" s="32"/>
      <c r="C675" s="32"/>
      <c r="D675" s="32"/>
      <c r="E675" s="32"/>
      <c r="F675" s="33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</row>
    <row r="676" spans="1:21" s="29" customFormat="1">
      <c r="A676" s="32"/>
      <c r="B676" s="32"/>
      <c r="C676" s="32"/>
      <c r="D676" s="32"/>
      <c r="E676" s="32"/>
      <c r="F676" s="33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</row>
    <row r="677" spans="1:21" s="29" customFormat="1">
      <c r="A677" s="32"/>
      <c r="B677" s="32"/>
      <c r="C677" s="32"/>
      <c r="D677" s="32"/>
      <c r="E677" s="32"/>
      <c r="F677" s="33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</row>
    <row r="678" spans="1:21" s="29" customFormat="1">
      <c r="A678" s="32"/>
      <c r="B678" s="32"/>
      <c r="C678" s="32"/>
      <c r="D678" s="32"/>
      <c r="E678" s="32"/>
      <c r="F678" s="33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</row>
    <row r="679" spans="1:21" s="29" customFormat="1">
      <c r="A679" s="32"/>
      <c r="B679" s="32"/>
      <c r="C679" s="32"/>
      <c r="D679" s="32"/>
      <c r="E679" s="32"/>
      <c r="F679" s="33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</row>
    <row r="680" spans="1:21" s="29" customFormat="1">
      <c r="A680" s="32"/>
      <c r="B680" s="32"/>
      <c r="C680" s="32"/>
      <c r="D680" s="32"/>
      <c r="E680" s="32"/>
      <c r="F680" s="33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</row>
    <row r="681" spans="1:21" s="29" customFormat="1">
      <c r="A681" s="32"/>
      <c r="B681" s="32"/>
      <c r="C681" s="32"/>
      <c r="D681" s="32"/>
      <c r="E681" s="32"/>
      <c r="F681" s="33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</row>
    <row r="682" spans="1:21" s="29" customFormat="1">
      <c r="A682" s="32"/>
      <c r="B682" s="32"/>
      <c r="C682" s="32"/>
      <c r="D682" s="32"/>
      <c r="E682" s="32"/>
      <c r="F682" s="33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</row>
    <row r="683" spans="1:21" s="29" customFormat="1">
      <c r="A683" s="32"/>
      <c r="B683" s="32"/>
      <c r="C683" s="32"/>
      <c r="D683" s="32"/>
      <c r="E683" s="32"/>
      <c r="F683" s="33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</row>
    <row r="684" spans="1:21" s="29" customFormat="1">
      <c r="A684" s="32"/>
      <c r="B684" s="32"/>
      <c r="C684" s="32"/>
      <c r="D684" s="32"/>
      <c r="E684" s="32"/>
      <c r="F684" s="33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</row>
    <row r="685" spans="1:21" s="29" customFormat="1">
      <c r="A685" s="32"/>
      <c r="B685" s="32"/>
      <c r="C685" s="32"/>
      <c r="D685" s="32"/>
      <c r="E685" s="32"/>
      <c r="F685" s="33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</row>
    <row r="686" spans="1:21" s="29" customFormat="1">
      <c r="A686" s="32"/>
      <c r="B686" s="32"/>
      <c r="C686" s="32"/>
      <c r="D686" s="32"/>
      <c r="E686" s="32"/>
      <c r="F686" s="33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</row>
    <row r="687" spans="1:21" s="29" customFormat="1">
      <c r="A687" s="32"/>
      <c r="B687" s="32"/>
      <c r="C687" s="32"/>
      <c r="D687" s="32"/>
      <c r="E687" s="32"/>
      <c r="F687" s="33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</row>
    <row r="688" spans="1:21" s="29" customFormat="1">
      <c r="A688" s="32"/>
      <c r="B688" s="32"/>
      <c r="C688" s="32"/>
      <c r="D688" s="32"/>
      <c r="E688" s="32"/>
      <c r="F688" s="33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</row>
    <row r="689" spans="1:21" s="29" customFormat="1">
      <c r="A689" s="32"/>
      <c r="B689" s="32"/>
      <c r="C689" s="32"/>
      <c r="D689" s="32"/>
      <c r="E689" s="32"/>
      <c r="F689" s="33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</row>
    <row r="690" spans="1:21" s="29" customFormat="1">
      <c r="A690" s="32"/>
      <c r="B690" s="32"/>
      <c r="C690" s="32"/>
      <c r="D690" s="32"/>
      <c r="E690" s="32"/>
      <c r="F690" s="33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</row>
    <row r="691" spans="1:21" s="29" customFormat="1">
      <c r="A691" s="32"/>
      <c r="B691" s="32"/>
      <c r="C691" s="32"/>
      <c r="D691" s="32"/>
      <c r="E691" s="32"/>
      <c r="F691" s="33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</row>
    <row r="692" spans="1:21" s="29" customFormat="1">
      <c r="A692" s="32"/>
      <c r="B692" s="32"/>
      <c r="C692" s="32"/>
      <c r="D692" s="32"/>
      <c r="E692" s="32"/>
      <c r="F692" s="33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</row>
    <row r="693" spans="1:21" s="29" customFormat="1">
      <c r="A693" s="32"/>
      <c r="B693" s="32"/>
      <c r="C693" s="32"/>
      <c r="D693" s="32"/>
      <c r="E693" s="32"/>
      <c r="F693" s="33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</row>
    <row r="694" spans="1:21" s="29" customFormat="1">
      <c r="A694" s="32"/>
      <c r="B694" s="32"/>
      <c r="C694" s="32"/>
      <c r="D694" s="32"/>
      <c r="E694" s="32"/>
      <c r="F694" s="33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</row>
    <row r="695" spans="1:21" s="29" customFormat="1">
      <c r="A695" s="32"/>
      <c r="B695" s="32"/>
      <c r="C695" s="32"/>
      <c r="D695" s="32"/>
      <c r="E695" s="32"/>
      <c r="F695" s="33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</row>
    <row r="696" spans="1:21" s="29" customFormat="1">
      <c r="A696" s="32"/>
      <c r="B696" s="32"/>
      <c r="C696" s="32"/>
      <c r="D696" s="32"/>
      <c r="E696" s="32"/>
      <c r="F696" s="33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</row>
    <row r="697" spans="1:21" s="29" customFormat="1">
      <c r="A697" s="32"/>
      <c r="B697" s="32"/>
      <c r="C697" s="32"/>
      <c r="D697" s="32"/>
      <c r="E697" s="32"/>
      <c r="F697" s="33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</row>
    <row r="698" spans="1:21" s="29" customFormat="1">
      <c r="A698" s="32"/>
      <c r="B698" s="32"/>
      <c r="C698" s="32"/>
      <c r="D698" s="32"/>
      <c r="E698" s="32"/>
      <c r="F698" s="33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</row>
    <row r="699" spans="1:21" s="29" customFormat="1">
      <c r="A699" s="32"/>
      <c r="B699" s="32"/>
      <c r="C699" s="32"/>
      <c r="D699" s="32"/>
      <c r="E699" s="32"/>
      <c r="F699" s="33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</row>
    <row r="700" spans="1:21" s="29" customFormat="1">
      <c r="A700" s="32"/>
      <c r="B700" s="32"/>
      <c r="C700" s="32"/>
      <c r="D700" s="32"/>
      <c r="E700" s="32"/>
      <c r="F700" s="33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</row>
    <row r="701" spans="1:21" s="29" customFormat="1">
      <c r="A701" s="32"/>
      <c r="B701" s="32"/>
      <c r="C701" s="32"/>
      <c r="D701" s="32"/>
      <c r="E701" s="32"/>
      <c r="F701" s="33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</row>
    <row r="702" spans="1:21" s="29" customFormat="1">
      <c r="A702" s="32"/>
      <c r="B702" s="32"/>
      <c r="C702" s="32"/>
      <c r="D702" s="32"/>
      <c r="E702" s="32"/>
      <c r="F702" s="33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</row>
    <row r="703" spans="1:21" s="29" customFormat="1">
      <c r="A703" s="32"/>
      <c r="B703" s="32"/>
      <c r="C703" s="32"/>
      <c r="D703" s="32"/>
      <c r="E703" s="32"/>
      <c r="F703" s="33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</row>
    <row r="704" spans="1:21" s="29" customFormat="1">
      <c r="A704" s="32"/>
      <c r="B704" s="32"/>
      <c r="C704" s="32"/>
      <c r="D704" s="32"/>
      <c r="E704" s="32"/>
      <c r="F704" s="33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</row>
    <row r="705" spans="1:21" s="29" customFormat="1">
      <c r="A705" s="32"/>
      <c r="B705" s="32"/>
      <c r="C705" s="32"/>
      <c r="D705" s="32"/>
      <c r="E705" s="32"/>
      <c r="F705" s="33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</row>
    <row r="706" spans="1:21" s="29" customFormat="1">
      <c r="A706" s="32"/>
      <c r="B706" s="32"/>
      <c r="C706" s="32"/>
      <c r="D706" s="32"/>
      <c r="E706" s="32"/>
      <c r="F706" s="33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</row>
    <row r="707" spans="1:21" s="29" customFormat="1">
      <c r="A707" s="32"/>
      <c r="B707" s="32"/>
      <c r="C707" s="32"/>
      <c r="D707" s="32"/>
      <c r="E707" s="32"/>
      <c r="F707" s="33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</row>
    <row r="708" spans="1:21" s="29" customFormat="1">
      <c r="A708" s="32"/>
      <c r="B708" s="32"/>
      <c r="C708" s="32"/>
      <c r="D708" s="32"/>
      <c r="E708" s="32"/>
      <c r="F708" s="33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</row>
    <row r="709" spans="1:21" s="29" customFormat="1">
      <c r="A709" s="32"/>
      <c r="B709" s="32"/>
      <c r="C709" s="32"/>
      <c r="D709" s="32"/>
      <c r="E709" s="32"/>
      <c r="F709" s="33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</row>
    <row r="710" spans="1:21" s="29" customFormat="1">
      <c r="A710" s="32"/>
      <c r="B710" s="32"/>
      <c r="C710" s="32"/>
      <c r="D710" s="32"/>
      <c r="E710" s="32"/>
      <c r="F710" s="33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</row>
    <row r="711" spans="1:21" s="29" customFormat="1">
      <c r="A711" s="32"/>
      <c r="B711" s="32"/>
      <c r="C711" s="32"/>
      <c r="D711" s="32"/>
      <c r="E711" s="32"/>
      <c r="F711" s="33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</row>
    <row r="712" spans="1:21" s="29" customFormat="1">
      <c r="A712" s="32"/>
      <c r="B712" s="32"/>
      <c r="C712" s="32"/>
      <c r="D712" s="32"/>
      <c r="E712" s="32"/>
      <c r="F712" s="33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</row>
    <row r="713" spans="1:21" s="29" customFormat="1">
      <c r="A713" s="32"/>
      <c r="B713" s="32"/>
      <c r="C713" s="32"/>
      <c r="D713" s="32"/>
      <c r="E713" s="32"/>
      <c r="F713" s="33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30"/>
    </row>
    <row r="714" spans="1:21" s="29" customFormat="1">
      <c r="A714" s="32"/>
      <c r="B714" s="32"/>
      <c r="C714" s="32"/>
      <c r="D714" s="32"/>
      <c r="E714" s="32"/>
      <c r="F714" s="33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30"/>
    </row>
    <row r="715" spans="1:21" s="29" customFormat="1">
      <c r="A715" s="32"/>
      <c r="B715" s="32"/>
      <c r="C715" s="32"/>
      <c r="D715" s="32"/>
      <c r="E715" s="32"/>
      <c r="F715" s="33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30"/>
    </row>
    <row r="716" spans="1:21" s="29" customFormat="1">
      <c r="A716" s="32"/>
      <c r="B716" s="32"/>
      <c r="C716" s="32"/>
      <c r="D716" s="32"/>
      <c r="E716" s="32"/>
      <c r="F716" s="33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30"/>
    </row>
    <row r="717" spans="1:21" s="29" customFormat="1">
      <c r="A717" s="32"/>
      <c r="B717" s="32"/>
      <c r="C717" s="32"/>
      <c r="D717" s="32"/>
      <c r="E717" s="32"/>
      <c r="F717" s="33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30"/>
    </row>
    <row r="718" spans="1:21" s="29" customFormat="1">
      <c r="A718" s="32"/>
      <c r="B718" s="32"/>
      <c r="C718" s="32"/>
      <c r="D718" s="32"/>
      <c r="E718" s="32"/>
      <c r="F718" s="33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30"/>
    </row>
    <row r="719" spans="1:21" s="29" customFormat="1">
      <c r="A719" s="32"/>
      <c r="B719" s="32"/>
      <c r="C719" s="32"/>
      <c r="D719" s="32"/>
      <c r="E719" s="32"/>
      <c r="F719" s="33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30"/>
    </row>
    <row r="720" spans="1:21" s="29" customFormat="1">
      <c r="A720" s="32"/>
      <c r="B720" s="32"/>
      <c r="C720" s="32"/>
      <c r="D720" s="32"/>
      <c r="E720" s="32"/>
      <c r="F720" s="33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30"/>
    </row>
    <row r="721" spans="1:21" s="29" customFormat="1">
      <c r="A721" s="32"/>
      <c r="B721" s="32"/>
      <c r="C721" s="32"/>
      <c r="D721" s="32"/>
      <c r="E721" s="32"/>
      <c r="F721" s="33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30"/>
    </row>
    <row r="722" spans="1:21" s="29" customFormat="1">
      <c r="A722" s="32"/>
      <c r="B722" s="32"/>
      <c r="C722" s="32"/>
      <c r="D722" s="32"/>
      <c r="E722" s="32"/>
      <c r="F722" s="33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30"/>
    </row>
    <row r="723" spans="1:21" s="29" customFormat="1">
      <c r="A723" s="32"/>
      <c r="B723" s="32"/>
      <c r="C723" s="32"/>
      <c r="D723" s="32"/>
      <c r="E723" s="32"/>
      <c r="F723" s="33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30"/>
    </row>
    <row r="724" spans="1:21" s="29" customFormat="1">
      <c r="A724" s="32"/>
      <c r="B724" s="32"/>
      <c r="C724" s="32"/>
      <c r="D724" s="32"/>
      <c r="E724" s="32"/>
      <c r="F724" s="33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30"/>
    </row>
    <row r="725" spans="1:21" s="29" customFormat="1">
      <c r="A725" s="32"/>
      <c r="B725" s="32"/>
      <c r="C725" s="32"/>
      <c r="D725" s="32"/>
      <c r="E725" s="32"/>
      <c r="F725" s="33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30"/>
    </row>
    <row r="726" spans="1:21" s="29" customFormat="1">
      <c r="A726" s="32"/>
      <c r="B726" s="32"/>
      <c r="C726" s="32"/>
      <c r="D726" s="32"/>
      <c r="E726" s="32"/>
      <c r="F726" s="33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30"/>
    </row>
    <row r="727" spans="1:21" s="29" customFormat="1">
      <c r="A727" s="32"/>
      <c r="B727" s="32"/>
      <c r="C727" s="32"/>
      <c r="D727" s="32"/>
      <c r="E727" s="32"/>
      <c r="F727" s="33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30"/>
    </row>
    <row r="728" spans="1:21" s="29" customFormat="1">
      <c r="A728" s="32"/>
      <c r="B728" s="32"/>
      <c r="C728" s="32"/>
      <c r="D728" s="32"/>
      <c r="E728" s="32"/>
      <c r="F728" s="33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30"/>
    </row>
    <row r="729" spans="1:21" s="29" customFormat="1">
      <c r="A729" s="32"/>
      <c r="B729" s="32"/>
      <c r="C729" s="32"/>
      <c r="D729" s="32"/>
      <c r="E729" s="32"/>
      <c r="F729" s="33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30"/>
    </row>
    <row r="730" spans="1:21" s="29" customFormat="1">
      <c r="A730" s="32"/>
      <c r="B730" s="32"/>
      <c r="C730" s="32"/>
      <c r="D730" s="32"/>
      <c r="E730" s="32"/>
      <c r="F730" s="33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30"/>
    </row>
    <row r="731" spans="1:21" s="29" customFormat="1">
      <c r="A731" s="32"/>
      <c r="B731" s="32"/>
      <c r="C731" s="32"/>
      <c r="D731" s="32"/>
      <c r="E731" s="32"/>
      <c r="F731" s="33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30"/>
    </row>
    <row r="732" spans="1:21" s="29" customFormat="1">
      <c r="A732" s="32"/>
      <c r="B732" s="32"/>
      <c r="C732" s="32"/>
      <c r="D732" s="32"/>
      <c r="E732" s="32"/>
      <c r="F732" s="33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30"/>
    </row>
    <row r="733" spans="1:21" s="29" customFormat="1">
      <c r="A733" s="32"/>
      <c r="B733" s="32"/>
      <c r="C733" s="32"/>
      <c r="D733" s="32"/>
      <c r="E733" s="32"/>
      <c r="F733" s="33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30"/>
    </row>
    <row r="734" spans="1:21" s="29" customFormat="1">
      <c r="A734" s="32"/>
      <c r="B734" s="32"/>
      <c r="C734" s="32"/>
      <c r="D734" s="32"/>
      <c r="E734" s="32"/>
      <c r="F734" s="33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30"/>
    </row>
    <row r="735" spans="1:21" s="29" customFormat="1">
      <c r="A735" s="32"/>
      <c r="B735" s="32"/>
      <c r="C735" s="32"/>
      <c r="D735" s="32"/>
      <c r="E735" s="32"/>
      <c r="F735" s="33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30"/>
    </row>
    <row r="736" spans="1:21" s="29" customFormat="1">
      <c r="A736" s="32"/>
      <c r="B736" s="32"/>
      <c r="C736" s="32"/>
      <c r="D736" s="32"/>
      <c r="E736" s="32"/>
      <c r="F736" s="33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30"/>
    </row>
    <row r="737" spans="1:21" s="29" customFormat="1">
      <c r="A737" s="32"/>
      <c r="B737" s="32"/>
      <c r="C737" s="32"/>
      <c r="D737" s="32"/>
      <c r="E737" s="32"/>
      <c r="F737" s="33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30"/>
    </row>
    <row r="738" spans="1:21" s="29" customFormat="1">
      <c r="A738" s="32"/>
      <c r="B738" s="32"/>
      <c r="C738" s="32"/>
      <c r="D738" s="32"/>
      <c r="E738" s="32"/>
      <c r="F738" s="33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30"/>
    </row>
    <row r="739" spans="1:21" s="29" customFormat="1">
      <c r="A739" s="32"/>
      <c r="B739" s="32"/>
      <c r="C739" s="32"/>
      <c r="D739" s="32"/>
      <c r="E739" s="32"/>
      <c r="F739" s="33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30"/>
    </row>
    <row r="740" spans="1:21" s="29" customFormat="1">
      <c r="A740" s="32"/>
      <c r="B740" s="32"/>
      <c r="C740" s="32"/>
      <c r="D740" s="32"/>
      <c r="E740" s="32"/>
      <c r="F740" s="33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30"/>
    </row>
    <row r="741" spans="1:21" s="29" customFormat="1">
      <c r="A741" s="32"/>
      <c r="B741" s="32"/>
      <c r="C741" s="32"/>
      <c r="D741" s="32"/>
      <c r="E741" s="32"/>
      <c r="F741" s="33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30"/>
    </row>
    <row r="742" spans="1:21" s="29" customFormat="1">
      <c r="A742" s="32"/>
      <c r="B742" s="32"/>
      <c r="C742" s="32"/>
      <c r="D742" s="32"/>
      <c r="E742" s="32"/>
      <c r="F742" s="33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30"/>
    </row>
    <row r="743" spans="1:21" s="29" customFormat="1">
      <c r="A743" s="32"/>
      <c r="B743" s="32"/>
      <c r="C743" s="32"/>
      <c r="D743" s="32"/>
      <c r="E743" s="32"/>
      <c r="F743" s="33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30"/>
    </row>
    <row r="744" spans="1:21" s="29" customFormat="1">
      <c r="A744" s="32"/>
      <c r="B744" s="32"/>
      <c r="C744" s="32"/>
      <c r="D744" s="32"/>
      <c r="E744" s="32"/>
      <c r="F744" s="33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30"/>
    </row>
    <row r="745" spans="1:21" s="29" customFormat="1">
      <c r="A745" s="32"/>
      <c r="B745" s="32"/>
      <c r="C745" s="32"/>
      <c r="D745" s="32"/>
      <c r="E745" s="32"/>
      <c r="F745" s="33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30"/>
    </row>
    <row r="746" spans="1:21" s="29" customFormat="1">
      <c r="A746" s="32"/>
      <c r="B746" s="32"/>
      <c r="C746" s="32"/>
      <c r="D746" s="32"/>
      <c r="E746" s="32"/>
      <c r="F746" s="33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30"/>
    </row>
    <row r="747" spans="1:21" s="29" customFormat="1">
      <c r="A747" s="32"/>
      <c r="B747" s="32"/>
      <c r="C747" s="32"/>
      <c r="D747" s="32"/>
      <c r="E747" s="32"/>
      <c r="F747" s="33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30"/>
    </row>
    <row r="748" spans="1:21" s="29" customFormat="1">
      <c r="A748" s="32"/>
      <c r="B748" s="32"/>
      <c r="C748" s="32"/>
      <c r="D748" s="32"/>
      <c r="E748" s="32"/>
      <c r="F748" s="33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30"/>
    </row>
    <row r="749" spans="1:21" s="29" customFormat="1">
      <c r="A749" s="32"/>
      <c r="B749" s="32"/>
      <c r="C749" s="32"/>
      <c r="D749" s="32"/>
      <c r="E749" s="32"/>
      <c r="F749" s="33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30"/>
    </row>
    <row r="750" spans="1:21" s="29" customFormat="1">
      <c r="A750" s="32"/>
      <c r="B750" s="32"/>
      <c r="C750" s="32"/>
      <c r="D750" s="32"/>
      <c r="E750" s="32"/>
      <c r="F750" s="33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30"/>
    </row>
    <row r="751" spans="1:21" s="29" customFormat="1">
      <c r="A751" s="32"/>
      <c r="B751" s="32"/>
      <c r="C751" s="32"/>
      <c r="D751" s="32"/>
      <c r="E751" s="32"/>
      <c r="F751" s="33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30"/>
    </row>
    <row r="752" spans="1:21" s="29" customFormat="1">
      <c r="A752" s="32"/>
      <c r="B752" s="32"/>
      <c r="C752" s="32"/>
      <c r="D752" s="32"/>
      <c r="E752" s="32"/>
      <c r="F752" s="33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30"/>
    </row>
    <row r="753" spans="1:21" s="29" customFormat="1">
      <c r="A753" s="32"/>
      <c r="B753" s="32"/>
      <c r="C753" s="32"/>
      <c r="D753" s="32"/>
      <c r="E753" s="32"/>
      <c r="F753" s="33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30"/>
    </row>
    <row r="754" spans="1:21" s="29" customFormat="1">
      <c r="A754" s="32"/>
      <c r="B754" s="32"/>
      <c r="C754" s="32"/>
      <c r="D754" s="32"/>
      <c r="E754" s="32"/>
      <c r="F754" s="33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30"/>
    </row>
    <row r="755" spans="1:21" s="29" customFormat="1">
      <c r="A755" s="32"/>
      <c r="B755" s="32"/>
      <c r="C755" s="32"/>
      <c r="D755" s="32"/>
      <c r="E755" s="32"/>
      <c r="F755" s="33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30"/>
    </row>
    <row r="756" spans="1:21" s="29" customFormat="1">
      <c r="A756" s="32"/>
      <c r="B756" s="32"/>
      <c r="C756" s="32"/>
      <c r="D756" s="32"/>
      <c r="E756" s="32"/>
      <c r="F756" s="33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30"/>
    </row>
    <row r="757" spans="1:21" s="29" customFormat="1">
      <c r="A757" s="32"/>
      <c r="B757" s="32"/>
      <c r="C757" s="32"/>
      <c r="D757" s="32"/>
      <c r="E757" s="32"/>
      <c r="F757" s="33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30"/>
    </row>
    <row r="758" spans="1:21" s="29" customFormat="1">
      <c r="A758" s="32"/>
      <c r="B758" s="32"/>
      <c r="C758" s="32"/>
      <c r="D758" s="32"/>
      <c r="E758" s="32"/>
      <c r="F758" s="33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30"/>
    </row>
    <row r="759" spans="1:21" s="29" customFormat="1">
      <c r="A759" s="32"/>
      <c r="B759" s="32"/>
      <c r="C759" s="32"/>
      <c r="D759" s="32"/>
      <c r="E759" s="32"/>
      <c r="F759" s="33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30"/>
    </row>
    <row r="760" spans="1:21" s="29" customFormat="1">
      <c r="A760" s="32"/>
      <c r="B760" s="32"/>
      <c r="C760" s="32"/>
      <c r="D760" s="32"/>
      <c r="E760" s="32"/>
      <c r="F760" s="33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30"/>
    </row>
    <row r="761" spans="1:21" s="29" customFormat="1">
      <c r="A761" s="32"/>
      <c r="B761" s="32"/>
      <c r="C761" s="32"/>
      <c r="D761" s="32"/>
      <c r="E761" s="32"/>
      <c r="F761" s="33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30"/>
    </row>
    <row r="762" spans="1:21" s="29" customFormat="1">
      <c r="A762" s="32"/>
      <c r="B762" s="32"/>
      <c r="C762" s="32"/>
      <c r="D762" s="32"/>
      <c r="E762" s="32"/>
      <c r="F762" s="33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30"/>
    </row>
    <row r="763" spans="1:21" s="29" customFormat="1">
      <c r="A763" s="32"/>
      <c r="B763" s="32"/>
      <c r="C763" s="32"/>
      <c r="D763" s="32"/>
      <c r="E763" s="32"/>
      <c r="F763" s="33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30"/>
    </row>
    <row r="764" spans="1:21" s="29" customFormat="1">
      <c r="A764" s="32"/>
      <c r="B764" s="32"/>
      <c r="C764" s="32"/>
      <c r="D764" s="32"/>
      <c r="E764" s="32"/>
      <c r="F764" s="33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30"/>
    </row>
    <row r="765" spans="1:21" s="29" customFormat="1">
      <c r="A765" s="32"/>
      <c r="B765" s="32"/>
      <c r="C765" s="32"/>
      <c r="D765" s="32"/>
      <c r="E765" s="32"/>
      <c r="F765" s="33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30"/>
    </row>
    <row r="766" spans="1:21" s="29" customFormat="1">
      <c r="A766" s="32"/>
      <c r="B766" s="32"/>
      <c r="C766" s="32"/>
      <c r="D766" s="32"/>
      <c r="E766" s="32"/>
      <c r="F766" s="33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30"/>
    </row>
    <row r="767" spans="1:21" s="29" customFormat="1">
      <c r="A767" s="32"/>
      <c r="B767" s="32"/>
      <c r="C767" s="32"/>
      <c r="D767" s="32"/>
      <c r="E767" s="32"/>
      <c r="F767" s="33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30"/>
    </row>
    <row r="768" spans="1:21" s="29" customFormat="1">
      <c r="A768" s="32"/>
      <c r="B768" s="32"/>
      <c r="C768" s="32"/>
      <c r="D768" s="32"/>
      <c r="E768" s="32"/>
      <c r="F768" s="33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30"/>
    </row>
    <row r="769" spans="1:21" s="29" customFormat="1">
      <c r="A769" s="32"/>
      <c r="B769" s="32"/>
      <c r="C769" s="32"/>
      <c r="D769" s="32"/>
      <c r="E769" s="32"/>
      <c r="F769" s="33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30"/>
    </row>
    <row r="770" spans="1:21" s="29" customFormat="1">
      <c r="A770" s="32"/>
      <c r="B770" s="32"/>
      <c r="C770" s="32"/>
      <c r="D770" s="32"/>
      <c r="E770" s="32"/>
      <c r="F770" s="33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30"/>
    </row>
    <row r="771" spans="1:21" s="29" customFormat="1">
      <c r="A771" s="32"/>
      <c r="B771" s="32"/>
      <c r="C771" s="32"/>
      <c r="D771" s="32"/>
      <c r="E771" s="32"/>
      <c r="F771" s="33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30"/>
    </row>
    <row r="772" spans="1:21" s="29" customFormat="1">
      <c r="A772" s="32"/>
      <c r="B772" s="32"/>
      <c r="C772" s="32"/>
      <c r="D772" s="32"/>
      <c r="E772" s="32"/>
      <c r="F772" s="33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30"/>
    </row>
    <row r="773" spans="1:21" s="29" customFormat="1">
      <c r="A773" s="32"/>
      <c r="B773" s="32"/>
      <c r="C773" s="32"/>
      <c r="D773" s="32"/>
      <c r="E773" s="32"/>
      <c r="F773" s="33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30"/>
    </row>
    <row r="774" spans="1:21" s="29" customFormat="1">
      <c r="A774" s="32"/>
      <c r="B774" s="32"/>
      <c r="C774" s="32"/>
      <c r="D774" s="32"/>
      <c r="E774" s="32"/>
      <c r="F774" s="33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30"/>
    </row>
    <row r="775" spans="1:21" s="29" customFormat="1">
      <c r="A775" s="32"/>
      <c r="B775" s="32"/>
      <c r="C775" s="32"/>
      <c r="D775" s="32"/>
      <c r="E775" s="32"/>
      <c r="F775" s="33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30"/>
    </row>
    <row r="776" spans="1:21" s="29" customFormat="1">
      <c r="A776" s="32"/>
      <c r="B776" s="32"/>
      <c r="C776" s="32"/>
      <c r="D776" s="32"/>
      <c r="E776" s="32"/>
      <c r="F776" s="33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30"/>
    </row>
    <row r="777" spans="1:21" s="29" customFormat="1">
      <c r="A777" s="32"/>
      <c r="B777" s="32"/>
      <c r="C777" s="32"/>
      <c r="D777" s="32"/>
      <c r="E777" s="32"/>
      <c r="F777" s="33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30"/>
    </row>
    <row r="778" spans="1:21" s="29" customFormat="1">
      <c r="A778" s="32"/>
      <c r="B778" s="32"/>
      <c r="C778" s="32"/>
      <c r="D778" s="32"/>
      <c r="E778" s="32"/>
      <c r="F778" s="33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30"/>
    </row>
    <row r="779" spans="1:21" s="29" customFormat="1">
      <c r="A779" s="32"/>
      <c r="B779" s="32"/>
      <c r="C779" s="32"/>
      <c r="D779" s="32"/>
      <c r="E779" s="32"/>
      <c r="F779" s="33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30"/>
    </row>
    <row r="780" spans="1:21" s="29" customFormat="1">
      <c r="A780" s="32"/>
      <c r="B780" s="32"/>
      <c r="C780" s="32"/>
      <c r="D780" s="32"/>
      <c r="E780" s="32"/>
      <c r="F780" s="33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30"/>
    </row>
    <row r="781" spans="1:21" s="29" customFormat="1">
      <c r="A781" s="32"/>
      <c r="B781" s="32"/>
      <c r="C781" s="32"/>
      <c r="D781" s="32"/>
      <c r="E781" s="32"/>
      <c r="F781" s="33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30"/>
    </row>
    <row r="782" spans="1:21" s="29" customFormat="1">
      <c r="A782" s="32"/>
      <c r="B782" s="32"/>
      <c r="C782" s="32"/>
      <c r="D782" s="32"/>
      <c r="E782" s="32"/>
      <c r="F782" s="33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30"/>
    </row>
    <row r="783" spans="1:21" s="29" customFormat="1">
      <c r="A783" s="32"/>
      <c r="B783" s="32"/>
      <c r="C783" s="32"/>
      <c r="D783" s="32"/>
      <c r="E783" s="32"/>
      <c r="F783" s="33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30"/>
    </row>
    <row r="784" spans="1:21" s="29" customFormat="1">
      <c r="A784" s="32"/>
      <c r="B784" s="32"/>
      <c r="C784" s="32"/>
      <c r="D784" s="32"/>
      <c r="E784" s="32"/>
      <c r="F784" s="33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30"/>
    </row>
    <row r="785" spans="1:21" s="29" customFormat="1">
      <c r="A785" s="32"/>
      <c r="B785" s="32"/>
      <c r="C785" s="32"/>
      <c r="D785" s="32"/>
      <c r="E785" s="32"/>
      <c r="F785" s="33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30"/>
    </row>
    <row r="786" spans="1:21" s="29" customFormat="1">
      <c r="A786" s="32"/>
      <c r="B786" s="32"/>
      <c r="C786" s="32"/>
      <c r="D786" s="32"/>
      <c r="E786" s="32"/>
      <c r="F786" s="33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30"/>
    </row>
    <row r="787" spans="1:21" s="29" customFormat="1">
      <c r="A787" s="32"/>
      <c r="B787" s="32"/>
      <c r="C787" s="32"/>
      <c r="D787" s="32"/>
      <c r="E787" s="32"/>
      <c r="F787" s="33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30"/>
    </row>
    <row r="788" spans="1:21" s="29" customFormat="1">
      <c r="A788" s="32"/>
      <c r="B788" s="32"/>
      <c r="C788" s="32"/>
      <c r="D788" s="32"/>
      <c r="E788" s="32"/>
      <c r="F788" s="33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30"/>
    </row>
    <row r="789" spans="1:21" s="29" customFormat="1">
      <c r="A789" s="32"/>
      <c r="B789" s="32"/>
      <c r="C789" s="32"/>
      <c r="D789" s="32"/>
      <c r="E789" s="32"/>
      <c r="F789" s="33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30"/>
    </row>
    <row r="790" spans="1:21" s="29" customFormat="1">
      <c r="A790" s="32"/>
      <c r="B790" s="32"/>
      <c r="C790" s="32"/>
      <c r="D790" s="32"/>
      <c r="E790" s="32"/>
      <c r="F790" s="33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</row>
    <row r="791" spans="1:21" s="29" customFormat="1">
      <c r="A791" s="32"/>
      <c r="B791" s="32"/>
      <c r="C791" s="32"/>
      <c r="D791" s="32"/>
      <c r="E791" s="32"/>
      <c r="F791" s="33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</row>
    <row r="792" spans="1:21" s="29" customFormat="1">
      <c r="A792" s="32"/>
      <c r="B792" s="32"/>
      <c r="C792" s="32"/>
      <c r="D792" s="32"/>
      <c r="E792" s="32"/>
      <c r="F792" s="33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</row>
    <row r="793" spans="1:21" s="29" customFormat="1">
      <c r="A793" s="32"/>
      <c r="B793" s="32"/>
      <c r="C793" s="32"/>
      <c r="D793" s="32"/>
      <c r="E793" s="32"/>
      <c r="F793" s="33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30"/>
    </row>
    <row r="794" spans="1:21" s="29" customFormat="1">
      <c r="A794" s="32"/>
      <c r="B794" s="32"/>
      <c r="C794" s="32"/>
      <c r="D794" s="32"/>
      <c r="E794" s="32"/>
      <c r="F794" s="33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30"/>
    </row>
    <row r="795" spans="1:21" s="29" customFormat="1">
      <c r="A795" s="32"/>
      <c r="B795" s="32"/>
      <c r="C795" s="32"/>
      <c r="D795" s="32"/>
      <c r="E795" s="32"/>
      <c r="F795" s="33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30"/>
    </row>
    <row r="796" spans="1:21" s="29" customFormat="1">
      <c r="A796" s="32"/>
      <c r="B796" s="32"/>
      <c r="C796" s="32"/>
      <c r="D796" s="32"/>
      <c r="E796" s="32"/>
      <c r="F796" s="33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30"/>
    </row>
    <row r="797" spans="1:21" s="29" customFormat="1">
      <c r="A797" s="32"/>
      <c r="B797" s="32"/>
      <c r="C797" s="32"/>
      <c r="D797" s="32"/>
      <c r="E797" s="32"/>
      <c r="F797" s="33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30"/>
    </row>
    <row r="798" spans="1:21" s="29" customFormat="1">
      <c r="A798" s="32"/>
      <c r="B798" s="32"/>
      <c r="C798" s="32"/>
      <c r="D798" s="32"/>
      <c r="E798" s="32"/>
      <c r="F798" s="33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30"/>
    </row>
    <row r="799" spans="1:21" s="29" customFormat="1">
      <c r="A799" s="32"/>
      <c r="B799" s="32"/>
      <c r="C799" s="32"/>
      <c r="D799" s="32"/>
      <c r="E799" s="32"/>
      <c r="F799" s="33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30"/>
    </row>
    <row r="800" spans="1:21" s="29" customFormat="1">
      <c r="A800" s="32"/>
      <c r="B800" s="32"/>
      <c r="C800" s="32"/>
      <c r="D800" s="32"/>
      <c r="E800" s="32"/>
      <c r="F800" s="33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30"/>
    </row>
    <row r="801" spans="1:21" s="29" customFormat="1">
      <c r="A801" s="32"/>
      <c r="B801" s="32"/>
      <c r="C801" s="32"/>
      <c r="D801" s="32"/>
      <c r="E801" s="32"/>
      <c r="F801" s="33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</row>
    <row r="802" spans="1:21" s="29" customFormat="1">
      <c r="A802" s="32"/>
      <c r="B802" s="32"/>
      <c r="C802" s="32"/>
      <c r="D802" s="32"/>
      <c r="E802" s="32"/>
      <c r="F802" s="33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</row>
    <row r="803" spans="1:21" s="29" customFormat="1">
      <c r="A803" s="32"/>
      <c r="B803" s="32"/>
      <c r="C803" s="32"/>
      <c r="D803" s="32"/>
      <c r="E803" s="32"/>
      <c r="F803" s="33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</row>
    <row r="804" spans="1:21" s="29" customFormat="1">
      <c r="A804" s="32"/>
      <c r="B804" s="32"/>
      <c r="C804" s="32"/>
      <c r="D804" s="32"/>
      <c r="E804" s="32"/>
      <c r="F804" s="33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</row>
    <row r="805" spans="1:21" s="29" customFormat="1">
      <c r="A805" s="32"/>
      <c r="B805" s="32"/>
      <c r="C805" s="32"/>
      <c r="D805" s="32"/>
      <c r="E805" s="32"/>
      <c r="F805" s="33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</row>
    <row r="806" spans="1:21" s="29" customFormat="1">
      <c r="A806" s="32"/>
      <c r="B806" s="32"/>
      <c r="C806" s="32"/>
      <c r="D806" s="32"/>
      <c r="E806" s="32"/>
      <c r="F806" s="33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</row>
    <row r="807" spans="1:21" s="29" customFormat="1">
      <c r="A807" s="32"/>
      <c r="B807" s="32"/>
      <c r="C807" s="32"/>
      <c r="D807" s="32"/>
      <c r="E807" s="32"/>
      <c r="F807" s="33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</row>
    <row r="808" spans="1:21" s="29" customFormat="1">
      <c r="A808" s="32"/>
      <c r="B808" s="32"/>
      <c r="C808" s="32"/>
      <c r="D808" s="32"/>
      <c r="E808" s="32"/>
      <c r="F808" s="33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</row>
    <row r="809" spans="1:21" s="29" customFormat="1">
      <c r="A809" s="32"/>
      <c r="B809" s="32"/>
      <c r="C809" s="32"/>
      <c r="D809" s="32"/>
      <c r="E809" s="32"/>
      <c r="F809" s="33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</row>
    <row r="810" spans="1:21" s="29" customFormat="1">
      <c r="A810" s="32"/>
      <c r="B810" s="32"/>
      <c r="C810" s="32"/>
      <c r="D810" s="32"/>
      <c r="E810" s="32"/>
      <c r="F810" s="33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</row>
    <row r="811" spans="1:21" s="29" customFormat="1">
      <c r="A811" s="32"/>
      <c r="B811" s="32"/>
      <c r="C811" s="32"/>
      <c r="D811" s="32"/>
      <c r="E811" s="32"/>
      <c r="F811" s="33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</row>
    <row r="812" spans="1:21" s="29" customFormat="1">
      <c r="A812" s="32"/>
      <c r="B812" s="32"/>
      <c r="C812" s="32"/>
      <c r="D812" s="32"/>
      <c r="E812" s="32"/>
      <c r="F812" s="33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</row>
    <row r="813" spans="1:21" s="29" customFormat="1">
      <c r="A813" s="32"/>
      <c r="B813" s="32"/>
      <c r="C813" s="32"/>
      <c r="D813" s="32"/>
      <c r="E813" s="32"/>
      <c r="F813" s="33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</row>
    <row r="814" spans="1:21" s="29" customFormat="1">
      <c r="A814" s="32"/>
      <c r="B814" s="32"/>
      <c r="C814" s="32"/>
      <c r="D814" s="32"/>
      <c r="E814" s="32"/>
      <c r="F814" s="33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</row>
    <row r="815" spans="1:21" s="29" customFormat="1">
      <c r="A815" s="32"/>
      <c r="B815" s="32"/>
      <c r="C815" s="32"/>
      <c r="D815" s="32"/>
      <c r="E815" s="32"/>
      <c r="F815" s="33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</row>
    <row r="816" spans="1:21" s="29" customFormat="1">
      <c r="A816" s="32"/>
      <c r="B816" s="32"/>
      <c r="C816" s="32"/>
      <c r="D816" s="32"/>
      <c r="E816" s="32"/>
      <c r="F816" s="33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</row>
    <row r="817" spans="1:21" s="29" customFormat="1">
      <c r="A817" s="32"/>
      <c r="B817" s="32"/>
      <c r="C817" s="32"/>
      <c r="D817" s="32"/>
      <c r="E817" s="32"/>
      <c r="F817" s="33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</row>
    <row r="818" spans="1:21" s="29" customFormat="1">
      <c r="A818" s="32"/>
      <c r="B818" s="32"/>
      <c r="C818" s="32"/>
      <c r="D818" s="32"/>
      <c r="E818" s="32"/>
      <c r="F818" s="33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</row>
    <row r="819" spans="1:21" s="29" customFormat="1">
      <c r="A819" s="32"/>
      <c r="B819" s="32"/>
      <c r="C819" s="32"/>
      <c r="D819" s="32"/>
      <c r="E819" s="32"/>
      <c r="F819" s="33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</row>
    <row r="820" spans="1:21" s="29" customFormat="1">
      <c r="A820" s="32"/>
      <c r="B820" s="32"/>
      <c r="C820" s="32"/>
      <c r="D820" s="32"/>
      <c r="E820" s="32"/>
      <c r="F820" s="33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</row>
    <row r="821" spans="1:21" s="29" customFormat="1">
      <c r="A821" s="32"/>
      <c r="B821" s="32"/>
      <c r="C821" s="32"/>
      <c r="D821" s="32"/>
      <c r="E821" s="32"/>
      <c r="F821" s="33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</row>
    <row r="822" spans="1:21" s="29" customFormat="1">
      <c r="A822" s="32"/>
      <c r="B822" s="32"/>
      <c r="C822" s="32"/>
      <c r="D822" s="32"/>
      <c r="E822" s="32"/>
      <c r="F822" s="33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</row>
    <row r="823" spans="1:21" s="29" customFormat="1">
      <c r="A823" s="32"/>
      <c r="B823" s="32"/>
      <c r="C823" s="32"/>
      <c r="D823" s="32"/>
      <c r="E823" s="32"/>
      <c r="F823" s="33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</row>
    <row r="824" spans="1:21" s="29" customFormat="1">
      <c r="A824" s="32"/>
      <c r="B824" s="32"/>
      <c r="C824" s="32"/>
      <c r="D824" s="32"/>
      <c r="E824" s="32"/>
      <c r="F824" s="33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</row>
    <row r="825" spans="1:21" s="29" customFormat="1">
      <c r="A825" s="32"/>
      <c r="B825" s="32"/>
      <c r="C825" s="32"/>
      <c r="D825" s="32"/>
      <c r="E825" s="32"/>
      <c r="F825" s="33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</row>
    <row r="826" spans="1:21" s="29" customFormat="1">
      <c r="A826" s="32"/>
      <c r="B826" s="32"/>
      <c r="C826" s="32"/>
      <c r="D826" s="32"/>
      <c r="E826" s="32"/>
      <c r="F826" s="33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</row>
    <row r="827" spans="1:21" s="29" customFormat="1">
      <c r="A827" s="32"/>
      <c r="B827" s="32"/>
      <c r="C827" s="32"/>
      <c r="D827" s="32"/>
      <c r="E827" s="32"/>
      <c r="F827" s="33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</row>
    <row r="828" spans="1:21" s="29" customFormat="1">
      <c r="A828" s="32"/>
      <c r="B828" s="32"/>
      <c r="C828" s="32"/>
      <c r="D828" s="32"/>
      <c r="E828" s="32"/>
      <c r="F828" s="33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</row>
    <row r="829" spans="1:21" s="29" customFormat="1">
      <c r="A829" s="32"/>
      <c r="B829" s="32"/>
      <c r="C829" s="32"/>
      <c r="D829" s="32"/>
      <c r="E829" s="32"/>
      <c r="F829" s="33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</row>
    <row r="830" spans="1:21" s="29" customFormat="1">
      <c r="A830" s="32"/>
      <c r="B830" s="32"/>
      <c r="C830" s="32"/>
      <c r="D830" s="32"/>
      <c r="E830" s="32"/>
      <c r="F830" s="33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</row>
    <row r="831" spans="1:21" s="29" customFormat="1">
      <c r="A831" s="32"/>
      <c r="B831" s="32"/>
      <c r="C831" s="32"/>
      <c r="D831" s="32"/>
      <c r="E831" s="32"/>
      <c r="F831" s="33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</row>
    <row r="832" spans="1:21" s="29" customFormat="1">
      <c r="A832" s="32"/>
      <c r="B832" s="32"/>
      <c r="C832" s="32"/>
      <c r="D832" s="32"/>
      <c r="E832" s="32"/>
      <c r="F832" s="33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</row>
    <row r="833" spans="1:21" s="29" customFormat="1">
      <c r="A833" s="32"/>
      <c r="B833" s="32"/>
      <c r="C833" s="32"/>
      <c r="D833" s="32"/>
      <c r="E833" s="32"/>
      <c r="F833" s="33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30"/>
    </row>
    <row r="834" spans="1:21" s="29" customFormat="1">
      <c r="A834" s="32"/>
      <c r="B834" s="32"/>
      <c r="C834" s="32"/>
      <c r="D834" s="32"/>
      <c r="E834" s="32"/>
      <c r="F834" s="33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30"/>
    </row>
    <row r="835" spans="1:21" s="29" customFormat="1">
      <c r="A835" s="32"/>
      <c r="B835" s="32"/>
      <c r="C835" s="32"/>
      <c r="D835" s="32"/>
      <c r="E835" s="32"/>
      <c r="F835" s="33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30"/>
    </row>
    <row r="836" spans="1:21" s="29" customFormat="1">
      <c r="A836" s="32"/>
      <c r="B836" s="32"/>
      <c r="C836" s="32"/>
      <c r="D836" s="32"/>
      <c r="E836" s="32"/>
      <c r="F836" s="33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30"/>
    </row>
    <row r="837" spans="1:21" s="29" customFormat="1">
      <c r="A837" s="32"/>
      <c r="B837" s="32"/>
      <c r="C837" s="32"/>
      <c r="D837" s="32"/>
      <c r="E837" s="32"/>
      <c r="F837" s="33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30"/>
    </row>
    <row r="838" spans="1:21" s="29" customFormat="1">
      <c r="A838" s="32"/>
      <c r="B838" s="32"/>
      <c r="C838" s="32"/>
      <c r="D838" s="32"/>
      <c r="E838" s="32"/>
      <c r="F838" s="33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30"/>
    </row>
    <row r="839" spans="1:21" s="29" customFormat="1">
      <c r="A839" s="32"/>
      <c r="B839" s="32"/>
      <c r="C839" s="32"/>
      <c r="D839" s="32"/>
      <c r="E839" s="32"/>
      <c r="F839" s="33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30"/>
    </row>
    <row r="840" spans="1:21" s="29" customFormat="1">
      <c r="A840" s="32"/>
      <c r="B840" s="32"/>
      <c r="C840" s="32"/>
      <c r="D840" s="32"/>
      <c r="E840" s="32"/>
      <c r="F840" s="33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30"/>
    </row>
    <row r="841" spans="1:21" s="29" customFormat="1">
      <c r="A841" s="32"/>
      <c r="B841" s="32"/>
      <c r="C841" s="32"/>
      <c r="D841" s="32"/>
      <c r="E841" s="32"/>
      <c r="F841" s="33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30"/>
    </row>
    <row r="842" spans="1:21" s="29" customFormat="1">
      <c r="A842" s="32"/>
      <c r="B842" s="32"/>
      <c r="C842" s="32"/>
      <c r="D842" s="32"/>
      <c r="E842" s="32"/>
      <c r="F842" s="33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30"/>
    </row>
    <row r="843" spans="1:21" s="29" customFormat="1">
      <c r="A843" s="32"/>
      <c r="B843" s="32"/>
      <c r="C843" s="32"/>
      <c r="D843" s="32"/>
      <c r="E843" s="32"/>
      <c r="F843" s="33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30"/>
    </row>
    <row r="844" spans="1:21" s="29" customFormat="1">
      <c r="A844" s="32"/>
      <c r="B844" s="32"/>
      <c r="C844" s="32"/>
      <c r="D844" s="32"/>
      <c r="E844" s="32"/>
      <c r="F844" s="33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30"/>
    </row>
    <row r="845" spans="1:21" s="29" customFormat="1">
      <c r="A845" s="32"/>
      <c r="B845" s="32"/>
      <c r="C845" s="32"/>
      <c r="D845" s="32"/>
      <c r="E845" s="32"/>
      <c r="F845" s="33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30"/>
    </row>
    <row r="846" spans="1:21" s="29" customFormat="1">
      <c r="A846" s="32"/>
      <c r="B846" s="32"/>
      <c r="C846" s="32"/>
      <c r="D846" s="32"/>
      <c r="E846" s="32"/>
      <c r="F846" s="33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30"/>
    </row>
    <row r="847" spans="1:21" s="29" customFormat="1">
      <c r="A847" s="32"/>
      <c r="B847" s="32"/>
      <c r="C847" s="32"/>
      <c r="D847" s="32"/>
      <c r="E847" s="32"/>
      <c r="F847" s="33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30"/>
    </row>
    <row r="848" spans="1:21" s="29" customFormat="1">
      <c r="A848" s="32"/>
      <c r="B848" s="32"/>
      <c r="C848" s="32"/>
      <c r="D848" s="32"/>
      <c r="E848" s="32"/>
      <c r="F848" s="33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30"/>
    </row>
    <row r="849" spans="1:21" s="29" customFormat="1">
      <c r="A849" s="32"/>
      <c r="B849" s="32"/>
      <c r="C849" s="32"/>
      <c r="D849" s="32"/>
      <c r="E849" s="32"/>
      <c r="F849" s="33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30"/>
    </row>
    <row r="850" spans="1:21" s="29" customFormat="1">
      <c r="A850" s="32"/>
      <c r="B850" s="32"/>
      <c r="C850" s="32"/>
      <c r="D850" s="32"/>
      <c r="E850" s="32"/>
      <c r="F850" s="33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30"/>
    </row>
    <row r="851" spans="1:21" s="29" customFormat="1">
      <c r="A851" s="32"/>
      <c r="B851" s="32"/>
      <c r="C851" s="32"/>
      <c r="D851" s="32"/>
      <c r="E851" s="32"/>
      <c r="F851" s="33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30"/>
    </row>
    <row r="852" spans="1:21" s="29" customFormat="1">
      <c r="A852" s="32"/>
      <c r="B852" s="32"/>
      <c r="C852" s="32"/>
      <c r="D852" s="32"/>
      <c r="E852" s="32"/>
      <c r="F852" s="33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30"/>
    </row>
    <row r="853" spans="1:21" s="29" customFormat="1">
      <c r="A853" s="32"/>
      <c r="B853" s="32"/>
      <c r="C853" s="32"/>
      <c r="D853" s="32"/>
      <c r="E853" s="32"/>
      <c r="F853" s="33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30"/>
    </row>
    <row r="854" spans="1:21" s="29" customFormat="1">
      <c r="A854" s="32"/>
      <c r="B854" s="32"/>
      <c r="C854" s="32"/>
      <c r="D854" s="32"/>
      <c r="E854" s="32"/>
      <c r="F854" s="33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30"/>
    </row>
    <row r="855" spans="1:21" s="29" customFormat="1">
      <c r="A855" s="32"/>
      <c r="B855" s="32"/>
      <c r="C855" s="32"/>
      <c r="D855" s="32"/>
      <c r="E855" s="32"/>
      <c r="F855" s="33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30"/>
    </row>
    <row r="856" spans="1:21" s="29" customFormat="1">
      <c r="A856" s="32"/>
      <c r="B856" s="32"/>
      <c r="C856" s="32"/>
      <c r="D856" s="32"/>
      <c r="E856" s="32"/>
      <c r="F856" s="33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30"/>
    </row>
    <row r="857" spans="1:21" s="29" customFormat="1">
      <c r="A857" s="32"/>
      <c r="B857" s="32"/>
      <c r="C857" s="32"/>
      <c r="D857" s="32"/>
      <c r="E857" s="32"/>
      <c r="F857" s="33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30"/>
    </row>
    <row r="858" spans="1:21" s="29" customFormat="1">
      <c r="A858" s="32"/>
      <c r="B858" s="32"/>
      <c r="C858" s="32"/>
      <c r="D858" s="32"/>
      <c r="E858" s="32"/>
      <c r="F858" s="33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30"/>
    </row>
    <row r="859" spans="1:21" s="29" customFormat="1">
      <c r="A859" s="32"/>
      <c r="B859" s="32"/>
      <c r="C859" s="32"/>
      <c r="D859" s="32"/>
      <c r="E859" s="32"/>
      <c r="F859" s="33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30"/>
    </row>
    <row r="860" spans="1:21" s="29" customFormat="1">
      <c r="A860" s="32"/>
      <c r="B860" s="32"/>
      <c r="C860" s="32"/>
      <c r="D860" s="32"/>
      <c r="E860" s="32"/>
      <c r="F860" s="33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30"/>
    </row>
    <row r="861" spans="1:21" s="29" customFormat="1">
      <c r="A861" s="32"/>
      <c r="B861" s="32"/>
      <c r="C861" s="32"/>
      <c r="D861" s="32"/>
      <c r="E861" s="32"/>
      <c r="F861" s="33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30"/>
    </row>
    <row r="862" spans="1:21" s="29" customFormat="1">
      <c r="A862" s="32"/>
      <c r="B862" s="32"/>
      <c r="C862" s="32"/>
      <c r="D862" s="32"/>
      <c r="E862" s="32"/>
      <c r="F862" s="33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30"/>
    </row>
    <row r="863" spans="1:21" s="29" customFormat="1">
      <c r="A863" s="32"/>
      <c r="B863" s="32"/>
      <c r="C863" s="32"/>
      <c r="D863" s="32"/>
      <c r="E863" s="32"/>
      <c r="F863" s="33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30"/>
    </row>
    <row r="864" spans="1:21" s="29" customFormat="1">
      <c r="A864" s="32"/>
      <c r="B864" s="32"/>
      <c r="C864" s="32"/>
      <c r="D864" s="32"/>
      <c r="E864" s="32"/>
      <c r="F864" s="33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30"/>
    </row>
    <row r="865" spans="1:21" s="29" customFormat="1">
      <c r="A865" s="32"/>
      <c r="B865" s="32"/>
      <c r="C865" s="32"/>
      <c r="D865" s="32"/>
      <c r="E865" s="32"/>
      <c r="F865" s="33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30"/>
    </row>
    <row r="866" spans="1:21" s="29" customFormat="1">
      <c r="A866" s="32"/>
      <c r="B866" s="32"/>
      <c r="C866" s="32"/>
      <c r="D866" s="32"/>
      <c r="E866" s="32"/>
      <c r="F866" s="33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30"/>
    </row>
    <row r="867" spans="1:21" s="29" customFormat="1">
      <c r="A867" s="32"/>
      <c r="B867" s="32"/>
      <c r="C867" s="32"/>
      <c r="D867" s="32"/>
      <c r="E867" s="32"/>
      <c r="F867" s="33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30"/>
    </row>
    <row r="868" spans="1:21" s="29" customFormat="1">
      <c r="A868" s="32"/>
      <c r="B868" s="32"/>
      <c r="C868" s="32"/>
      <c r="D868" s="32"/>
      <c r="E868" s="32"/>
      <c r="F868" s="33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30"/>
    </row>
    <row r="869" spans="1:21" s="29" customFormat="1">
      <c r="A869" s="32"/>
      <c r="B869" s="32"/>
      <c r="C869" s="32"/>
      <c r="D869" s="32"/>
      <c r="E869" s="32"/>
      <c r="F869" s="33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30"/>
    </row>
    <row r="870" spans="1:21" s="29" customFormat="1">
      <c r="A870" s="32"/>
      <c r="B870" s="32"/>
      <c r="C870" s="32"/>
      <c r="D870" s="32"/>
      <c r="E870" s="32"/>
      <c r="F870" s="33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30"/>
    </row>
    <row r="871" spans="1:21" s="29" customFormat="1">
      <c r="A871" s="32"/>
      <c r="B871" s="32"/>
      <c r="C871" s="32"/>
      <c r="D871" s="32"/>
      <c r="E871" s="32"/>
      <c r="F871" s="33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30"/>
    </row>
    <row r="872" spans="1:21" s="29" customFormat="1">
      <c r="A872" s="32"/>
      <c r="B872" s="32"/>
      <c r="C872" s="32"/>
      <c r="D872" s="32"/>
      <c r="E872" s="32"/>
      <c r="F872" s="33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30"/>
    </row>
    <row r="873" spans="1:21" s="29" customFormat="1">
      <c r="A873" s="32"/>
      <c r="B873" s="32"/>
      <c r="C873" s="32"/>
      <c r="D873" s="32"/>
      <c r="E873" s="32"/>
      <c r="F873" s="33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30"/>
    </row>
    <row r="874" spans="1:21" s="29" customFormat="1">
      <c r="A874" s="32"/>
      <c r="B874" s="32"/>
      <c r="C874" s="32"/>
      <c r="D874" s="32"/>
      <c r="E874" s="32"/>
      <c r="F874" s="33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30"/>
    </row>
    <row r="875" spans="1:21" s="29" customFormat="1">
      <c r="A875" s="32"/>
      <c r="B875" s="32"/>
      <c r="C875" s="32"/>
      <c r="D875" s="32"/>
      <c r="E875" s="32"/>
      <c r="F875" s="33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30"/>
    </row>
    <row r="876" spans="1:21" s="29" customFormat="1">
      <c r="A876" s="32"/>
      <c r="B876" s="32"/>
      <c r="C876" s="32"/>
      <c r="D876" s="32"/>
      <c r="E876" s="32"/>
      <c r="F876" s="33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30"/>
    </row>
    <row r="877" spans="1:21" s="29" customFormat="1">
      <c r="A877" s="32"/>
      <c r="B877" s="32"/>
      <c r="C877" s="32"/>
      <c r="D877" s="32"/>
      <c r="E877" s="32"/>
      <c r="F877" s="33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30"/>
    </row>
    <row r="878" spans="1:21" s="29" customFormat="1">
      <c r="A878" s="32"/>
      <c r="B878" s="32"/>
      <c r="C878" s="32"/>
      <c r="D878" s="32"/>
      <c r="E878" s="32"/>
      <c r="F878" s="33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30"/>
    </row>
    <row r="879" spans="1:21" s="29" customFormat="1">
      <c r="A879" s="32"/>
      <c r="B879" s="32"/>
      <c r="C879" s="32"/>
      <c r="D879" s="32"/>
      <c r="E879" s="32"/>
      <c r="F879" s="33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30"/>
    </row>
    <row r="880" spans="1:21" s="29" customFormat="1">
      <c r="A880" s="32"/>
      <c r="B880" s="32"/>
      <c r="C880" s="32"/>
      <c r="D880" s="32"/>
      <c r="E880" s="32"/>
      <c r="F880" s="33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30"/>
    </row>
    <row r="881" spans="1:21" s="29" customFormat="1">
      <c r="A881" s="32"/>
      <c r="B881" s="32"/>
      <c r="C881" s="32"/>
      <c r="D881" s="32"/>
      <c r="E881" s="32"/>
      <c r="F881" s="33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30"/>
    </row>
    <row r="882" spans="1:21" s="29" customFormat="1">
      <c r="A882" s="32"/>
      <c r="B882" s="32"/>
      <c r="C882" s="32"/>
      <c r="D882" s="32"/>
      <c r="E882" s="32"/>
      <c r="F882" s="33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30"/>
    </row>
    <row r="883" spans="1:21" s="29" customFormat="1">
      <c r="A883" s="32"/>
      <c r="B883" s="32"/>
      <c r="C883" s="32"/>
      <c r="D883" s="32"/>
      <c r="E883" s="32"/>
      <c r="F883" s="33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30"/>
    </row>
    <row r="884" spans="1:21" s="29" customFormat="1">
      <c r="A884" s="32"/>
      <c r="B884" s="32"/>
      <c r="C884" s="32"/>
      <c r="D884" s="32"/>
      <c r="E884" s="32"/>
      <c r="F884" s="33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30"/>
    </row>
    <row r="885" spans="1:21" s="29" customFormat="1">
      <c r="A885" s="32"/>
      <c r="B885" s="32"/>
      <c r="C885" s="32"/>
      <c r="D885" s="32"/>
      <c r="E885" s="32"/>
      <c r="F885" s="33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30"/>
    </row>
    <row r="886" spans="1:21" s="29" customFormat="1">
      <c r="A886" s="32"/>
      <c r="B886" s="32"/>
      <c r="C886" s="32"/>
      <c r="D886" s="32"/>
      <c r="E886" s="32"/>
      <c r="F886" s="33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30"/>
    </row>
    <row r="887" spans="1:21" s="29" customFormat="1">
      <c r="A887" s="32"/>
      <c r="B887" s="32"/>
      <c r="C887" s="32"/>
      <c r="D887" s="32"/>
      <c r="E887" s="32"/>
      <c r="F887" s="33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30"/>
    </row>
    <row r="888" spans="1:21" s="29" customFormat="1">
      <c r="A888" s="32"/>
      <c r="B888" s="32"/>
      <c r="C888" s="32"/>
      <c r="D888" s="32"/>
      <c r="E888" s="32"/>
      <c r="F888" s="33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30"/>
    </row>
    <row r="889" spans="1:21" s="29" customFormat="1">
      <c r="A889" s="32"/>
      <c r="B889" s="32"/>
      <c r="C889" s="32"/>
      <c r="D889" s="32"/>
      <c r="E889" s="32"/>
      <c r="F889" s="33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30"/>
    </row>
    <row r="890" spans="1:21" s="29" customFormat="1">
      <c r="A890" s="32"/>
      <c r="B890" s="32"/>
      <c r="C890" s="32"/>
      <c r="D890" s="32"/>
      <c r="E890" s="32"/>
      <c r="F890" s="33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30"/>
    </row>
    <row r="891" spans="1:21" s="29" customFormat="1">
      <c r="A891" s="32"/>
      <c r="B891" s="32"/>
      <c r="C891" s="32"/>
      <c r="D891" s="32"/>
      <c r="E891" s="32"/>
      <c r="F891" s="33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30"/>
    </row>
    <row r="892" spans="1:21" s="29" customFormat="1">
      <c r="A892" s="32"/>
      <c r="B892" s="32"/>
      <c r="C892" s="32"/>
      <c r="D892" s="32"/>
      <c r="E892" s="32"/>
      <c r="F892" s="33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30"/>
    </row>
    <row r="893" spans="1:21" s="29" customFormat="1">
      <c r="A893" s="32"/>
      <c r="B893" s="32"/>
      <c r="C893" s="32"/>
      <c r="D893" s="32"/>
      <c r="E893" s="32"/>
      <c r="F893" s="33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30"/>
    </row>
    <row r="894" spans="1:21" s="29" customFormat="1">
      <c r="A894" s="32"/>
      <c r="B894" s="32"/>
      <c r="C894" s="32"/>
      <c r="D894" s="32"/>
      <c r="E894" s="32"/>
      <c r="F894" s="33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30"/>
    </row>
    <row r="895" spans="1:21" s="29" customFormat="1">
      <c r="A895" s="32"/>
      <c r="B895" s="32"/>
      <c r="C895" s="32"/>
      <c r="D895" s="32"/>
      <c r="E895" s="32"/>
      <c r="F895" s="33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30"/>
    </row>
    <row r="896" spans="1:21" s="29" customFormat="1">
      <c r="A896" s="32"/>
      <c r="B896" s="32"/>
      <c r="C896" s="32"/>
      <c r="D896" s="32"/>
      <c r="E896" s="32"/>
      <c r="F896" s="33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30"/>
    </row>
    <row r="897" spans="1:21" s="29" customFormat="1">
      <c r="A897" s="32"/>
      <c r="B897" s="32"/>
      <c r="C897" s="32"/>
      <c r="D897" s="32"/>
      <c r="E897" s="32"/>
      <c r="F897" s="33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30"/>
    </row>
    <row r="898" spans="1:21" s="29" customFormat="1">
      <c r="A898" s="32"/>
      <c r="B898" s="32"/>
      <c r="C898" s="32"/>
      <c r="D898" s="32"/>
      <c r="E898" s="32"/>
      <c r="F898" s="33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30"/>
    </row>
    <row r="899" spans="1:21" s="29" customFormat="1">
      <c r="A899" s="32"/>
      <c r="B899" s="32"/>
      <c r="C899" s="32"/>
      <c r="D899" s="32"/>
      <c r="E899" s="32"/>
      <c r="F899" s="33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30"/>
    </row>
    <row r="900" spans="1:21" s="29" customFormat="1">
      <c r="A900" s="32"/>
      <c r="B900" s="32"/>
      <c r="C900" s="32"/>
      <c r="D900" s="32"/>
      <c r="E900" s="32"/>
      <c r="F900" s="33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30"/>
    </row>
    <row r="901" spans="1:21" s="29" customFormat="1">
      <c r="A901" s="32"/>
      <c r="B901" s="32"/>
      <c r="C901" s="32"/>
      <c r="D901" s="32"/>
      <c r="E901" s="32"/>
      <c r="F901" s="33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30"/>
    </row>
    <row r="902" spans="1:21" s="29" customFormat="1">
      <c r="A902" s="32"/>
      <c r="B902" s="32"/>
      <c r="C902" s="32"/>
      <c r="D902" s="32"/>
      <c r="E902" s="32"/>
      <c r="F902" s="33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30"/>
    </row>
    <row r="903" spans="1:21" s="29" customFormat="1">
      <c r="A903" s="32"/>
      <c r="B903" s="32"/>
      <c r="C903" s="32"/>
      <c r="D903" s="32"/>
      <c r="E903" s="32"/>
      <c r="F903" s="33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30"/>
    </row>
    <row r="904" spans="1:21" s="29" customFormat="1">
      <c r="A904" s="32"/>
      <c r="B904" s="32"/>
      <c r="C904" s="32"/>
      <c r="D904" s="32"/>
      <c r="E904" s="32"/>
      <c r="F904" s="33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30"/>
    </row>
    <row r="905" spans="1:21" s="29" customFormat="1">
      <c r="A905" s="32"/>
      <c r="B905" s="32"/>
      <c r="C905" s="32"/>
      <c r="D905" s="32"/>
      <c r="E905" s="32"/>
      <c r="F905" s="33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30"/>
    </row>
    <row r="906" spans="1:21" s="29" customFormat="1">
      <c r="A906" s="32"/>
      <c r="B906" s="32"/>
      <c r="C906" s="32"/>
      <c r="D906" s="32"/>
      <c r="E906" s="32"/>
      <c r="F906" s="33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30"/>
    </row>
    <row r="907" spans="1:21" s="29" customFormat="1">
      <c r="A907" s="32"/>
      <c r="B907" s="32"/>
      <c r="C907" s="32"/>
      <c r="D907" s="32"/>
      <c r="E907" s="32"/>
      <c r="F907" s="33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30"/>
    </row>
    <row r="908" spans="1:21" s="29" customFormat="1">
      <c r="A908" s="32"/>
      <c r="B908" s="32"/>
      <c r="C908" s="32"/>
      <c r="D908" s="32"/>
      <c r="E908" s="32"/>
      <c r="F908" s="33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30"/>
    </row>
    <row r="909" spans="1:21" s="29" customFormat="1">
      <c r="A909" s="32"/>
      <c r="B909" s="32"/>
      <c r="C909" s="32"/>
      <c r="D909" s="32"/>
      <c r="E909" s="32"/>
      <c r="F909" s="33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30"/>
    </row>
    <row r="910" spans="1:21" s="29" customFormat="1">
      <c r="A910" s="32"/>
      <c r="B910" s="32"/>
      <c r="C910" s="32"/>
      <c r="D910" s="32"/>
      <c r="E910" s="32"/>
      <c r="F910" s="33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30"/>
    </row>
    <row r="911" spans="1:21" s="29" customFormat="1">
      <c r="A911" s="32"/>
      <c r="B911" s="32"/>
      <c r="C911" s="32"/>
      <c r="D911" s="32"/>
      <c r="E911" s="32"/>
      <c r="F911" s="33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30"/>
    </row>
    <row r="912" spans="1:21" s="29" customFormat="1">
      <c r="A912" s="32"/>
      <c r="B912" s="32"/>
      <c r="C912" s="32"/>
      <c r="D912" s="32"/>
      <c r="E912" s="32"/>
      <c r="F912" s="33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30"/>
    </row>
    <row r="913" spans="1:21" s="29" customFormat="1">
      <c r="A913" s="32"/>
      <c r="B913" s="32"/>
      <c r="C913" s="32"/>
      <c r="D913" s="32"/>
      <c r="E913" s="32"/>
      <c r="F913" s="33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30"/>
    </row>
    <row r="914" spans="1:21" s="29" customFormat="1">
      <c r="A914" s="32"/>
      <c r="B914" s="32"/>
      <c r="C914" s="32"/>
      <c r="D914" s="32"/>
      <c r="E914" s="32"/>
      <c r="F914" s="33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30"/>
    </row>
    <row r="915" spans="1:21" s="29" customFormat="1">
      <c r="A915" s="32"/>
      <c r="B915" s="32"/>
      <c r="C915" s="32"/>
      <c r="D915" s="32"/>
      <c r="E915" s="32"/>
      <c r="F915" s="33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30"/>
    </row>
    <row r="916" spans="1:21" s="29" customFormat="1">
      <c r="A916" s="32"/>
      <c r="B916" s="32"/>
      <c r="C916" s="32"/>
      <c r="D916" s="32"/>
      <c r="E916" s="32"/>
      <c r="F916" s="33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30"/>
    </row>
    <row r="917" spans="1:21" s="29" customFormat="1">
      <c r="A917" s="32"/>
      <c r="B917" s="32"/>
      <c r="C917" s="32"/>
      <c r="D917" s="32"/>
      <c r="E917" s="32"/>
      <c r="F917" s="33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30"/>
    </row>
    <row r="918" spans="1:21" s="29" customFormat="1">
      <c r="A918" s="32"/>
      <c r="B918" s="32"/>
      <c r="C918" s="32"/>
      <c r="D918" s="32"/>
      <c r="E918" s="32"/>
      <c r="F918" s="33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30"/>
    </row>
    <row r="919" spans="1:21" s="29" customFormat="1">
      <c r="A919" s="32"/>
      <c r="B919" s="32"/>
      <c r="C919" s="32"/>
      <c r="D919" s="32"/>
      <c r="E919" s="32"/>
      <c r="F919" s="33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30"/>
    </row>
    <row r="920" spans="1:21" s="29" customFormat="1">
      <c r="A920" s="32"/>
      <c r="B920" s="32"/>
      <c r="C920" s="32"/>
      <c r="D920" s="32"/>
      <c r="E920" s="32"/>
      <c r="F920" s="33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30"/>
    </row>
    <row r="921" spans="1:21" s="29" customFormat="1">
      <c r="A921" s="32"/>
      <c r="B921" s="32"/>
      <c r="C921" s="32"/>
      <c r="D921" s="32"/>
      <c r="E921" s="32"/>
      <c r="F921" s="33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30"/>
    </row>
    <row r="922" spans="1:21" s="29" customFormat="1">
      <c r="A922" s="32"/>
      <c r="B922" s="32"/>
      <c r="C922" s="32"/>
      <c r="D922" s="32"/>
      <c r="E922" s="32"/>
      <c r="F922" s="33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30"/>
    </row>
    <row r="923" spans="1:21" s="29" customFormat="1">
      <c r="A923" s="32"/>
      <c r="B923" s="32"/>
      <c r="C923" s="32"/>
      <c r="D923" s="32"/>
      <c r="E923" s="32"/>
      <c r="F923" s="33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30"/>
    </row>
    <row r="924" spans="1:21" s="29" customFormat="1">
      <c r="A924" s="32"/>
      <c r="B924" s="32"/>
      <c r="C924" s="32"/>
      <c r="D924" s="32"/>
      <c r="E924" s="32"/>
      <c r="F924" s="33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30"/>
    </row>
    <row r="925" spans="1:21" s="29" customFormat="1">
      <c r="A925" s="32"/>
      <c r="B925" s="32"/>
      <c r="C925" s="32"/>
      <c r="D925" s="32"/>
      <c r="E925" s="32"/>
      <c r="F925" s="33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30"/>
    </row>
    <row r="926" spans="1:21" s="29" customFormat="1">
      <c r="A926" s="32"/>
      <c r="B926" s="32"/>
      <c r="C926" s="32"/>
      <c r="D926" s="32"/>
      <c r="E926" s="32"/>
      <c r="F926" s="33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30"/>
    </row>
    <row r="927" spans="1:21" s="29" customFormat="1">
      <c r="A927" s="32"/>
      <c r="B927" s="32"/>
      <c r="C927" s="32"/>
      <c r="D927" s="32"/>
      <c r="E927" s="32"/>
      <c r="F927" s="33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30"/>
    </row>
    <row r="928" spans="1:21" s="29" customFormat="1">
      <c r="A928" s="32"/>
      <c r="B928" s="32"/>
      <c r="C928" s="32"/>
      <c r="D928" s="32"/>
      <c r="E928" s="32"/>
      <c r="F928" s="33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30"/>
    </row>
    <row r="929" spans="1:21" s="29" customFormat="1">
      <c r="A929" s="32"/>
      <c r="B929" s="32"/>
      <c r="C929" s="32"/>
      <c r="D929" s="32"/>
      <c r="E929" s="32"/>
      <c r="F929" s="33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30"/>
    </row>
    <row r="930" spans="1:21" s="29" customFormat="1">
      <c r="A930" s="32"/>
      <c r="B930" s="32"/>
      <c r="C930" s="32"/>
      <c r="D930" s="32"/>
      <c r="E930" s="32"/>
      <c r="F930" s="33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30"/>
    </row>
    <row r="931" spans="1:21" s="29" customFormat="1">
      <c r="A931" s="32"/>
      <c r="B931" s="32"/>
      <c r="C931" s="32"/>
      <c r="D931" s="32"/>
      <c r="E931" s="32"/>
      <c r="F931" s="33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30"/>
    </row>
    <row r="932" spans="1:21" s="29" customFormat="1">
      <c r="A932" s="32"/>
      <c r="B932" s="32"/>
      <c r="C932" s="32"/>
      <c r="D932" s="32"/>
      <c r="E932" s="32"/>
      <c r="F932" s="33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30"/>
    </row>
    <row r="933" spans="1:21" s="29" customFormat="1">
      <c r="A933" s="32"/>
      <c r="B933" s="32"/>
      <c r="C933" s="32"/>
      <c r="D933" s="32"/>
      <c r="E933" s="32"/>
      <c r="F933" s="33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30"/>
    </row>
    <row r="934" spans="1:21" s="29" customFormat="1">
      <c r="A934" s="32"/>
      <c r="B934" s="32"/>
      <c r="C934" s="32"/>
      <c r="D934" s="32"/>
      <c r="E934" s="32"/>
      <c r="F934" s="33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30"/>
    </row>
    <row r="935" spans="1:21" s="29" customFormat="1">
      <c r="A935" s="32"/>
      <c r="B935" s="32"/>
      <c r="C935" s="32"/>
      <c r="D935" s="32"/>
      <c r="E935" s="32"/>
      <c r="F935" s="33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30"/>
    </row>
    <row r="936" spans="1:21" s="29" customFormat="1">
      <c r="A936" s="32"/>
      <c r="B936" s="32"/>
      <c r="C936" s="32"/>
      <c r="D936" s="32"/>
      <c r="E936" s="32"/>
      <c r="F936" s="33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30"/>
    </row>
    <row r="937" spans="1:21" s="29" customFormat="1">
      <c r="A937" s="32"/>
      <c r="B937" s="32"/>
      <c r="C937" s="32"/>
      <c r="D937" s="32"/>
      <c r="E937" s="32"/>
      <c r="F937" s="33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30"/>
    </row>
    <row r="938" spans="1:21" s="29" customFormat="1">
      <c r="A938" s="32"/>
      <c r="B938" s="32"/>
      <c r="C938" s="32"/>
      <c r="D938" s="32"/>
      <c r="E938" s="32"/>
      <c r="F938" s="33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30"/>
    </row>
    <row r="939" spans="1:21" s="29" customFormat="1">
      <c r="A939" s="32"/>
      <c r="B939" s="32"/>
      <c r="C939" s="32"/>
      <c r="D939" s="32"/>
      <c r="E939" s="32"/>
      <c r="F939" s="33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30"/>
    </row>
    <row r="940" spans="1:21" s="29" customFormat="1">
      <c r="A940" s="32"/>
      <c r="B940" s="32"/>
      <c r="C940" s="32"/>
      <c r="D940" s="32"/>
      <c r="E940" s="32"/>
      <c r="F940" s="33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30"/>
    </row>
    <row r="941" spans="1:21" s="29" customFormat="1">
      <c r="A941" s="32"/>
      <c r="B941" s="32"/>
      <c r="C941" s="32"/>
      <c r="D941" s="32"/>
      <c r="E941" s="32"/>
      <c r="F941" s="33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30"/>
    </row>
    <row r="942" spans="1:21" s="29" customFormat="1">
      <c r="A942" s="32"/>
      <c r="B942" s="32"/>
      <c r="C942" s="32"/>
      <c r="D942" s="32"/>
      <c r="E942" s="32"/>
      <c r="F942" s="33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30"/>
    </row>
    <row r="943" spans="1:21" s="29" customFormat="1">
      <c r="A943" s="32"/>
      <c r="B943" s="32"/>
      <c r="C943" s="32"/>
      <c r="D943" s="32"/>
      <c r="E943" s="32"/>
      <c r="F943" s="33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30"/>
    </row>
    <row r="944" spans="1:21" s="29" customFormat="1">
      <c r="A944" s="32"/>
      <c r="B944" s="32"/>
      <c r="C944" s="32"/>
      <c r="D944" s="32"/>
      <c r="E944" s="32"/>
      <c r="F944" s="33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30"/>
    </row>
    <row r="945" spans="1:21" s="29" customFormat="1">
      <c r="A945" s="32"/>
      <c r="B945" s="32"/>
      <c r="C945" s="32"/>
      <c r="D945" s="32"/>
      <c r="E945" s="32"/>
      <c r="F945" s="33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30"/>
    </row>
    <row r="946" spans="1:21" s="29" customFormat="1">
      <c r="A946" s="32"/>
      <c r="B946" s="32"/>
      <c r="C946" s="32"/>
      <c r="D946" s="32"/>
      <c r="E946" s="32"/>
      <c r="F946" s="33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30"/>
    </row>
    <row r="947" spans="1:21" s="29" customFormat="1">
      <c r="A947" s="32"/>
      <c r="B947" s="32"/>
      <c r="C947" s="32"/>
      <c r="D947" s="32"/>
      <c r="E947" s="32"/>
      <c r="F947" s="33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30"/>
    </row>
    <row r="948" spans="1:21" s="29" customFormat="1">
      <c r="A948" s="32"/>
      <c r="B948" s="32"/>
      <c r="C948" s="32"/>
      <c r="D948" s="32"/>
      <c r="E948" s="32"/>
      <c r="F948" s="33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30"/>
    </row>
    <row r="949" spans="1:21" s="29" customFormat="1">
      <c r="A949" s="32"/>
      <c r="B949" s="32"/>
      <c r="C949" s="32"/>
      <c r="D949" s="32"/>
      <c r="E949" s="32"/>
      <c r="F949" s="33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30"/>
    </row>
    <row r="950" spans="1:21" s="29" customFormat="1">
      <c r="A950" s="32"/>
      <c r="B950" s="32"/>
      <c r="C950" s="32"/>
      <c r="D950" s="32"/>
      <c r="E950" s="32"/>
      <c r="F950" s="33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30"/>
    </row>
    <row r="951" spans="1:21" s="29" customFormat="1">
      <c r="A951" s="32"/>
      <c r="B951" s="32"/>
      <c r="C951" s="32"/>
      <c r="D951" s="32"/>
      <c r="E951" s="32"/>
      <c r="F951" s="33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30"/>
    </row>
    <row r="952" spans="1:21" s="29" customFormat="1">
      <c r="A952" s="32"/>
      <c r="B952" s="32"/>
      <c r="C952" s="32"/>
      <c r="D952" s="32"/>
      <c r="E952" s="32"/>
      <c r="F952" s="33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30"/>
    </row>
    <row r="953" spans="1:21" s="29" customFormat="1">
      <c r="A953" s="32"/>
      <c r="B953" s="32"/>
      <c r="C953" s="32"/>
      <c r="D953" s="32"/>
      <c r="E953" s="32"/>
      <c r="F953" s="33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</row>
    <row r="954" spans="1:21" s="29" customFormat="1">
      <c r="A954" s="32"/>
      <c r="B954" s="32"/>
      <c r="C954" s="32"/>
      <c r="D954" s="32"/>
      <c r="E954" s="32"/>
      <c r="F954" s="33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30"/>
    </row>
    <row r="955" spans="1:21" s="29" customFormat="1">
      <c r="A955" s="32"/>
      <c r="B955" s="32"/>
      <c r="C955" s="32"/>
      <c r="D955" s="32"/>
      <c r="E955" s="32"/>
      <c r="F955" s="33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30"/>
    </row>
    <row r="956" spans="1:21" s="29" customFormat="1">
      <c r="A956" s="32"/>
      <c r="B956" s="32"/>
      <c r="C956" s="32"/>
      <c r="D956" s="32"/>
      <c r="E956" s="32"/>
      <c r="F956" s="33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30"/>
    </row>
    <row r="957" spans="1:21" s="29" customFormat="1">
      <c r="A957" s="32"/>
      <c r="B957" s="32"/>
      <c r="C957" s="32"/>
      <c r="D957" s="32"/>
      <c r="E957" s="32"/>
      <c r="F957" s="33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30"/>
    </row>
    <row r="958" spans="1:21" s="29" customFormat="1">
      <c r="A958" s="32"/>
      <c r="B958" s="32"/>
      <c r="C958" s="32"/>
      <c r="D958" s="32"/>
      <c r="E958" s="32"/>
      <c r="F958" s="33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30"/>
    </row>
    <row r="959" spans="1:21" s="29" customFormat="1">
      <c r="A959" s="32"/>
      <c r="B959" s="32"/>
      <c r="C959" s="32"/>
      <c r="D959" s="32"/>
      <c r="E959" s="32"/>
      <c r="F959" s="33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30"/>
    </row>
    <row r="960" spans="1:21" s="29" customFormat="1">
      <c r="A960" s="32"/>
      <c r="B960" s="32"/>
      <c r="C960" s="32"/>
      <c r="D960" s="32"/>
      <c r="E960" s="32"/>
      <c r="F960" s="33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30"/>
      <c r="T960" s="30"/>
      <c r="U960" s="30"/>
    </row>
    <row r="961" spans="1:21" s="29" customFormat="1">
      <c r="A961" s="32"/>
      <c r="B961" s="32"/>
      <c r="C961" s="32"/>
      <c r="D961" s="32"/>
      <c r="E961" s="32"/>
      <c r="F961" s="33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30"/>
      <c r="T961" s="30"/>
      <c r="U961" s="30"/>
    </row>
    <row r="962" spans="1:21" s="29" customFormat="1">
      <c r="A962" s="32"/>
      <c r="B962" s="32"/>
      <c r="C962" s="32"/>
      <c r="D962" s="32"/>
      <c r="E962" s="32"/>
      <c r="F962" s="33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30"/>
      <c r="T962" s="30"/>
      <c r="U962" s="30"/>
    </row>
    <row r="963" spans="1:21" s="29" customFormat="1">
      <c r="A963" s="32"/>
      <c r="B963" s="32"/>
      <c r="C963" s="32"/>
      <c r="D963" s="32"/>
      <c r="E963" s="32"/>
      <c r="F963" s="33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30"/>
      <c r="T963" s="30"/>
      <c r="U963" s="30"/>
    </row>
    <row r="964" spans="1:21" s="29" customFormat="1">
      <c r="A964" s="32"/>
      <c r="B964" s="32"/>
      <c r="C964" s="32"/>
      <c r="D964" s="32"/>
      <c r="E964" s="32"/>
      <c r="F964" s="33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30"/>
      <c r="T964" s="30"/>
      <c r="U964" s="30"/>
    </row>
    <row r="965" spans="1:21" s="29" customFormat="1">
      <c r="A965" s="32"/>
      <c r="B965" s="32"/>
      <c r="C965" s="32"/>
      <c r="D965" s="32"/>
      <c r="E965" s="32"/>
      <c r="F965" s="33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30"/>
      <c r="T965" s="30"/>
      <c r="U965" s="30"/>
    </row>
    <row r="966" spans="1:21" s="29" customFormat="1">
      <c r="A966" s="32"/>
      <c r="B966" s="32"/>
      <c r="C966" s="32"/>
      <c r="D966" s="32"/>
      <c r="E966" s="32"/>
      <c r="F966" s="33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30"/>
      <c r="T966" s="30"/>
      <c r="U966" s="30"/>
    </row>
    <row r="967" spans="1:21" s="29" customFormat="1">
      <c r="A967" s="32"/>
      <c r="B967" s="32"/>
      <c r="C967" s="32"/>
      <c r="D967" s="32"/>
      <c r="E967" s="32"/>
      <c r="F967" s="33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30"/>
      <c r="T967" s="30"/>
      <c r="U967" s="30"/>
    </row>
    <row r="968" spans="1:21" s="29" customFormat="1">
      <c r="A968" s="32"/>
      <c r="B968" s="32"/>
      <c r="C968" s="32"/>
      <c r="D968" s="32"/>
      <c r="E968" s="32"/>
      <c r="F968" s="33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30"/>
      <c r="T968" s="30"/>
      <c r="U968" s="30"/>
    </row>
    <row r="969" spans="1:21" s="29" customFormat="1">
      <c r="A969" s="32"/>
      <c r="B969" s="32"/>
      <c r="C969" s="32"/>
      <c r="D969" s="32"/>
      <c r="E969" s="32"/>
      <c r="F969" s="33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30"/>
      <c r="T969" s="30"/>
      <c r="U969" s="30"/>
    </row>
    <row r="970" spans="1:21" s="29" customFormat="1">
      <c r="A970" s="32"/>
      <c r="B970" s="32"/>
      <c r="C970" s="32"/>
      <c r="D970" s="32"/>
      <c r="E970" s="32"/>
      <c r="F970" s="33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30"/>
      <c r="T970" s="30"/>
      <c r="U970" s="30"/>
    </row>
    <row r="971" spans="1:21" s="29" customFormat="1">
      <c r="A971" s="32"/>
      <c r="B971" s="32"/>
      <c r="C971" s="32"/>
      <c r="D971" s="32"/>
      <c r="E971" s="32"/>
      <c r="F971" s="33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30"/>
      <c r="T971" s="30"/>
      <c r="U971" s="30"/>
    </row>
    <row r="972" spans="1:21" s="29" customFormat="1">
      <c r="A972" s="32"/>
      <c r="B972" s="32"/>
      <c r="C972" s="32"/>
      <c r="D972" s="32"/>
      <c r="E972" s="32"/>
      <c r="F972" s="33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30"/>
      <c r="T972" s="30"/>
      <c r="U972" s="30"/>
    </row>
    <row r="973" spans="1:21" s="29" customFormat="1">
      <c r="A973" s="32"/>
      <c r="B973" s="32"/>
      <c r="C973" s="32"/>
      <c r="D973" s="32"/>
      <c r="E973" s="32"/>
      <c r="F973" s="33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30"/>
      <c r="T973" s="30"/>
      <c r="U973" s="30"/>
    </row>
    <row r="974" spans="1:21" s="29" customFormat="1">
      <c r="A974" s="32"/>
      <c r="B974" s="32"/>
      <c r="C974" s="32"/>
      <c r="D974" s="32"/>
      <c r="E974" s="32"/>
      <c r="F974" s="33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30"/>
      <c r="T974" s="30"/>
      <c r="U974" s="30"/>
    </row>
    <row r="975" spans="1:21" s="29" customFormat="1">
      <c r="A975" s="32"/>
      <c r="B975" s="32"/>
      <c r="C975" s="32"/>
      <c r="D975" s="32"/>
      <c r="E975" s="32"/>
      <c r="F975" s="33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30"/>
      <c r="T975" s="30"/>
      <c r="U975" s="30"/>
    </row>
    <row r="976" spans="1:21" s="29" customFormat="1">
      <c r="A976" s="32"/>
      <c r="B976" s="32"/>
      <c r="C976" s="32"/>
      <c r="D976" s="32"/>
      <c r="E976" s="32"/>
      <c r="F976" s="33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30"/>
      <c r="T976" s="30"/>
      <c r="U976" s="30"/>
    </row>
    <row r="977" spans="1:21" s="29" customFormat="1">
      <c r="A977" s="32"/>
      <c r="B977" s="32"/>
      <c r="C977" s="32"/>
      <c r="D977" s="32"/>
      <c r="E977" s="32"/>
      <c r="F977" s="33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30"/>
      <c r="T977" s="30"/>
      <c r="U977" s="30"/>
    </row>
    <row r="978" spans="1:21" s="29" customFormat="1">
      <c r="A978" s="32"/>
      <c r="B978" s="32"/>
      <c r="C978" s="32"/>
      <c r="D978" s="32"/>
      <c r="E978" s="32"/>
      <c r="F978" s="33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30"/>
      <c r="T978" s="30"/>
      <c r="U978" s="30"/>
    </row>
    <row r="979" spans="1:21" s="29" customFormat="1">
      <c r="A979" s="32"/>
      <c r="B979" s="32"/>
      <c r="C979" s="32"/>
      <c r="D979" s="32"/>
      <c r="E979" s="32"/>
      <c r="F979" s="33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30"/>
      <c r="T979" s="30"/>
      <c r="U979" s="30"/>
    </row>
    <row r="980" spans="1:21" s="29" customFormat="1">
      <c r="A980" s="32"/>
      <c r="B980" s="32"/>
      <c r="C980" s="32"/>
      <c r="D980" s="32"/>
      <c r="E980" s="32"/>
      <c r="F980" s="33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30"/>
    </row>
    <row r="981" spans="1:21" s="29" customFormat="1">
      <c r="A981" s="32"/>
      <c r="B981" s="32"/>
      <c r="C981" s="32"/>
      <c r="D981" s="32"/>
      <c r="E981" s="32"/>
      <c r="F981" s="33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30"/>
    </row>
    <row r="982" spans="1:21" s="29" customFormat="1">
      <c r="A982" s="32"/>
      <c r="B982" s="32"/>
      <c r="C982" s="32"/>
      <c r="D982" s="32"/>
      <c r="E982" s="32"/>
      <c r="F982" s="33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30"/>
    </row>
    <row r="983" spans="1:21" s="29" customFormat="1">
      <c r="A983" s="32"/>
      <c r="B983" s="32"/>
      <c r="C983" s="32"/>
      <c r="D983" s="32"/>
      <c r="E983" s="32"/>
      <c r="F983" s="33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30"/>
    </row>
    <row r="984" spans="1:21" s="29" customFormat="1">
      <c r="A984" s="32"/>
      <c r="B984" s="32"/>
      <c r="C984" s="32"/>
      <c r="D984" s="32"/>
      <c r="E984" s="32"/>
      <c r="F984" s="33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30"/>
      <c r="T984" s="30"/>
      <c r="U984" s="30"/>
    </row>
    <row r="985" spans="1:21" s="29" customFormat="1">
      <c r="A985" s="32"/>
      <c r="B985" s="32"/>
      <c r="C985" s="32"/>
      <c r="D985" s="32"/>
      <c r="E985" s="32"/>
      <c r="F985" s="33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30"/>
      <c r="T985" s="30"/>
      <c r="U985" s="30"/>
    </row>
    <row r="986" spans="1:21" s="29" customFormat="1">
      <c r="A986" s="32"/>
      <c r="B986" s="32"/>
      <c r="C986" s="32"/>
      <c r="D986" s="32"/>
      <c r="E986" s="32"/>
      <c r="F986" s="33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30"/>
      <c r="T986" s="30"/>
      <c r="U986" s="30"/>
    </row>
    <row r="987" spans="1:21" s="29" customFormat="1">
      <c r="A987" s="32"/>
      <c r="B987" s="32"/>
      <c r="C987" s="32"/>
      <c r="D987" s="32"/>
      <c r="E987" s="32"/>
      <c r="F987" s="33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30"/>
      <c r="T987" s="30"/>
      <c r="U987" s="30"/>
    </row>
    <row r="988" spans="1:21" s="29" customFormat="1">
      <c r="A988" s="32"/>
      <c r="B988" s="32"/>
      <c r="C988" s="32"/>
      <c r="D988" s="32"/>
      <c r="E988" s="32"/>
      <c r="F988" s="33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30"/>
      <c r="T988" s="30"/>
      <c r="U988" s="30"/>
    </row>
    <row r="989" spans="1:21" s="29" customFormat="1">
      <c r="A989" s="32"/>
      <c r="B989" s="32"/>
      <c r="C989" s="32"/>
      <c r="D989" s="32"/>
      <c r="E989" s="32"/>
      <c r="F989" s="33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30"/>
      <c r="T989" s="30"/>
      <c r="U989" s="30"/>
    </row>
    <row r="990" spans="1:21" s="29" customFormat="1">
      <c r="A990" s="32"/>
      <c r="B990" s="32"/>
      <c r="C990" s="32"/>
      <c r="D990" s="32"/>
      <c r="E990" s="32"/>
      <c r="F990" s="33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30"/>
      <c r="T990" s="30"/>
      <c r="U990" s="30"/>
    </row>
    <row r="991" spans="1:21" s="29" customFormat="1">
      <c r="A991" s="32"/>
      <c r="B991" s="32"/>
      <c r="C991" s="32"/>
      <c r="D991" s="32"/>
      <c r="E991" s="32"/>
      <c r="F991" s="33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30"/>
      <c r="T991" s="30"/>
      <c r="U991" s="30"/>
    </row>
    <row r="992" spans="1:21" s="29" customFormat="1">
      <c r="A992" s="32"/>
      <c r="B992" s="32"/>
      <c r="C992" s="32"/>
      <c r="D992" s="32"/>
      <c r="E992" s="32"/>
      <c r="F992" s="33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30"/>
      <c r="T992" s="30"/>
      <c r="U992" s="30"/>
    </row>
    <row r="993" spans="1:21" s="29" customFormat="1">
      <c r="A993" s="32"/>
      <c r="B993" s="32"/>
      <c r="C993" s="32"/>
      <c r="D993" s="32"/>
      <c r="E993" s="32"/>
      <c r="F993" s="33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30"/>
      <c r="T993" s="30"/>
      <c r="U993" s="30"/>
    </row>
    <row r="994" spans="1:21" s="29" customFormat="1">
      <c r="A994" s="32"/>
      <c r="B994" s="32"/>
      <c r="C994" s="32"/>
      <c r="D994" s="32"/>
      <c r="E994" s="32"/>
      <c r="F994" s="33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30"/>
      <c r="T994" s="30"/>
      <c r="U994" s="30"/>
    </row>
    <row r="995" spans="1:21" s="29" customFormat="1">
      <c r="A995" s="32"/>
      <c r="B995" s="32"/>
      <c r="C995" s="32"/>
      <c r="D995" s="32"/>
      <c r="E995" s="32"/>
      <c r="F995" s="33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30"/>
      <c r="T995" s="30"/>
      <c r="U995" s="30"/>
    </row>
    <row r="996" spans="1:21" s="29" customFormat="1">
      <c r="A996" s="32"/>
      <c r="B996" s="32"/>
      <c r="C996" s="32"/>
      <c r="D996" s="32"/>
      <c r="E996" s="32"/>
      <c r="F996" s="33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30"/>
      <c r="T996" s="30"/>
      <c r="U996" s="30"/>
    </row>
    <row r="997" spans="1:21" s="29" customFormat="1">
      <c r="A997" s="32"/>
      <c r="B997" s="32"/>
      <c r="C997" s="32"/>
      <c r="D997" s="32"/>
      <c r="E997" s="32"/>
      <c r="F997" s="33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30"/>
      <c r="T997" s="30"/>
      <c r="U997" s="30"/>
    </row>
    <row r="998" spans="1:21" s="29" customFormat="1">
      <c r="A998" s="32"/>
      <c r="B998" s="32"/>
      <c r="C998" s="32"/>
      <c r="D998" s="32"/>
      <c r="E998" s="32"/>
      <c r="F998" s="33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30"/>
      <c r="T998" s="30"/>
      <c r="U998" s="30"/>
    </row>
    <row r="999" spans="1:21" s="29" customFormat="1">
      <c r="A999" s="32"/>
      <c r="B999" s="32"/>
      <c r="C999" s="32"/>
      <c r="D999" s="32"/>
      <c r="E999" s="32"/>
      <c r="F999" s="33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30"/>
      <c r="T999" s="30"/>
      <c r="U999" s="30"/>
    </row>
    <row r="1000" spans="1:21" s="29" customFormat="1">
      <c r="A1000" s="31"/>
      <c r="B1000" s="30"/>
      <c r="C1000" s="30"/>
      <c r="D1000" s="30"/>
      <c r="F1000" s="30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30"/>
      <c r="T1000" s="30"/>
      <c r="U1000" s="30"/>
    </row>
    <row r="1001" spans="1:21"/>
  </sheetData>
  <sortState ref="A2:F1001">
    <sortCondition ref="A2:A2000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59999389629810485"/>
  </sheetPr>
  <dimension ref="A1:V40"/>
  <sheetViews>
    <sheetView showGridLines="0" zoomScale="85" zoomScaleNormal="85" workbookViewId="0"/>
  </sheetViews>
  <sheetFormatPr defaultColWidth="0" defaultRowHeight="15" zeroHeight="1"/>
  <cols>
    <col min="1" max="18" width="9.140625" style="57" customWidth="1"/>
    <col min="19" max="22" width="0" style="57" hidden="1" customWidth="1"/>
    <col min="23" max="16384" width="9.140625" style="57" hidden="1"/>
  </cols>
  <sheetData>
    <row r="1" spans="1:21" ht="24" customHeight="1">
      <c r="A1" s="81" t="s">
        <v>3543</v>
      </c>
      <c r="B1" s="81"/>
      <c r="C1" s="81"/>
      <c r="D1" s="81"/>
      <c r="E1" s="81"/>
      <c r="F1" s="81"/>
      <c r="G1" s="82"/>
      <c r="H1" s="82"/>
      <c r="I1" s="82"/>
      <c r="J1" s="82"/>
      <c r="K1" s="82"/>
      <c r="L1" s="82"/>
      <c r="M1" s="83"/>
      <c r="N1" s="84"/>
      <c r="O1" s="82"/>
      <c r="P1" s="82"/>
      <c r="Q1" s="82"/>
      <c r="R1" s="82"/>
    </row>
    <row r="2" spans="1:21" s="95" customFormat="1" ht="15.75" thickBot="1">
      <c r="A2" s="93"/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4"/>
    </row>
    <row r="3" spans="1:21">
      <c r="A3" s="85"/>
      <c r="B3" s="85"/>
      <c r="C3" s="85"/>
      <c r="D3" s="85"/>
      <c r="E3" s="85"/>
      <c r="F3" s="85"/>
      <c r="G3" s="85"/>
      <c r="H3" s="86"/>
      <c r="I3" s="86"/>
      <c r="J3" s="86"/>
      <c r="K3" s="86"/>
      <c r="L3" s="359" t="s">
        <v>3544</v>
      </c>
      <c r="M3" s="359"/>
      <c r="N3" s="359"/>
      <c r="O3" s="359"/>
      <c r="P3" s="359"/>
      <c r="Q3" s="86"/>
      <c r="R3" s="86"/>
    </row>
    <row r="4" spans="1:21" ht="15.75" thickBot="1">
      <c r="A4" s="85"/>
      <c r="B4" s="85"/>
      <c r="C4" s="85"/>
      <c r="D4" s="85"/>
      <c r="E4" s="85"/>
      <c r="F4" s="85"/>
      <c r="G4" s="85"/>
      <c r="H4" s="86"/>
      <c r="I4" s="87"/>
      <c r="J4" s="87"/>
      <c r="K4" s="87"/>
      <c r="L4" s="359"/>
      <c r="M4" s="359"/>
      <c r="N4" s="359"/>
      <c r="O4" s="359"/>
      <c r="P4" s="359"/>
      <c r="Q4" s="86"/>
      <c r="R4" s="86"/>
    </row>
    <row r="5" spans="1:21" ht="15.75" thickBot="1">
      <c r="A5" s="85"/>
      <c r="B5" s="85"/>
      <c r="C5" s="85"/>
      <c r="D5" s="85"/>
      <c r="E5" s="85"/>
      <c r="F5" s="85"/>
      <c r="G5" s="85"/>
      <c r="H5" s="86"/>
      <c r="I5" s="87"/>
      <c r="J5" s="87"/>
      <c r="K5" s="87"/>
      <c r="L5" s="360"/>
      <c r="M5" s="361"/>
      <c r="N5" s="86"/>
      <c r="O5" s="362"/>
      <c r="P5" s="362"/>
      <c r="Q5" s="86"/>
      <c r="R5" s="86"/>
    </row>
    <row r="6" spans="1:21">
      <c r="A6" s="85"/>
      <c r="B6" s="85"/>
      <c r="C6" s="85"/>
      <c r="D6" s="85"/>
      <c r="E6" s="85"/>
      <c r="F6" s="85"/>
      <c r="G6" s="85"/>
      <c r="H6" s="86"/>
      <c r="I6" s="87"/>
      <c r="J6" s="87"/>
      <c r="K6" s="87"/>
      <c r="L6" s="86"/>
      <c r="M6" s="86"/>
      <c r="N6" s="86"/>
      <c r="O6" s="86"/>
      <c r="P6" s="86"/>
      <c r="Q6" s="86"/>
      <c r="R6" s="86"/>
    </row>
    <row r="7" spans="1:21">
      <c r="A7" s="88"/>
      <c r="B7" s="88"/>
      <c r="C7" s="88"/>
      <c r="D7" s="88"/>
      <c r="E7" s="88"/>
      <c r="F7" s="88"/>
      <c r="G7" s="88"/>
      <c r="H7" s="87"/>
      <c r="I7" s="87"/>
      <c r="J7" s="352" t="s">
        <v>3545</v>
      </c>
      <c r="K7" s="352"/>
      <c r="L7" s="352"/>
      <c r="M7" s="352"/>
      <c r="N7" s="352"/>
      <c r="O7" s="352"/>
      <c r="P7" s="352"/>
      <c r="Q7" s="86"/>
      <c r="R7" s="86"/>
    </row>
    <row r="8" spans="1:21">
      <c r="A8" s="363" t="s">
        <v>3559</v>
      </c>
      <c r="B8" s="363"/>
      <c r="C8" s="363"/>
      <c r="D8" s="363"/>
      <c r="E8" s="363"/>
      <c r="F8" s="363"/>
      <c r="G8" s="363"/>
      <c r="H8" s="363"/>
      <c r="I8" s="363"/>
      <c r="J8" s="86"/>
      <c r="K8" s="87"/>
      <c r="L8" s="357"/>
      <c r="M8" s="357"/>
      <c r="N8" s="87"/>
      <c r="O8" s="87"/>
      <c r="P8" s="87"/>
      <c r="Q8" s="86"/>
      <c r="R8" s="350"/>
    </row>
    <row r="9" spans="1:21">
      <c r="A9" s="363"/>
      <c r="B9" s="363"/>
      <c r="C9" s="363"/>
      <c r="D9" s="363"/>
      <c r="E9" s="363"/>
      <c r="F9" s="363"/>
      <c r="G9" s="363"/>
      <c r="H9" s="363"/>
      <c r="I9" s="363"/>
      <c r="J9" s="87"/>
      <c r="K9" s="87"/>
      <c r="L9" s="357"/>
      <c r="M9" s="357"/>
      <c r="N9" s="87"/>
      <c r="O9" s="87"/>
      <c r="P9" s="87"/>
      <c r="Q9" s="86"/>
      <c r="R9" s="351"/>
    </row>
    <row r="10" spans="1:21">
      <c r="A10" s="88"/>
      <c r="B10" s="88"/>
      <c r="C10" s="88"/>
      <c r="D10" s="88"/>
      <c r="E10" s="88"/>
      <c r="F10" s="88"/>
      <c r="G10" s="88"/>
      <c r="H10" s="87"/>
      <c r="I10" s="87"/>
      <c r="J10" s="87"/>
      <c r="K10" s="87"/>
      <c r="L10" s="87"/>
      <c r="M10" s="87"/>
      <c r="N10" s="87"/>
      <c r="O10" s="87"/>
      <c r="P10" s="87"/>
      <c r="Q10" s="86"/>
      <c r="R10" s="351"/>
    </row>
    <row r="11" spans="1:21" ht="15.75" thickBot="1">
      <c r="A11" s="85"/>
      <c r="B11" s="85"/>
      <c r="C11" s="85"/>
      <c r="D11" s="85"/>
      <c r="E11" s="85"/>
      <c r="F11" s="85"/>
      <c r="G11" s="85"/>
      <c r="H11" s="86"/>
      <c r="I11" s="87"/>
      <c r="J11" s="87"/>
      <c r="K11" s="87"/>
      <c r="L11" s="352" t="s">
        <v>3546</v>
      </c>
      <c r="M11" s="352"/>
      <c r="N11" s="89"/>
      <c r="O11" s="352" t="s">
        <v>3547</v>
      </c>
      <c r="P11" s="352"/>
      <c r="Q11" s="86"/>
      <c r="R11" s="351"/>
    </row>
    <row r="12" spans="1:21">
      <c r="A12" s="363" t="s">
        <v>3560</v>
      </c>
      <c r="B12" s="363"/>
      <c r="C12" s="363"/>
      <c r="D12" s="363"/>
      <c r="E12" s="363"/>
      <c r="F12" s="363"/>
      <c r="G12" s="363"/>
      <c r="H12" s="86"/>
      <c r="I12" s="87"/>
      <c r="J12" s="86"/>
      <c r="K12" s="86"/>
      <c r="L12" s="353"/>
      <c r="M12" s="354"/>
      <c r="N12" s="86"/>
      <c r="O12" s="357"/>
      <c r="P12" s="357"/>
      <c r="Q12" s="86"/>
      <c r="R12" s="351"/>
    </row>
    <row r="13" spans="1:21" ht="15.75" thickBot="1">
      <c r="A13" s="363"/>
      <c r="B13" s="363"/>
      <c r="C13" s="363"/>
      <c r="D13" s="363"/>
      <c r="E13" s="363"/>
      <c r="F13" s="363"/>
      <c r="G13" s="363"/>
      <c r="H13" s="86"/>
      <c r="I13" s="87"/>
      <c r="J13" s="86"/>
      <c r="K13" s="86"/>
      <c r="L13" s="355"/>
      <c r="M13" s="356"/>
      <c r="N13" s="86"/>
      <c r="O13" s="357"/>
      <c r="P13" s="357"/>
      <c r="Q13" s="86"/>
      <c r="R13" s="351"/>
      <c r="U13" s="57">
        <v>-1220.92139</v>
      </c>
    </row>
    <row r="14" spans="1:21">
      <c r="A14" s="85"/>
      <c r="B14" s="85"/>
      <c r="C14" s="85"/>
      <c r="D14" s="85"/>
      <c r="E14" s="85"/>
      <c r="F14" s="85"/>
      <c r="G14" s="85"/>
      <c r="H14" s="86"/>
      <c r="I14" s="87"/>
      <c r="J14" s="87"/>
      <c r="K14" s="87"/>
      <c r="L14" s="86"/>
      <c r="M14" s="86"/>
      <c r="N14" s="86"/>
      <c r="O14" s="86"/>
      <c r="P14" s="86"/>
      <c r="Q14" s="86"/>
      <c r="R14" s="351"/>
    </row>
    <row r="15" spans="1:21" ht="15.75" thickBot="1">
      <c r="A15" s="85"/>
      <c r="B15" s="85"/>
      <c r="C15" s="85"/>
      <c r="D15" s="85"/>
      <c r="E15" s="85"/>
      <c r="F15" s="85"/>
      <c r="G15" s="85"/>
      <c r="H15" s="86"/>
      <c r="I15" s="87"/>
      <c r="J15" s="87"/>
      <c r="K15" s="87"/>
      <c r="L15" s="352" t="s">
        <v>3548</v>
      </c>
      <c r="M15" s="352"/>
      <c r="N15" s="86"/>
      <c r="O15" s="352" t="s">
        <v>3549</v>
      </c>
      <c r="P15" s="352"/>
      <c r="Q15" s="86"/>
      <c r="R15" s="351"/>
    </row>
    <row r="16" spans="1:21" ht="18">
      <c r="A16" s="90" t="s">
        <v>3561</v>
      </c>
      <c r="B16" s="90"/>
      <c r="C16" s="90"/>
      <c r="D16" s="90"/>
      <c r="E16" s="90"/>
      <c r="F16" s="90"/>
      <c r="G16" s="90"/>
      <c r="H16" s="86"/>
      <c r="I16" s="87"/>
      <c r="J16" s="86"/>
      <c r="K16" s="86"/>
      <c r="L16" s="353"/>
      <c r="M16" s="354"/>
      <c r="N16" s="86"/>
      <c r="O16" s="357"/>
      <c r="P16" s="357"/>
      <c r="Q16" s="86"/>
      <c r="R16" s="351"/>
    </row>
    <row r="17" spans="1:18" ht="18.75" thickBot="1">
      <c r="A17" s="90"/>
      <c r="B17" s="90"/>
      <c r="C17" s="90"/>
      <c r="D17" s="90"/>
      <c r="E17" s="90"/>
      <c r="F17" s="90"/>
      <c r="G17" s="90"/>
      <c r="H17" s="86"/>
      <c r="I17" s="87"/>
      <c r="J17" s="87"/>
      <c r="K17" s="87"/>
      <c r="L17" s="355"/>
      <c r="M17" s="356"/>
      <c r="N17" s="86"/>
      <c r="O17" s="357"/>
      <c r="P17" s="357"/>
      <c r="Q17" s="86"/>
      <c r="R17" s="86"/>
    </row>
    <row r="18" spans="1:18">
      <c r="A18" s="85"/>
      <c r="B18" s="85"/>
      <c r="C18" s="85"/>
      <c r="D18" s="85"/>
      <c r="E18" s="85"/>
      <c r="F18" s="85"/>
      <c r="G18" s="85"/>
      <c r="H18" s="86"/>
      <c r="I18" s="87"/>
      <c r="J18" s="87"/>
      <c r="K18" s="87"/>
      <c r="L18" s="86"/>
      <c r="M18" s="86"/>
      <c r="N18" s="86"/>
      <c r="O18" s="86"/>
      <c r="P18" s="86"/>
      <c r="Q18" s="86"/>
      <c r="R18" s="86"/>
    </row>
    <row r="19" spans="1:18" ht="15.75" thickBot="1">
      <c r="A19" s="88"/>
      <c r="B19" s="88"/>
      <c r="C19" s="88"/>
      <c r="D19" s="88"/>
      <c r="E19" s="88"/>
      <c r="F19" s="88"/>
      <c r="G19" s="88"/>
      <c r="H19" s="87"/>
      <c r="I19" s="87"/>
      <c r="J19" s="87"/>
      <c r="K19" s="87"/>
      <c r="L19" s="352" t="s">
        <v>3550</v>
      </c>
      <c r="M19" s="352"/>
      <c r="N19" s="87"/>
      <c r="O19" s="352" t="s">
        <v>3551</v>
      </c>
      <c r="P19" s="352"/>
      <c r="Q19" s="86"/>
      <c r="R19" s="86"/>
    </row>
    <row r="20" spans="1:18" ht="18">
      <c r="A20" s="90" t="s">
        <v>3552</v>
      </c>
      <c r="B20" s="90"/>
      <c r="C20" s="90"/>
      <c r="D20" s="90"/>
      <c r="E20" s="90"/>
      <c r="F20" s="90"/>
      <c r="G20" s="90"/>
      <c r="H20" s="90"/>
      <c r="I20" s="90"/>
      <c r="J20" s="86"/>
      <c r="K20" s="86"/>
      <c r="L20" s="353"/>
      <c r="M20" s="354"/>
      <c r="N20" s="87"/>
      <c r="O20" s="357"/>
      <c r="P20" s="357"/>
      <c r="Q20" s="86"/>
      <c r="R20" s="86"/>
    </row>
    <row r="21" spans="1:18" ht="18.75" thickBot="1">
      <c r="A21" s="90"/>
      <c r="B21" s="90"/>
      <c r="C21" s="90"/>
      <c r="D21" s="90"/>
      <c r="E21" s="90"/>
      <c r="F21" s="90"/>
      <c r="G21" s="90"/>
      <c r="H21" s="90"/>
      <c r="I21" s="90"/>
      <c r="J21" s="87"/>
      <c r="K21" s="87"/>
      <c r="L21" s="355"/>
      <c r="M21" s="356"/>
      <c r="N21" s="87"/>
      <c r="O21" s="357"/>
      <c r="P21" s="357"/>
      <c r="Q21" s="86"/>
      <c r="R21" s="86"/>
    </row>
    <row r="22" spans="1:18">
      <c r="A22" s="88"/>
      <c r="B22" s="88"/>
      <c r="C22" s="88"/>
      <c r="D22" s="88"/>
      <c r="E22" s="88"/>
      <c r="F22" s="88"/>
      <c r="G22" s="88"/>
      <c r="H22" s="87"/>
      <c r="I22" s="87"/>
      <c r="J22" s="87"/>
      <c r="K22" s="87"/>
      <c r="L22" s="87"/>
      <c r="M22" s="87"/>
      <c r="N22" s="87"/>
      <c r="O22" s="87"/>
      <c r="P22" s="87"/>
      <c r="Q22" s="86"/>
      <c r="R22" s="86"/>
    </row>
    <row r="23" spans="1:18" ht="15.75" thickBot="1">
      <c r="A23" s="91"/>
      <c r="B23" s="91"/>
      <c r="C23" s="91"/>
      <c r="D23" s="85"/>
      <c r="E23" s="85"/>
      <c r="F23" s="85"/>
      <c r="G23" s="85"/>
      <c r="H23" s="86"/>
      <c r="I23" s="87"/>
      <c r="J23" s="87"/>
      <c r="K23" s="87"/>
      <c r="L23" s="352" t="s">
        <v>3553</v>
      </c>
      <c r="M23" s="352"/>
      <c r="N23" s="87"/>
      <c r="O23" s="352" t="s">
        <v>3554</v>
      </c>
      <c r="P23" s="352"/>
      <c r="Q23" s="96"/>
      <c r="R23" s="86"/>
    </row>
    <row r="24" spans="1:18" ht="18">
      <c r="A24" s="90" t="s">
        <v>3553</v>
      </c>
      <c r="B24" s="90"/>
      <c r="C24" s="90"/>
      <c r="D24" s="90"/>
      <c r="E24" s="90"/>
      <c r="F24" s="90"/>
      <c r="G24" s="90"/>
      <c r="H24" s="86"/>
      <c r="I24" s="87"/>
      <c r="J24" s="86"/>
      <c r="K24" s="86"/>
      <c r="L24" s="368"/>
      <c r="M24" s="369"/>
      <c r="N24" s="86"/>
      <c r="O24" s="349"/>
      <c r="P24" s="349"/>
      <c r="Q24" s="86"/>
      <c r="R24" s="350"/>
    </row>
    <row r="25" spans="1:18" ht="18.75" thickBot="1">
      <c r="A25" s="90"/>
      <c r="B25" s="90"/>
      <c r="C25" s="90"/>
      <c r="D25" s="90"/>
      <c r="E25" s="90"/>
      <c r="F25" s="90"/>
      <c r="G25" s="90"/>
      <c r="H25" s="86"/>
      <c r="I25" s="87"/>
      <c r="J25" s="87"/>
      <c r="K25" s="87"/>
      <c r="L25" s="370"/>
      <c r="M25" s="371"/>
      <c r="N25" s="86"/>
      <c r="O25" s="349"/>
      <c r="P25" s="349"/>
      <c r="Q25" s="86"/>
      <c r="R25" s="351"/>
    </row>
    <row r="26" spans="1:18">
      <c r="A26" s="88"/>
      <c r="B26" s="88"/>
      <c r="C26" s="88"/>
      <c r="D26" s="88"/>
      <c r="E26" s="88"/>
      <c r="F26" s="88"/>
      <c r="G26" s="88"/>
      <c r="H26" s="87"/>
      <c r="I26" s="87"/>
      <c r="J26" s="87"/>
      <c r="K26" s="87"/>
      <c r="L26" s="87"/>
      <c r="M26" s="87"/>
      <c r="N26" s="87"/>
      <c r="O26" s="87"/>
      <c r="P26" s="87"/>
      <c r="Q26" s="86"/>
      <c r="R26" s="351"/>
    </row>
    <row r="27" spans="1:18" ht="15.75" thickBot="1">
      <c r="A27" s="91"/>
      <c r="B27" s="91"/>
      <c r="C27" s="91"/>
      <c r="D27" s="85"/>
      <c r="E27" s="85"/>
      <c r="F27" s="85"/>
      <c r="G27" s="85"/>
      <c r="H27" s="86"/>
      <c r="I27" s="87"/>
      <c r="J27" s="87"/>
      <c r="K27" s="87"/>
      <c r="L27" s="352" t="s">
        <v>3546</v>
      </c>
      <c r="M27" s="352"/>
      <c r="N27" s="86"/>
      <c r="O27" s="352" t="s">
        <v>3547</v>
      </c>
      <c r="P27" s="352"/>
      <c r="Q27" s="87"/>
      <c r="R27" s="351"/>
    </row>
    <row r="28" spans="1:18" ht="18">
      <c r="A28" s="90" t="s">
        <v>3555</v>
      </c>
      <c r="B28" s="90"/>
      <c r="C28" s="90"/>
      <c r="D28" s="90"/>
      <c r="E28" s="90"/>
      <c r="F28" s="90"/>
      <c r="G28" s="90"/>
      <c r="H28" s="86"/>
      <c r="I28" s="87"/>
      <c r="J28" s="86"/>
      <c r="K28" s="86"/>
      <c r="L28" s="364"/>
      <c r="M28" s="365"/>
      <c r="N28" s="86"/>
      <c r="O28" s="358"/>
      <c r="P28" s="358"/>
      <c r="Q28" s="86"/>
      <c r="R28" s="351"/>
    </row>
    <row r="29" spans="1:18" ht="18.75" thickBot="1">
      <c r="A29" s="90"/>
      <c r="B29" s="90"/>
      <c r="C29" s="90"/>
      <c r="D29" s="90"/>
      <c r="E29" s="90"/>
      <c r="F29" s="90"/>
      <c r="G29" s="90"/>
      <c r="H29" s="86"/>
      <c r="I29" s="87"/>
      <c r="J29" s="87"/>
      <c r="K29" s="87"/>
      <c r="L29" s="366"/>
      <c r="M29" s="367"/>
      <c r="N29" s="86"/>
      <c r="O29" s="358"/>
      <c r="P29" s="358"/>
      <c r="Q29" s="86"/>
      <c r="R29" s="351"/>
    </row>
    <row r="30" spans="1:18">
      <c r="A30" s="91"/>
      <c r="B30" s="91"/>
      <c r="C30" s="91"/>
      <c r="D30" s="85"/>
      <c r="E30" s="85"/>
      <c r="F30" s="85"/>
      <c r="G30" s="85"/>
      <c r="H30" s="86"/>
      <c r="I30" s="87"/>
      <c r="J30" s="87"/>
      <c r="K30" s="87"/>
      <c r="L30" s="87"/>
      <c r="M30" s="87"/>
      <c r="N30" s="87"/>
      <c r="O30" s="87"/>
      <c r="P30" s="87"/>
      <c r="Q30" s="86"/>
      <c r="R30" s="351"/>
    </row>
    <row r="31" spans="1:18">
      <c r="A31" s="85"/>
      <c r="B31" s="85"/>
      <c r="C31" s="85"/>
      <c r="D31" s="85"/>
      <c r="E31" s="85"/>
      <c r="F31" s="85"/>
      <c r="G31" s="85"/>
      <c r="H31" s="86"/>
      <c r="I31" s="87"/>
      <c r="J31" s="87"/>
      <c r="K31" s="87"/>
      <c r="L31" s="352" t="s">
        <v>3546</v>
      </c>
      <c r="M31" s="352"/>
      <c r="N31" s="86"/>
      <c r="O31" s="352" t="s">
        <v>3547</v>
      </c>
      <c r="P31" s="352"/>
      <c r="Q31" s="86"/>
      <c r="R31" s="351"/>
    </row>
    <row r="32" spans="1:18" ht="18">
      <c r="A32" s="90" t="s">
        <v>3556</v>
      </c>
      <c r="B32" s="90"/>
      <c r="C32" s="90"/>
      <c r="D32" s="90"/>
      <c r="E32" s="90"/>
      <c r="F32" s="90"/>
      <c r="G32" s="90"/>
      <c r="H32" s="86"/>
      <c r="I32" s="87"/>
      <c r="J32" s="86"/>
      <c r="K32" s="86"/>
      <c r="L32" s="358"/>
      <c r="M32" s="358"/>
      <c r="N32" s="86"/>
      <c r="O32" s="358"/>
      <c r="P32" s="358"/>
      <c r="Q32" s="86"/>
      <c r="R32" s="351"/>
    </row>
    <row r="33" spans="1:18" ht="18">
      <c r="A33" s="90"/>
      <c r="B33" s="90"/>
      <c r="C33" s="90"/>
      <c r="D33" s="90"/>
      <c r="E33" s="90"/>
      <c r="F33" s="90"/>
      <c r="G33" s="90"/>
      <c r="H33" s="86"/>
      <c r="I33" s="87"/>
      <c r="J33" s="87"/>
      <c r="K33" s="87"/>
      <c r="L33" s="358"/>
      <c r="M33" s="358"/>
      <c r="N33" s="86"/>
      <c r="O33" s="358"/>
      <c r="P33" s="358"/>
      <c r="Q33" s="86"/>
      <c r="R33" s="86"/>
    </row>
    <row r="34" spans="1:18">
      <c r="A34" s="91"/>
      <c r="B34" s="91"/>
      <c r="C34" s="91"/>
      <c r="D34" s="85"/>
      <c r="E34" s="85"/>
      <c r="F34" s="85"/>
      <c r="G34" s="85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</row>
    <row r="35" spans="1:18">
      <c r="A35" s="91"/>
      <c r="B35" s="91"/>
      <c r="C35" s="91"/>
      <c r="D35" s="85"/>
      <c r="E35" s="85"/>
      <c r="F35" s="85"/>
      <c r="G35" s="85"/>
      <c r="H35" s="86"/>
      <c r="I35" s="86"/>
      <c r="J35" s="86"/>
      <c r="K35" s="86"/>
      <c r="L35" s="92" t="s">
        <v>3557</v>
      </c>
      <c r="M35" s="92"/>
      <c r="N35" s="86"/>
      <c r="O35" s="86"/>
      <c r="P35" s="86"/>
      <c r="Q35" s="86"/>
      <c r="R35" s="86"/>
    </row>
    <row r="36" spans="1:18" ht="18">
      <c r="A36" s="90" t="s">
        <v>3558</v>
      </c>
      <c r="B36" s="91"/>
      <c r="C36" s="91"/>
      <c r="D36" s="85"/>
      <c r="E36" s="85"/>
      <c r="F36" s="85"/>
      <c r="G36" s="85"/>
      <c r="H36" s="86"/>
      <c r="I36" s="86"/>
      <c r="J36" s="86"/>
      <c r="K36" s="86"/>
      <c r="L36" s="349"/>
      <c r="M36" s="349"/>
      <c r="N36" s="86"/>
      <c r="O36" s="86"/>
      <c r="P36" s="86"/>
      <c r="Q36" s="86"/>
      <c r="R36" s="86"/>
    </row>
    <row r="37" spans="1:18">
      <c r="A37" s="91"/>
      <c r="B37" s="91"/>
      <c r="C37" s="91"/>
      <c r="D37" s="85"/>
      <c r="E37" s="85"/>
      <c r="F37" s="85"/>
      <c r="G37" s="85"/>
      <c r="H37" s="86"/>
      <c r="I37" s="86"/>
      <c r="J37" s="86"/>
      <c r="K37" s="86"/>
      <c r="L37" s="349"/>
      <c r="M37" s="349"/>
      <c r="N37" s="86"/>
      <c r="O37" s="86"/>
      <c r="P37" s="86"/>
      <c r="Q37" s="86"/>
      <c r="R37" s="86"/>
    </row>
    <row r="38" spans="1:18"/>
    <row r="39" spans="1:18"/>
    <row r="40" spans="1:18"/>
  </sheetData>
  <mergeCells count="34">
    <mergeCell ref="A12:G13"/>
    <mergeCell ref="L27:M27"/>
    <mergeCell ref="O27:P27"/>
    <mergeCell ref="L28:M29"/>
    <mergeCell ref="O28:P29"/>
    <mergeCell ref="L24:M25"/>
    <mergeCell ref="O24:P25"/>
    <mergeCell ref="L16:M17"/>
    <mergeCell ref="O16:P17"/>
    <mergeCell ref="L15:M15"/>
    <mergeCell ref="O15:P15"/>
    <mergeCell ref="L12:M13"/>
    <mergeCell ref="O12:P13"/>
    <mergeCell ref="L3:P4"/>
    <mergeCell ref="L5:M5"/>
    <mergeCell ref="O5:P5"/>
    <mergeCell ref="J7:P7"/>
    <mergeCell ref="A8:I9"/>
    <mergeCell ref="L8:M9"/>
    <mergeCell ref="L36:M37"/>
    <mergeCell ref="R8:R16"/>
    <mergeCell ref="R24:R32"/>
    <mergeCell ref="L19:M19"/>
    <mergeCell ref="O19:P19"/>
    <mergeCell ref="L20:M21"/>
    <mergeCell ref="O20:P21"/>
    <mergeCell ref="L23:M23"/>
    <mergeCell ref="O23:P23"/>
    <mergeCell ref="L11:M11"/>
    <mergeCell ref="O11:P11"/>
    <mergeCell ref="L31:M31"/>
    <mergeCell ref="O31:P31"/>
    <mergeCell ref="L32:M33"/>
    <mergeCell ref="O32:P3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9" tint="0.79998168889431442"/>
  </sheetPr>
  <dimension ref="A1:AR415"/>
  <sheetViews>
    <sheetView showGridLines="0" zoomScaleNormal="100" workbookViewId="0"/>
  </sheetViews>
  <sheetFormatPr defaultColWidth="9.140625" defaultRowHeight="15"/>
  <cols>
    <col min="1" max="1" width="4.42578125" style="99" customWidth="1"/>
    <col min="2" max="2" width="17.5703125" style="99" customWidth="1"/>
    <col min="3" max="3" width="15.5703125" style="99" customWidth="1"/>
    <col min="4" max="4" width="10.42578125" style="99" customWidth="1"/>
    <col min="5" max="5" width="10.28515625" style="99" customWidth="1"/>
    <col min="6" max="6" width="18.7109375" style="99" customWidth="1"/>
    <col min="7" max="8" width="9.140625" style="99" customWidth="1"/>
    <col min="9" max="9" width="10" style="99" customWidth="1"/>
    <col min="10" max="10" width="9.140625" style="99" customWidth="1"/>
    <col min="11" max="11" width="11.140625" style="99" bestFit="1" customWidth="1"/>
    <col min="12" max="17" width="9.140625" style="99"/>
    <col min="18" max="32" width="9.140625" style="99" customWidth="1"/>
    <col min="33" max="34" width="9.140625" style="99"/>
    <col min="35" max="35" width="12.42578125" style="99" customWidth="1"/>
    <col min="36" max="36" width="9.85546875" style="99" bestFit="1" customWidth="1"/>
    <col min="37" max="38" width="9.140625" style="99"/>
    <col min="39" max="39" width="16.140625" style="99" customWidth="1"/>
    <col min="40" max="16384" width="9.140625" style="99"/>
  </cols>
  <sheetData>
    <row r="1" spans="1:44">
      <c r="A1" s="206"/>
      <c r="B1" s="106"/>
      <c r="C1" s="106"/>
      <c r="D1" s="106"/>
      <c r="E1" s="106"/>
      <c r="F1" s="104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8"/>
      <c r="T1" s="98"/>
      <c r="U1" s="108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8"/>
      <c r="AI1" s="97"/>
    </row>
    <row r="2" spans="1:44">
      <c r="A2" s="98"/>
      <c r="B2" s="106"/>
      <c r="C2" s="106"/>
      <c r="D2" s="106"/>
      <c r="E2" s="106"/>
      <c r="F2" s="104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8"/>
      <c r="T2" s="98"/>
      <c r="U2" s="108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8"/>
      <c r="AI2" s="97"/>
    </row>
    <row r="3" spans="1:44">
      <c r="A3" s="98"/>
      <c r="B3" s="106"/>
      <c r="C3" s="106"/>
      <c r="D3" s="106"/>
      <c r="E3" s="106"/>
      <c r="F3" s="104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8"/>
      <c r="T3" s="98"/>
      <c r="U3" s="108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7"/>
      <c r="AH3" s="98"/>
      <c r="AI3" s="97"/>
    </row>
    <row r="4" spans="1:44">
      <c r="A4" s="98"/>
      <c r="B4" s="97"/>
      <c r="C4" s="97"/>
      <c r="D4" s="97"/>
      <c r="E4" s="97">
        <f t="shared" ref="E4:E25" si="0">SUM(F4:AH4)</f>
        <v>0</v>
      </c>
      <c r="F4" s="101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8"/>
      <c r="T4" s="98"/>
      <c r="U4" s="108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8"/>
      <c r="AI4" s="97"/>
    </row>
    <row r="5" spans="1:44">
      <c r="A5" s="98"/>
      <c r="B5" s="97"/>
      <c r="C5" s="97"/>
      <c r="D5" s="97"/>
      <c r="E5" s="323">
        <f t="shared" si="0"/>
        <v>0</v>
      </c>
      <c r="F5" s="283"/>
      <c r="G5" s="284"/>
      <c r="H5" s="284"/>
      <c r="I5" s="284"/>
      <c r="J5" s="284"/>
      <c r="K5" s="285"/>
      <c r="L5" s="285"/>
      <c r="M5" s="285"/>
      <c r="N5" s="285"/>
      <c r="O5" s="285"/>
      <c r="P5" s="285"/>
      <c r="Q5" s="285"/>
      <c r="R5" s="285"/>
      <c r="S5" s="285"/>
      <c r="T5" s="285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8"/>
      <c r="AI5" s="97"/>
      <c r="AM5"/>
      <c r="AN5"/>
      <c r="AO5"/>
      <c r="AP5"/>
      <c r="AQ5"/>
      <c r="AR5"/>
    </row>
    <row r="6" spans="1:44">
      <c r="A6" s="98"/>
      <c r="B6" s="97"/>
      <c r="C6" s="109" t="s">
        <v>3731</v>
      </c>
      <c r="D6" s="110" t="s">
        <v>3732</v>
      </c>
      <c r="E6" s="111">
        <f t="shared" si="0"/>
        <v>0</v>
      </c>
      <c r="F6" s="283"/>
      <c r="G6" s="286"/>
      <c r="H6" s="286"/>
      <c r="I6" s="284"/>
      <c r="J6" s="284"/>
      <c r="K6" s="285"/>
      <c r="L6" s="285"/>
      <c r="M6" s="285"/>
      <c r="N6" s="285"/>
      <c r="O6" s="285"/>
      <c r="P6" s="285"/>
      <c r="Q6" s="285"/>
      <c r="R6" s="285"/>
      <c r="S6" s="285"/>
      <c r="T6" s="287"/>
      <c r="U6" s="105"/>
      <c r="V6" s="97"/>
      <c r="W6" s="97"/>
      <c r="X6" s="97"/>
      <c r="Y6" s="97"/>
      <c r="Z6" s="97"/>
      <c r="AA6" s="97"/>
      <c r="AB6" s="97"/>
      <c r="AC6" s="97"/>
      <c r="AD6" s="97"/>
      <c r="AE6" s="97"/>
      <c r="AF6" s="97"/>
      <c r="AG6" s="97"/>
      <c r="AH6" s="98"/>
      <c r="AI6" s="97"/>
      <c r="AM6"/>
      <c r="AN6"/>
      <c r="AO6"/>
      <c r="AP6"/>
      <c r="AQ6"/>
      <c r="AR6"/>
    </row>
    <row r="7" spans="1:44">
      <c r="A7" s="98"/>
      <c r="B7" s="97"/>
      <c r="C7" s="312"/>
      <c r="D7" s="169"/>
      <c r="E7" s="170"/>
      <c r="F7" s="288"/>
      <c r="G7" s="313"/>
      <c r="H7" s="314">
        <f>$D$37</f>
        <v>0</v>
      </c>
      <c r="I7" s="315">
        <f>$D$38</f>
        <v>0</v>
      </c>
      <c r="J7" s="316"/>
      <c r="K7" s="289"/>
      <c r="L7" s="289"/>
      <c r="M7" s="289"/>
      <c r="N7" s="289"/>
      <c r="O7" s="289"/>
      <c r="P7" s="289"/>
      <c r="Q7" s="289"/>
      <c r="R7" s="285"/>
      <c r="S7" s="285"/>
      <c r="T7" s="285"/>
      <c r="U7" s="97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8"/>
      <c r="AM7"/>
      <c r="AN7"/>
      <c r="AO7"/>
      <c r="AP7"/>
      <c r="AQ7"/>
      <c r="AR7"/>
    </row>
    <row r="8" spans="1:44">
      <c r="A8" s="102"/>
      <c r="B8" s="97"/>
      <c r="C8" s="312"/>
      <c r="D8" s="169"/>
      <c r="E8" s="170"/>
      <c r="F8" s="288"/>
      <c r="G8" s="313"/>
      <c r="H8" s="314">
        <f>$D$63</f>
        <v>0</v>
      </c>
      <c r="I8" s="315">
        <f>$D$64</f>
        <v>0</v>
      </c>
      <c r="J8" s="317"/>
      <c r="K8" s="290"/>
      <c r="L8" s="291"/>
      <c r="M8" s="291"/>
      <c r="N8" s="291"/>
      <c r="O8" s="291"/>
      <c r="P8" s="291"/>
      <c r="Q8" s="291"/>
      <c r="R8" s="292"/>
      <c r="S8" s="292"/>
      <c r="T8" s="292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2"/>
      <c r="AM8"/>
      <c r="AN8"/>
      <c r="AO8"/>
      <c r="AP8"/>
      <c r="AQ8"/>
      <c r="AR8"/>
    </row>
    <row r="9" spans="1:44">
      <c r="A9" s="98"/>
      <c r="B9" s="97"/>
      <c r="C9" s="311"/>
      <c r="D9" s="169"/>
      <c r="E9" s="170"/>
      <c r="F9" s="288"/>
      <c r="G9" s="313"/>
      <c r="H9" s="314">
        <f>$D$89</f>
        <v>0</v>
      </c>
      <c r="I9" s="315">
        <f>$D$90</f>
        <v>0</v>
      </c>
      <c r="J9" s="201"/>
      <c r="K9" s="289"/>
      <c r="L9" s="289"/>
      <c r="M9" s="289"/>
      <c r="N9" s="289"/>
      <c r="O9" s="289"/>
      <c r="P9" s="289"/>
      <c r="Q9" s="289"/>
      <c r="R9" s="285"/>
      <c r="S9" s="285"/>
      <c r="T9" s="285"/>
      <c r="U9" s="97"/>
      <c r="V9" s="97"/>
      <c r="W9" s="97"/>
      <c r="X9" s="97"/>
      <c r="Y9" s="97"/>
      <c r="Z9" s="97"/>
      <c r="AA9" s="97"/>
      <c r="AB9" s="97"/>
      <c r="AC9" s="97"/>
      <c r="AD9" s="97"/>
      <c r="AE9" s="97"/>
      <c r="AF9" s="97"/>
      <c r="AG9" s="97"/>
      <c r="AH9" s="98"/>
      <c r="AM9"/>
      <c r="AN9"/>
      <c r="AO9"/>
      <c r="AP9"/>
      <c r="AQ9"/>
      <c r="AR9"/>
    </row>
    <row r="10" spans="1:44">
      <c r="A10" s="98"/>
      <c r="B10" s="100"/>
      <c r="C10" s="311"/>
      <c r="D10" s="169"/>
      <c r="E10" s="170"/>
      <c r="F10" s="288"/>
      <c r="G10" s="313"/>
      <c r="H10" s="314">
        <f>$D$115</f>
        <v>0</v>
      </c>
      <c r="I10" s="315">
        <f>$D$116</f>
        <v>0</v>
      </c>
      <c r="J10" s="201"/>
      <c r="K10" s="289"/>
      <c r="L10" s="289"/>
      <c r="M10" s="289"/>
      <c r="N10" s="289"/>
      <c r="O10" s="289"/>
      <c r="P10" s="289"/>
      <c r="Q10" s="289"/>
      <c r="R10" s="285"/>
      <c r="S10" s="285"/>
      <c r="T10" s="285"/>
      <c r="U10" s="97"/>
      <c r="V10" s="97"/>
      <c r="W10" s="97"/>
      <c r="X10" s="97"/>
      <c r="Y10" s="97"/>
      <c r="Z10" s="97"/>
      <c r="AA10" s="97"/>
      <c r="AB10" s="97"/>
      <c r="AC10" s="97"/>
      <c r="AD10" s="97"/>
      <c r="AE10" s="97"/>
      <c r="AF10" s="97"/>
      <c r="AG10" s="97"/>
      <c r="AH10" s="98"/>
      <c r="AM10"/>
      <c r="AN10"/>
      <c r="AO10"/>
      <c r="AP10"/>
      <c r="AQ10"/>
      <c r="AR10"/>
    </row>
    <row r="11" spans="1:44">
      <c r="A11" s="98"/>
      <c r="B11" s="97"/>
      <c r="C11" s="173"/>
      <c r="D11" s="169"/>
      <c r="E11" s="170"/>
      <c r="F11" s="288"/>
      <c r="G11" s="313"/>
      <c r="H11" s="314">
        <f>$D$141</f>
        <v>0</v>
      </c>
      <c r="I11" s="315">
        <f>$D$142</f>
        <v>0</v>
      </c>
      <c r="J11" s="201"/>
      <c r="K11" s="289"/>
      <c r="L11" s="289"/>
      <c r="M11" s="289"/>
      <c r="N11" s="289"/>
      <c r="O11" s="289"/>
      <c r="P11" s="289"/>
      <c r="Q11" s="289"/>
      <c r="R11" s="285"/>
      <c r="S11" s="285"/>
      <c r="T11" s="285"/>
      <c r="U11" s="97"/>
      <c r="V11" s="97"/>
      <c r="W11" s="97"/>
      <c r="X11" s="97"/>
      <c r="Y11" s="97"/>
      <c r="Z11" s="97"/>
      <c r="AA11" s="97"/>
      <c r="AB11" s="97"/>
      <c r="AC11" s="97"/>
      <c r="AD11" s="97"/>
      <c r="AE11" s="97"/>
      <c r="AF11" s="97"/>
      <c r="AG11" s="97"/>
      <c r="AH11" s="98"/>
      <c r="AM11"/>
      <c r="AN11"/>
      <c r="AO11"/>
      <c r="AP11"/>
      <c r="AQ11"/>
      <c r="AR11"/>
    </row>
    <row r="12" spans="1:44">
      <c r="A12" s="98"/>
      <c r="B12" s="97"/>
      <c r="C12" s="173"/>
      <c r="D12" s="169"/>
      <c r="E12" s="170"/>
      <c r="F12" s="288"/>
      <c r="G12" s="313"/>
      <c r="H12" s="314">
        <f>$D$167</f>
        <v>0</v>
      </c>
      <c r="I12" s="315">
        <f>$D$168</f>
        <v>0</v>
      </c>
      <c r="J12" s="201"/>
      <c r="K12" s="289"/>
      <c r="L12" s="289"/>
      <c r="M12" s="289"/>
      <c r="N12" s="289"/>
      <c r="O12" s="289"/>
      <c r="P12" s="289"/>
      <c r="Q12" s="289"/>
      <c r="R12" s="285"/>
      <c r="S12" s="285"/>
      <c r="T12" s="285"/>
      <c r="U12" s="97"/>
      <c r="V12" s="97"/>
      <c r="W12" s="97"/>
      <c r="X12" s="97"/>
      <c r="Y12" s="97"/>
      <c r="Z12" s="97"/>
      <c r="AA12" s="97"/>
      <c r="AB12" s="97"/>
      <c r="AC12" s="97"/>
      <c r="AD12" s="97"/>
      <c r="AE12" s="97"/>
      <c r="AF12" s="97"/>
      <c r="AG12" s="97"/>
      <c r="AH12" s="98"/>
      <c r="AM12"/>
      <c r="AN12"/>
      <c r="AO12"/>
      <c r="AP12"/>
      <c r="AQ12"/>
      <c r="AR12"/>
    </row>
    <row r="13" spans="1:44">
      <c r="A13" s="98"/>
      <c r="B13" s="97"/>
      <c r="C13" s="173"/>
      <c r="D13" s="169"/>
      <c r="E13" s="170"/>
      <c r="F13" s="288"/>
      <c r="G13" s="313"/>
      <c r="H13" s="314">
        <f>$D$193</f>
        <v>0</v>
      </c>
      <c r="I13" s="315">
        <f>$D$194</f>
        <v>0</v>
      </c>
      <c r="J13" s="318"/>
      <c r="K13" s="289"/>
      <c r="L13" s="289"/>
      <c r="M13" s="289"/>
      <c r="N13" s="289"/>
      <c r="O13" s="289"/>
      <c r="P13" s="289"/>
      <c r="Q13" s="289"/>
      <c r="R13" s="285"/>
      <c r="S13" s="285"/>
      <c r="T13" s="285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8"/>
      <c r="AM13"/>
      <c r="AN13"/>
      <c r="AO13"/>
      <c r="AP13"/>
      <c r="AQ13"/>
      <c r="AR13"/>
    </row>
    <row r="14" spans="1:44">
      <c r="A14" s="98"/>
      <c r="B14" s="97"/>
      <c r="C14" s="173"/>
      <c r="D14" s="169"/>
      <c r="E14" s="170"/>
      <c r="F14" s="288"/>
      <c r="G14" s="313"/>
      <c r="H14" s="314">
        <f>$D$219</f>
        <v>0</v>
      </c>
      <c r="I14" s="315">
        <f>$D$220</f>
        <v>0</v>
      </c>
      <c r="J14" s="313"/>
      <c r="K14" s="289"/>
      <c r="L14" s="289"/>
      <c r="M14" s="289"/>
      <c r="N14" s="289"/>
      <c r="O14" s="289"/>
      <c r="P14" s="289"/>
      <c r="Q14" s="289"/>
      <c r="R14" s="285"/>
      <c r="S14" s="285"/>
      <c r="T14" s="285"/>
      <c r="U14" s="97"/>
      <c r="V14" s="97"/>
      <c r="W14" s="97"/>
      <c r="X14" s="97"/>
      <c r="Y14" s="97"/>
      <c r="Z14" s="97"/>
      <c r="AA14" s="97"/>
      <c r="AB14" s="97"/>
      <c r="AC14" s="97"/>
      <c r="AD14" s="97"/>
      <c r="AE14" s="97"/>
      <c r="AF14" s="97"/>
      <c r="AG14" s="97"/>
      <c r="AH14" s="98"/>
      <c r="AM14"/>
      <c r="AN14"/>
      <c r="AO14"/>
      <c r="AP14"/>
      <c r="AQ14"/>
      <c r="AR14"/>
    </row>
    <row r="15" spans="1:44">
      <c r="A15" s="98"/>
      <c r="B15" s="97"/>
      <c r="C15" s="173"/>
      <c r="D15" s="169"/>
      <c r="E15" s="170"/>
      <c r="F15" s="288"/>
      <c r="G15" s="313"/>
      <c r="H15" s="314">
        <f>$D$245</f>
        <v>0</v>
      </c>
      <c r="I15" s="315">
        <f>$D$246</f>
        <v>0</v>
      </c>
      <c r="J15" s="319"/>
      <c r="K15" s="289"/>
      <c r="L15" s="289"/>
      <c r="M15" s="289"/>
      <c r="N15" s="289"/>
      <c r="O15" s="289"/>
      <c r="P15" s="289"/>
      <c r="Q15" s="289"/>
      <c r="R15" s="285"/>
      <c r="S15" s="285"/>
      <c r="T15" s="285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8"/>
      <c r="AM15"/>
      <c r="AN15"/>
      <c r="AO15"/>
      <c r="AP15"/>
      <c r="AQ15"/>
      <c r="AR15"/>
    </row>
    <row r="16" spans="1:44">
      <c r="A16" s="98"/>
      <c r="B16" s="97"/>
      <c r="C16" s="173"/>
      <c r="D16" s="169"/>
      <c r="E16" s="170"/>
      <c r="F16" s="288"/>
      <c r="G16" s="313"/>
      <c r="H16" s="314">
        <f>$D$271</f>
        <v>0</v>
      </c>
      <c r="I16" s="315">
        <f>$D$272</f>
        <v>0</v>
      </c>
      <c r="J16" s="320"/>
      <c r="K16" s="289"/>
      <c r="L16" s="289"/>
      <c r="M16" s="289"/>
      <c r="N16" s="289"/>
      <c r="O16" s="289"/>
      <c r="P16" s="289"/>
      <c r="Q16" s="289"/>
      <c r="R16" s="285"/>
      <c r="S16" s="285"/>
      <c r="T16" s="285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8"/>
      <c r="AM16"/>
      <c r="AN16"/>
      <c r="AO16"/>
      <c r="AP16"/>
      <c r="AQ16"/>
      <c r="AR16"/>
    </row>
    <row r="17" spans="1:44">
      <c r="A17" s="98"/>
      <c r="B17" s="97"/>
      <c r="C17" s="173"/>
      <c r="D17" s="169"/>
      <c r="E17" s="170"/>
      <c r="F17" s="288"/>
      <c r="G17" s="313"/>
      <c r="H17" s="314">
        <f>$D$297</f>
        <v>0</v>
      </c>
      <c r="I17" s="315">
        <f>$D$298</f>
        <v>0</v>
      </c>
      <c r="J17" s="202"/>
      <c r="K17" s="289"/>
      <c r="L17" s="289"/>
      <c r="M17" s="289"/>
      <c r="N17" s="289"/>
      <c r="O17" s="289"/>
      <c r="P17" s="289"/>
      <c r="Q17" s="289"/>
      <c r="R17" s="285"/>
      <c r="S17" s="285"/>
      <c r="T17" s="285"/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8"/>
      <c r="AM17"/>
      <c r="AN17"/>
      <c r="AO17"/>
      <c r="AP17"/>
      <c r="AQ17"/>
      <c r="AR17"/>
    </row>
    <row r="18" spans="1:44">
      <c r="A18" s="98"/>
      <c r="B18" s="97"/>
      <c r="C18" s="173"/>
      <c r="D18" s="169"/>
      <c r="E18" s="170"/>
      <c r="F18" s="288"/>
      <c r="G18" s="313"/>
      <c r="H18" s="314">
        <f>$D$323</f>
        <v>0</v>
      </c>
      <c r="I18" s="315">
        <f>$D$324</f>
        <v>0</v>
      </c>
      <c r="J18" s="202"/>
      <c r="K18" s="289"/>
      <c r="L18" s="289"/>
      <c r="M18" s="289"/>
      <c r="N18" s="289"/>
      <c r="O18" s="289"/>
      <c r="P18" s="289"/>
      <c r="Q18" s="289"/>
      <c r="R18" s="285"/>
      <c r="S18" s="285"/>
      <c r="T18" s="285"/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  <c r="AF18" s="97"/>
      <c r="AG18" s="97"/>
      <c r="AH18" s="98"/>
      <c r="AM18"/>
      <c r="AN18"/>
      <c r="AO18"/>
      <c r="AP18"/>
      <c r="AQ18"/>
      <c r="AR18"/>
    </row>
    <row r="19" spans="1:44">
      <c r="A19" s="98"/>
      <c r="B19" s="97"/>
      <c r="C19" s="173"/>
      <c r="D19" s="169"/>
      <c r="E19" s="170"/>
      <c r="F19" s="288"/>
      <c r="G19" s="313"/>
      <c r="H19" s="314">
        <f>$D$349</f>
        <v>0</v>
      </c>
      <c r="I19" s="315">
        <f>$D$350</f>
        <v>0</v>
      </c>
      <c r="J19" s="202"/>
      <c r="K19" s="289"/>
      <c r="L19" s="289"/>
      <c r="M19" s="289"/>
      <c r="N19" s="289"/>
      <c r="O19" s="289"/>
      <c r="P19" s="289"/>
      <c r="Q19" s="289"/>
      <c r="R19" s="285"/>
      <c r="S19" s="285"/>
      <c r="T19" s="285"/>
      <c r="U19" s="97"/>
      <c r="V19" s="97"/>
      <c r="W19" s="103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8"/>
      <c r="AM19"/>
      <c r="AN19"/>
      <c r="AO19"/>
      <c r="AP19"/>
      <c r="AQ19"/>
      <c r="AR19"/>
    </row>
    <row r="20" spans="1:44">
      <c r="A20" s="98"/>
      <c r="B20" s="97"/>
      <c r="C20" s="173"/>
      <c r="D20" s="169"/>
      <c r="E20" s="170"/>
      <c r="F20" s="200"/>
      <c r="G20" s="313"/>
      <c r="H20" s="314">
        <f>$D$375</f>
        <v>0</v>
      </c>
      <c r="I20" s="315">
        <f>$D$376</f>
        <v>0</v>
      </c>
      <c r="J20" s="202"/>
      <c r="K20" s="289"/>
      <c r="L20" s="289"/>
      <c r="M20" s="289"/>
      <c r="N20" s="289"/>
      <c r="O20" s="289"/>
      <c r="P20" s="289"/>
      <c r="Q20" s="289"/>
      <c r="R20" s="285"/>
      <c r="S20" s="285"/>
      <c r="T20" s="285"/>
      <c r="U20" s="97"/>
      <c r="V20" s="97"/>
      <c r="W20" s="97"/>
      <c r="X20" s="112"/>
      <c r="Y20" s="113"/>
      <c r="Z20" s="97"/>
      <c r="AA20" s="97"/>
      <c r="AB20" s="97"/>
      <c r="AC20" s="97"/>
      <c r="AD20" s="97"/>
      <c r="AE20" s="97"/>
      <c r="AF20" s="97"/>
      <c r="AG20" s="97"/>
      <c r="AH20" s="98"/>
      <c r="AM20"/>
      <c r="AN20"/>
      <c r="AO20"/>
      <c r="AP20"/>
      <c r="AQ20"/>
      <c r="AR20"/>
    </row>
    <row r="21" spans="1:44">
      <c r="A21" s="98"/>
      <c r="B21" s="97"/>
      <c r="C21" s="174"/>
      <c r="D21" s="171"/>
      <c r="E21" s="172"/>
      <c r="F21" s="200"/>
      <c r="G21" s="313"/>
      <c r="H21" s="314">
        <f>$D$401</f>
        <v>0</v>
      </c>
      <c r="I21" s="315">
        <f>$D$402</f>
        <v>0</v>
      </c>
      <c r="J21" s="201"/>
      <c r="K21" s="289"/>
      <c r="L21" s="289"/>
      <c r="M21" s="289"/>
      <c r="N21" s="289"/>
      <c r="O21" s="289"/>
      <c r="P21" s="289"/>
      <c r="Q21" s="289"/>
      <c r="R21" s="285"/>
      <c r="S21" s="285"/>
      <c r="T21" s="285"/>
      <c r="U21" s="114"/>
      <c r="V21" s="97"/>
      <c r="W21" s="97"/>
      <c r="X21" s="112"/>
      <c r="Y21" s="115"/>
      <c r="Z21" s="97"/>
      <c r="AA21" s="97"/>
      <c r="AB21" s="97"/>
      <c r="AC21" s="97"/>
      <c r="AD21" s="97"/>
      <c r="AE21" s="97"/>
      <c r="AF21" s="97"/>
      <c r="AG21" s="97"/>
      <c r="AH21" s="98"/>
      <c r="AM21"/>
      <c r="AN21"/>
      <c r="AO21"/>
      <c r="AP21"/>
      <c r="AQ21"/>
      <c r="AR21"/>
    </row>
    <row r="22" spans="1:44">
      <c r="A22" s="98"/>
      <c r="B22" s="97"/>
      <c r="C22" s="97"/>
      <c r="D22" s="97"/>
      <c r="E22" s="97">
        <f t="shared" si="0"/>
        <v>0</v>
      </c>
      <c r="F22" s="200"/>
      <c r="G22" s="200"/>
      <c r="H22" s="200"/>
      <c r="I22" s="200"/>
      <c r="J22" s="200"/>
      <c r="K22" s="285"/>
      <c r="L22" s="285"/>
      <c r="M22" s="285"/>
      <c r="N22" s="285"/>
      <c r="O22" s="285"/>
      <c r="P22" s="285"/>
      <c r="Q22" s="285"/>
      <c r="R22" s="285"/>
      <c r="S22" s="293"/>
      <c r="T22" s="293"/>
      <c r="U22" s="10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8"/>
      <c r="AI22" s="97"/>
      <c r="AM22"/>
      <c r="AN22"/>
      <c r="AO22"/>
      <c r="AP22"/>
      <c r="AQ22"/>
      <c r="AR22"/>
    </row>
    <row r="23" spans="1:44">
      <c r="A23" s="97"/>
      <c r="B23" s="97"/>
      <c r="C23" s="97"/>
      <c r="D23" s="97"/>
      <c r="E23" s="97">
        <f t="shared" si="0"/>
        <v>0</v>
      </c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8"/>
      <c r="T23" s="98"/>
      <c r="U23" s="98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8"/>
      <c r="AI23" s="97"/>
      <c r="AM23"/>
      <c r="AN23"/>
      <c r="AO23"/>
      <c r="AP23"/>
      <c r="AQ23"/>
      <c r="AR23"/>
    </row>
    <row r="24" spans="1:44">
      <c r="A24" s="100"/>
      <c r="B24" s="100"/>
      <c r="C24" s="100"/>
      <c r="D24" s="100"/>
      <c r="E24" s="100">
        <f t="shared" si="0"/>
        <v>0</v>
      </c>
      <c r="F24" s="100"/>
      <c r="G24" s="100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  <c r="AE24" s="100"/>
      <c r="AF24" s="100"/>
      <c r="AG24" s="100"/>
      <c r="AH24" s="100"/>
      <c r="AI24"/>
      <c r="AJ24"/>
      <c r="AK24"/>
      <c r="AL24"/>
      <c r="AM24"/>
    </row>
    <row r="25" spans="1:44">
      <c r="A25" s="97"/>
      <c r="B25" s="97"/>
      <c r="C25" s="97"/>
      <c r="D25" s="97"/>
      <c r="E25" s="97">
        <f t="shared" si="0"/>
        <v>0</v>
      </c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/>
      <c r="AJ25"/>
      <c r="AK25"/>
      <c r="AL25"/>
      <c r="AM25"/>
    </row>
    <row r="26" spans="1:44">
      <c r="A26" s="97"/>
      <c r="B26" s="116"/>
      <c r="C26" s="97"/>
      <c r="D26" s="117"/>
      <c r="E26" s="118"/>
      <c r="F26"/>
      <c r="G26"/>
      <c r="H26"/>
      <c r="I26"/>
      <c r="J26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  <c r="V26" s="97"/>
      <c r="W26" s="97"/>
      <c r="X26" s="97"/>
      <c r="Y26" s="97"/>
      <c r="Z26" s="97"/>
      <c r="AA26" s="97"/>
      <c r="AB26" s="97"/>
      <c r="AC26" s="97"/>
      <c r="AD26" s="97"/>
      <c r="AE26" s="97"/>
      <c r="AF26" s="97"/>
      <c r="AG26" s="97"/>
      <c r="AH26" s="97"/>
      <c r="AI26"/>
      <c r="AJ26"/>
      <c r="AK26"/>
      <c r="AL26"/>
      <c r="AM26"/>
    </row>
    <row r="27" spans="1:44" s="198" customFormat="1">
      <c r="A27" s="195"/>
      <c r="B27" s="196"/>
      <c r="C27" s="196"/>
      <c r="D27" s="196"/>
      <c r="E27" s="196"/>
      <c r="F27" s="196"/>
      <c r="G27" s="196"/>
      <c r="H27" s="196"/>
      <c r="I27" s="196"/>
      <c r="J27" s="196"/>
      <c r="K27" s="196"/>
      <c r="L27" s="196"/>
      <c r="M27" s="196"/>
      <c r="N27" s="196"/>
      <c r="O27" s="196"/>
      <c r="P27" s="196"/>
      <c r="Q27" s="196"/>
      <c r="R27" s="196"/>
      <c r="S27" s="196"/>
      <c r="T27" s="196"/>
      <c r="U27" s="196"/>
      <c r="V27" s="196"/>
      <c r="W27" s="196"/>
      <c r="X27" s="196"/>
      <c r="Y27" s="196"/>
      <c r="Z27" s="196"/>
      <c r="AA27" s="196"/>
      <c r="AB27" s="196"/>
      <c r="AC27" s="196"/>
      <c r="AD27" s="196"/>
      <c r="AE27" s="196"/>
      <c r="AF27" s="196"/>
      <c r="AG27" s="196"/>
      <c r="AH27" s="196"/>
      <c r="AI27" s="196"/>
      <c r="AJ27" s="197"/>
      <c r="AK27" s="197"/>
      <c r="AL27" s="197"/>
      <c r="AM27" s="197"/>
    </row>
    <row r="28" spans="1:44" ht="15.75" thickBot="1">
      <c r="A28" s="97"/>
      <c r="B28" s="121"/>
      <c r="C28" s="122"/>
      <c r="D28" s="122"/>
      <c r="E28" s="122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</row>
    <row r="29" spans="1:44">
      <c r="A29" s="97"/>
      <c r="B29" s="124"/>
      <c r="C29" s="125"/>
      <c r="D29" s="125"/>
      <c r="E29" s="125"/>
      <c r="F29" s="125"/>
      <c r="G29" s="125"/>
      <c r="H29" s="125"/>
      <c r="I29" s="125"/>
      <c r="J29" s="125"/>
      <c r="K29" s="126"/>
      <c r="L29" s="127"/>
      <c r="M29" s="127"/>
      <c r="N29" s="126"/>
      <c r="O29" s="126"/>
      <c r="P29" s="126"/>
      <c r="Q29" s="126"/>
      <c r="R29" s="126"/>
      <c r="S29" s="126"/>
      <c r="T29" s="126"/>
      <c r="U29" s="126"/>
      <c r="V29" s="126"/>
      <c r="W29" s="126"/>
      <c r="X29" s="126"/>
      <c r="Y29" s="126"/>
      <c r="Z29" s="126"/>
      <c r="AA29" s="126"/>
      <c r="AB29" s="126"/>
      <c r="AC29" s="126"/>
      <c r="AD29" s="126"/>
      <c r="AE29" s="126"/>
      <c r="AF29" s="126"/>
      <c r="AG29" s="126"/>
      <c r="AH29" s="126"/>
      <c r="AI29" s="126"/>
      <c r="AJ29" s="199"/>
    </row>
    <row r="30" spans="1:44" ht="15.75" thickBot="1">
      <c r="A30" s="97"/>
      <c r="B30" s="128"/>
      <c r="C30" s="129"/>
      <c r="D30" s="129"/>
      <c r="E30" s="324"/>
      <c r="F30" s="129"/>
      <c r="G30" s="129"/>
      <c r="H30" s="129"/>
      <c r="I30" s="129"/>
      <c r="J30" s="129"/>
      <c r="K30" s="130"/>
      <c r="L30" s="130"/>
      <c r="M30" s="130"/>
      <c r="N30" s="130"/>
      <c r="O30" s="130"/>
      <c r="P30" s="130"/>
      <c r="Q30" s="130"/>
      <c r="R30" s="130"/>
      <c r="S30" s="130"/>
      <c r="T30" s="130"/>
      <c r="U30" s="130"/>
      <c r="V30" s="130"/>
      <c r="W30" s="130"/>
      <c r="X30" s="130"/>
      <c r="Y30" s="130"/>
      <c r="Z30" s="130"/>
      <c r="AA30" s="130"/>
      <c r="AB30" s="130"/>
      <c r="AC30" s="130"/>
      <c r="AD30" s="130"/>
      <c r="AE30" s="130"/>
      <c r="AF30" s="130"/>
      <c r="AG30" s="130"/>
      <c r="AH30" s="130"/>
      <c r="AI30" s="130"/>
      <c r="AJ30" s="199"/>
    </row>
    <row r="31" spans="1:44" ht="15.75" thickTop="1">
      <c r="A31" s="97"/>
      <c r="B31" s="131"/>
      <c r="C31" s="132"/>
      <c r="D31" s="132"/>
      <c r="E31" s="132"/>
      <c r="F31" s="132"/>
      <c r="G31" s="132"/>
      <c r="H31" s="132"/>
      <c r="I31" s="132"/>
      <c r="J31" s="132"/>
      <c r="K31" s="132"/>
      <c r="L31" s="133"/>
      <c r="M31" s="133"/>
      <c r="N31" s="132"/>
      <c r="O31" s="132"/>
      <c r="P31" s="132"/>
      <c r="Q31" s="132"/>
      <c r="R31" s="132"/>
      <c r="S31" s="132"/>
      <c r="T31" s="132"/>
      <c r="U31" s="132"/>
      <c r="V31" s="132"/>
      <c r="W31" s="132"/>
      <c r="X31" s="132"/>
      <c r="Y31" s="132"/>
      <c r="Z31" s="132"/>
      <c r="AA31" s="132"/>
      <c r="AB31" s="132"/>
      <c r="AC31" s="132"/>
      <c r="AD31" s="132"/>
      <c r="AE31" s="132"/>
      <c r="AF31" s="132"/>
      <c r="AG31" s="132"/>
      <c r="AH31" s="132"/>
      <c r="AI31" s="132"/>
      <c r="AJ31" s="199"/>
    </row>
    <row r="32" spans="1:44" ht="15.75" thickBot="1">
      <c r="A32" s="97"/>
      <c r="B32" s="128"/>
      <c r="C32" s="134"/>
      <c r="D32" s="134"/>
      <c r="E32" s="325"/>
      <c r="F32" s="134"/>
      <c r="G32" s="130"/>
      <c r="H32" s="130"/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30"/>
      <c r="W32" s="130"/>
      <c r="X32" s="130"/>
      <c r="Y32" s="130"/>
      <c r="Z32" s="130"/>
      <c r="AA32" s="130"/>
      <c r="AB32" s="130"/>
      <c r="AC32" s="130"/>
      <c r="AD32" s="130"/>
      <c r="AE32" s="130"/>
      <c r="AF32" s="130"/>
      <c r="AG32" s="130"/>
      <c r="AH32" s="130"/>
      <c r="AI32" s="130"/>
      <c r="AJ32" s="199"/>
    </row>
    <row r="33" spans="1:39" ht="15.75" thickTop="1">
      <c r="A33" s="97"/>
      <c r="B33" s="135"/>
      <c r="C33" s="136"/>
      <c r="D33" s="136"/>
      <c r="E33" s="136"/>
      <c r="F33" s="136"/>
      <c r="G33" s="136"/>
      <c r="H33" s="136"/>
      <c r="I33" s="136"/>
      <c r="J33" s="136"/>
      <c r="K33" s="136"/>
      <c r="L33" s="137"/>
      <c r="M33" s="137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99"/>
    </row>
    <row r="34" spans="1:39" ht="15.75" thickBot="1">
      <c r="A34" s="97"/>
      <c r="B34" s="128"/>
      <c r="C34" s="130"/>
      <c r="D34" s="130"/>
      <c r="E34" s="326"/>
      <c r="F34" s="130"/>
      <c r="G34" s="130"/>
      <c r="H34" s="130"/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30"/>
      <c r="W34" s="130"/>
      <c r="X34" s="130"/>
      <c r="Y34" s="130"/>
      <c r="Z34" s="130"/>
      <c r="AA34" s="130"/>
      <c r="AB34" s="130"/>
      <c r="AC34" s="130"/>
      <c r="AD34" s="130"/>
      <c r="AE34" s="130"/>
      <c r="AF34" s="130"/>
      <c r="AG34" s="130"/>
      <c r="AH34" s="130"/>
      <c r="AI34" s="130"/>
      <c r="AJ34" s="199"/>
    </row>
    <row r="35" spans="1:39" s="198" customFormat="1" ht="15.75" thickTop="1">
      <c r="A35" s="195"/>
      <c r="B35" s="196"/>
      <c r="C35" s="196"/>
      <c r="D35" s="196"/>
      <c r="E35" s="196"/>
      <c r="F35" s="196"/>
      <c r="G35" s="196"/>
      <c r="H35" s="196"/>
      <c r="I35" s="196"/>
      <c r="J35" s="196"/>
      <c r="K35" s="196"/>
      <c r="L35" s="196"/>
      <c r="M35" s="196"/>
      <c r="N35" s="196"/>
      <c r="O35" s="196"/>
      <c r="P35" s="196"/>
      <c r="Q35" s="196"/>
      <c r="R35" s="196"/>
      <c r="S35" s="196"/>
      <c r="T35" s="196"/>
      <c r="U35" s="196"/>
      <c r="V35" s="196"/>
      <c r="W35" s="196"/>
      <c r="X35" s="196"/>
      <c r="Y35" s="196"/>
      <c r="Z35" s="196"/>
      <c r="AA35" s="196"/>
      <c r="AB35" s="196"/>
      <c r="AC35" s="196"/>
      <c r="AD35" s="196"/>
      <c r="AE35" s="196"/>
      <c r="AF35" s="196"/>
      <c r="AG35" s="196"/>
      <c r="AH35" s="196"/>
      <c r="AI35" s="196"/>
      <c r="AJ35" s="197"/>
      <c r="AK35" s="197"/>
      <c r="AL35" s="197"/>
      <c r="AM35" s="197"/>
    </row>
    <row r="36" spans="1:39" ht="15.75" thickBot="1">
      <c r="A36" s="97"/>
      <c r="B36" s="138"/>
      <c r="C36" s="139"/>
      <c r="D36" s="139"/>
      <c r="E36" s="139"/>
      <c r="F36" s="139"/>
      <c r="G36" s="139"/>
      <c r="H36" s="139"/>
      <c r="I36" s="139"/>
      <c r="J36" s="139"/>
      <c r="K36" s="139"/>
      <c r="L36" s="140"/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39"/>
      <c r="AC36" s="139"/>
      <c r="AD36" s="139"/>
      <c r="AE36" s="139"/>
      <c r="AF36" s="139"/>
      <c r="AG36" s="139"/>
      <c r="AH36" s="139"/>
      <c r="AI36" s="139"/>
    </row>
    <row r="37" spans="1:39">
      <c r="A37" s="97"/>
      <c r="B37" s="141"/>
      <c r="C37" s="141"/>
      <c r="D37" s="142"/>
      <c r="E37" s="97"/>
      <c r="F37" s="119"/>
      <c r="G37" s="143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</row>
    <row r="38" spans="1:39" ht="15.75" thickBot="1">
      <c r="A38" s="97"/>
      <c r="B38" s="141"/>
      <c r="C38" s="119"/>
      <c r="D38" s="145"/>
      <c r="E38" s="97"/>
      <c r="F38" s="146"/>
      <c r="G38" s="147"/>
      <c r="H38" s="147"/>
      <c r="I38" s="147"/>
      <c r="J38" s="147"/>
      <c r="K38" s="147"/>
      <c r="L38" s="148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</row>
    <row r="39" spans="1:39" ht="15.75" thickTop="1">
      <c r="A39" s="168"/>
      <c r="B39" s="97"/>
      <c r="C39" s="97"/>
      <c r="D39" s="97"/>
      <c r="E39" s="97"/>
      <c r="F39" s="149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  <c r="AI39" s="150"/>
    </row>
    <row r="40" spans="1:39">
      <c r="A40" s="97"/>
      <c r="B40" s="372"/>
      <c r="C40" s="372"/>
      <c r="D40" s="372"/>
      <c r="E40" s="97"/>
      <c r="F40" s="112"/>
      <c r="G40" s="151"/>
      <c r="H40" s="151"/>
      <c r="I40" s="151"/>
      <c r="J40" s="151"/>
      <c r="K40" s="151"/>
      <c r="L40" s="151"/>
      <c r="M40" s="151"/>
      <c r="N40" s="151"/>
      <c r="O40" s="151"/>
      <c r="P40" s="151"/>
      <c r="Q40" s="151"/>
      <c r="R40" s="151"/>
      <c r="S40" s="151"/>
      <c r="T40" s="151"/>
      <c r="U40" s="151"/>
      <c r="V40" s="151"/>
      <c r="W40" s="151"/>
      <c r="X40" s="151"/>
      <c r="Y40" s="151"/>
      <c r="Z40" s="151"/>
      <c r="AA40" s="151"/>
      <c r="AB40" s="151"/>
      <c r="AC40" s="151"/>
      <c r="AD40" s="151"/>
      <c r="AE40" s="151"/>
      <c r="AF40" s="151"/>
      <c r="AG40" s="151"/>
      <c r="AH40" s="151"/>
      <c r="AI40" s="151"/>
    </row>
    <row r="41" spans="1:39" ht="15.75" thickBot="1">
      <c r="A41" s="97"/>
      <c r="B41" s="372"/>
      <c r="C41" s="372"/>
      <c r="D41" s="372"/>
      <c r="E41" s="97"/>
      <c r="F41" s="112"/>
      <c r="G41" s="152"/>
      <c r="H41" s="153"/>
      <c r="I41" s="153"/>
      <c r="J41" s="153"/>
      <c r="K41" s="153"/>
      <c r="L41" s="153"/>
      <c r="M41" s="153"/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  <c r="AH41" s="153"/>
      <c r="AI41" s="153"/>
    </row>
    <row r="42" spans="1:39" ht="15.75" thickTop="1">
      <c r="A42" s="97"/>
      <c r="B42" s="372"/>
      <c r="C42" s="372"/>
      <c r="D42" s="372"/>
      <c r="E42" s="97"/>
      <c r="F42" s="141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  <c r="AI42" s="154"/>
    </row>
    <row r="43" spans="1:39" ht="15.75" thickBot="1">
      <c r="A43" s="97"/>
      <c r="B43" s="372"/>
      <c r="C43" s="372"/>
      <c r="D43" s="372"/>
      <c r="E43" s="97"/>
      <c r="F43" s="155"/>
      <c r="G43" s="156"/>
      <c r="H43" s="156"/>
      <c r="I43" s="156"/>
      <c r="J43" s="156"/>
      <c r="K43" s="156"/>
      <c r="L43" s="157"/>
      <c r="M43" s="156"/>
      <c r="N43" s="156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/>
      <c r="AD43" s="156"/>
      <c r="AE43" s="156"/>
      <c r="AF43" s="156"/>
      <c r="AG43" s="156"/>
      <c r="AH43" s="156"/>
      <c r="AI43" s="156"/>
    </row>
    <row r="44" spans="1:39">
      <c r="A44" s="97"/>
      <c r="B44" s="372"/>
      <c r="C44" s="372"/>
      <c r="D44" s="372"/>
      <c r="E44" s="97"/>
      <c r="F44" s="158"/>
      <c r="G44" s="159"/>
      <c r="H44" s="159"/>
      <c r="I44" s="159"/>
      <c r="J44" s="159"/>
      <c r="K44" s="159"/>
      <c r="L44" s="160"/>
      <c r="M44" s="160"/>
      <c r="N44" s="159"/>
      <c r="O44" s="159"/>
      <c r="P44" s="159"/>
      <c r="Q44" s="159"/>
      <c r="R44" s="159"/>
      <c r="S44" s="159"/>
      <c r="T44" s="159"/>
      <c r="U44" s="159"/>
      <c r="V44" s="159"/>
      <c r="W44" s="159"/>
      <c r="X44" s="159"/>
      <c r="Y44" s="159"/>
      <c r="Z44" s="159"/>
      <c r="AA44" s="159"/>
      <c r="AB44" s="159"/>
      <c r="AC44" s="159"/>
      <c r="AD44" s="159"/>
      <c r="AE44" s="159"/>
      <c r="AF44" s="159"/>
      <c r="AG44" s="159"/>
      <c r="AH44" s="159"/>
      <c r="AI44" s="159"/>
    </row>
    <row r="45" spans="1:39">
      <c r="A45" s="97"/>
      <c r="B45" s="372"/>
      <c r="C45" s="372"/>
      <c r="D45" s="372"/>
      <c r="E45" s="97"/>
      <c r="F45" s="161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2"/>
      <c r="V45" s="162"/>
      <c r="W45" s="162"/>
      <c r="X45" s="162"/>
      <c r="Y45" s="162"/>
      <c r="Z45" s="162"/>
      <c r="AA45" s="162"/>
      <c r="AB45" s="162"/>
      <c r="AC45" s="162"/>
      <c r="AD45" s="162"/>
      <c r="AE45" s="162"/>
      <c r="AF45" s="162"/>
      <c r="AG45" s="162"/>
      <c r="AH45" s="162"/>
      <c r="AI45" s="162"/>
    </row>
    <row r="46" spans="1:39">
      <c r="A46" s="97"/>
      <c r="B46" s="372"/>
      <c r="C46" s="372"/>
      <c r="D46" s="372"/>
      <c r="E46" s="97"/>
      <c r="F46" s="161"/>
      <c r="G46" s="132"/>
      <c r="H46" s="132"/>
      <c r="I46" s="132"/>
      <c r="J46" s="132"/>
      <c r="K46" s="132"/>
      <c r="L46" s="133"/>
      <c r="M46" s="133"/>
      <c r="N46" s="132"/>
      <c r="O46" s="132"/>
      <c r="P46" s="132"/>
      <c r="Q46" s="132"/>
      <c r="R46" s="132"/>
      <c r="S46" s="132"/>
      <c r="T46" s="132"/>
      <c r="U46" s="132"/>
      <c r="V46" s="132"/>
      <c r="W46" s="132"/>
      <c r="X46" s="132"/>
      <c r="Y46" s="132"/>
      <c r="Z46" s="132"/>
      <c r="AA46" s="132"/>
      <c r="AB46" s="132"/>
      <c r="AC46" s="132"/>
      <c r="AD46" s="132"/>
      <c r="AE46" s="132"/>
      <c r="AF46" s="132"/>
      <c r="AG46" s="132"/>
      <c r="AH46" s="132"/>
      <c r="AI46" s="132"/>
    </row>
    <row r="47" spans="1:39">
      <c r="A47" s="97"/>
      <c r="B47" s="372"/>
      <c r="C47" s="372"/>
      <c r="D47" s="372"/>
      <c r="E47" s="97"/>
      <c r="F47" s="161"/>
      <c r="G47" s="132"/>
      <c r="H47" s="132"/>
      <c r="I47" s="132"/>
      <c r="J47" s="132"/>
      <c r="K47" s="132"/>
      <c r="L47" s="133"/>
      <c r="M47" s="133"/>
      <c r="N47" s="132"/>
      <c r="O47" s="132"/>
      <c r="P47" s="132"/>
      <c r="Q47" s="132"/>
      <c r="R47" s="132"/>
      <c r="S47" s="132"/>
      <c r="T47" s="132"/>
      <c r="U47" s="132"/>
      <c r="V47" s="132"/>
      <c r="W47" s="132"/>
      <c r="X47" s="132"/>
      <c r="Y47" s="132"/>
      <c r="Z47" s="132"/>
      <c r="AA47" s="132"/>
      <c r="AB47" s="132"/>
      <c r="AC47" s="132"/>
      <c r="AD47" s="132"/>
      <c r="AE47" s="132"/>
      <c r="AF47" s="132"/>
      <c r="AG47" s="132"/>
      <c r="AH47" s="132"/>
      <c r="AI47" s="132"/>
    </row>
    <row r="48" spans="1:39">
      <c r="A48" s="97"/>
      <c r="B48" s="372"/>
      <c r="C48" s="372"/>
      <c r="D48" s="372"/>
      <c r="E48" s="97"/>
      <c r="F48" s="161"/>
      <c r="G48" s="132"/>
      <c r="H48" s="132"/>
      <c r="I48" s="132"/>
      <c r="J48" s="132"/>
      <c r="K48" s="132"/>
      <c r="L48" s="133"/>
      <c r="M48" s="133"/>
      <c r="N48" s="132"/>
      <c r="O48" s="132"/>
      <c r="P48" s="132"/>
      <c r="Q48" s="132"/>
      <c r="R48" s="132"/>
      <c r="S48" s="132"/>
      <c r="T48" s="132"/>
      <c r="U48" s="132"/>
      <c r="V48" s="132"/>
      <c r="W48" s="132"/>
      <c r="X48" s="132"/>
      <c r="Y48" s="132"/>
      <c r="Z48" s="132"/>
      <c r="AA48" s="132"/>
      <c r="AB48" s="132"/>
      <c r="AC48" s="132"/>
      <c r="AD48" s="132"/>
      <c r="AE48" s="132"/>
      <c r="AF48" s="132"/>
      <c r="AG48" s="132"/>
      <c r="AH48" s="132"/>
      <c r="AI48" s="132"/>
    </row>
    <row r="49" spans="1:39" ht="15.75" thickBot="1">
      <c r="A49" s="97"/>
      <c r="B49" s="372"/>
      <c r="C49" s="372"/>
      <c r="D49" s="372"/>
      <c r="E49" s="97"/>
      <c r="F49" s="163"/>
      <c r="G49" s="129"/>
      <c r="H49" s="129"/>
      <c r="I49" s="129"/>
      <c r="J49" s="129"/>
      <c r="K49" s="129"/>
      <c r="L49" s="164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</row>
    <row r="50" spans="1:39" ht="15.75" thickTop="1">
      <c r="A50" s="100"/>
      <c r="B50" s="100"/>
      <c r="C50" s="100"/>
      <c r="D50" s="100"/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</row>
    <row r="51" spans="1:39">
      <c r="A51" s="97"/>
      <c r="B51" s="100"/>
      <c r="C51" s="100"/>
      <c r="D51" s="100"/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2"/>
      <c r="T51" s="102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8"/>
      <c r="AF51" s="98"/>
      <c r="AG51" s="98"/>
      <c r="AH51" s="98"/>
      <c r="AI51" s="98"/>
    </row>
    <row r="52" spans="1:39">
      <c r="A52" s="97"/>
      <c r="B52" s="116"/>
      <c r="C52" s="97"/>
      <c r="D52" s="117"/>
      <c r="E52" s="118"/>
      <c r="F52" s="119"/>
      <c r="G52" s="120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8"/>
      <c r="W52" s="98"/>
      <c r="X52" s="98"/>
      <c r="Y52" s="98"/>
      <c r="Z52" s="98"/>
      <c r="AA52" s="98"/>
      <c r="AB52" s="98"/>
      <c r="AC52" s="98"/>
      <c r="AD52" s="98"/>
      <c r="AE52" s="98"/>
      <c r="AF52" s="98"/>
      <c r="AG52" s="98"/>
      <c r="AH52" s="98"/>
      <c r="AI52" s="98"/>
    </row>
    <row r="53" spans="1:39">
      <c r="A53" s="97"/>
      <c r="B53" s="168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113"/>
      <c r="AE53" s="113"/>
      <c r="AF53" s="113"/>
      <c r="AG53" s="113"/>
      <c r="AH53" s="113"/>
      <c r="AI53" s="113"/>
      <c r="AJ53"/>
      <c r="AK53"/>
      <c r="AL53"/>
      <c r="AM53"/>
    </row>
    <row r="54" spans="1:39" ht="15.75" thickBot="1">
      <c r="A54" s="97"/>
      <c r="B54" s="121"/>
      <c r="C54" s="122"/>
      <c r="D54" s="122"/>
      <c r="E54" s="122"/>
      <c r="F54" s="123"/>
      <c r="G54" s="123"/>
      <c r="H54" s="123"/>
      <c r="I54" s="123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</row>
    <row r="55" spans="1:39">
      <c r="A55" s="97"/>
      <c r="B55" s="124"/>
      <c r="C55" s="125"/>
      <c r="D55" s="125"/>
      <c r="E55" s="125"/>
      <c r="F55" s="125"/>
      <c r="G55" s="125"/>
      <c r="H55" s="125"/>
      <c r="I55" s="125"/>
      <c r="J55" s="125"/>
      <c r="K55" s="126"/>
      <c r="L55" s="127"/>
      <c r="M55" s="127"/>
      <c r="N55" s="126"/>
      <c r="O55" s="126"/>
      <c r="P55" s="126"/>
      <c r="Q55" s="126"/>
      <c r="R55" s="126"/>
      <c r="S55" s="126"/>
      <c r="T55" s="126"/>
      <c r="U55" s="126"/>
      <c r="V55" s="126"/>
      <c r="W55" s="126"/>
      <c r="X55" s="126"/>
      <c r="Y55" s="126"/>
      <c r="Z55" s="126"/>
      <c r="AA55" s="126"/>
      <c r="AB55" s="126"/>
      <c r="AC55" s="126"/>
      <c r="AD55" s="126"/>
      <c r="AE55" s="126"/>
      <c r="AF55" s="126"/>
      <c r="AG55" s="126"/>
      <c r="AH55" s="126"/>
      <c r="AI55" s="126"/>
    </row>
    <row r="56" spans="1:39" ht="15.75" thickBot="1">
      <c r="A56" s="97"/>
      <c r="B56" s="128"/>
      <c r="C56" s="129"/>
      <c r="D56" s="129"/>
      <c r="E56" s="324"/>
      <c r="F56" s="129"/>
      <c r="G56" s="129"/>
      <c r="H56" s="129"/>
      <c r="I56" s="129"/>
      <c r="J56" s="129"/>
      <c r="K56" s="130"/>
      <c r="L56" s="130"/>
      <c r="M56" s="130"/>
      <c r="N56" s="130"/>
      <c r="O56" s="130"/>
      <c r="P56" s="130"/>
      <c r="Q56" s="130"/>
      <c r="R56" s="130"/>
      <c r="S56" s="130"/>
      <c r="T56" s="130"/>
      <c r="U56" s="130"/>
      <c r="V56" s="130"/>
      <c r="W56" s="130"/>
      <c r="X56" s="130"/>
      <c r="Y56" s="130"/>
      <c r="Z56" s="130"/>
      <c r="AA56" s="130"/>
      <c r="AB56" s="130"/>
      <c r="AC56" s="130"/>
      <c r="AD56" s="130"/>
      <c r="AE56" s="130"/>
      <c r="AF56" s="130"/>
      <c r="AG56" s="130"/>
      <c r="AH56" s="130"/>
      <c r="AI56" s="130"/>
    </row>
    <row r="57" spans="1:39" ht="15.75" thickTop="1">
      <c r="A57" s="97"/>
      <c r="B57" s="131"/>
      <c r="C57" s="132"/>
      <c r="D57" s="132"/>
      <c r="E57" s="132"/>
      <c r="F57" s="132"/>
      <c r="G57" s="132"/>
      <c r="H57" s="132"/>
      <c r="I57" s="132"/>
      <c r="J57" s="132"/>
      <c r="K57" s="132"/>
      <c r="L57" s="133"/>
      <c r="M57" s="133"/>
      <c r="N57" s="132"/>
      <c r="O57" s="132"/>
      <c r="P57" s="132"/>
      <c r="Q57" s="132"/>
      <c r="R57" s="132"/>
      <c r="S57" s="132"/>
      <c r="T57" s="132"/>
      <c r="U57" s="132"/>
      <c r="V57" s="132"/>
      <c r="W57" s="132"/>
      <c r="X57" s="132"/>
      <c r="Y57" s="132"/>
      <c r="Z57" s="132"/>
      <c r="AA57" s="132"/>
      <c r="AB57" s="132"/>
      <c r="AC57" s="132"/>
      <c r="AD57" s="132"/>
      <c r="AE57" s="132"/>
      <c r="AF57" s="132"/>
      <c r="AG57" s="132"/>
      <c r="AH57" s="132"/>
      <c r="AI57" s="132"/>
    </row>
    <row r="58" spans="1:39" ht="15.75" thickBot="1">
      <c r="A58" s="97"/>
      <c r="B58" s="128"/>
      <c r="C58" s="134"/>
      <c r="D58" s="134"/>
      <c r="E58" s="325"/>
      <c r="F58" s="134"/>
      <c r="G58" s="130"/>
      <c r="H58" s="130"/>
      <c r="I58" s="130"/>
      <c r="J58" s="130"/>
      <c r="K58" s="130"/>
      <c r="L58" s="130"/>
      <c r="M58" s="130"/>
      <c r="N58" s="130"/>
      <c r="O58" s="130"/>
      <c r="P58" s="130"/>
      <c r="Q58" s="130"/>
      <c r="R58" s="130"/>
      <c r="S58" s="130"/>
      <c r="T58" s="130"/>
      <c r="U58" s="130"/>
      <c r="V58" s="130"/>
      <c r="W58" s="130"/>
      <c r="X58" s="130"/>
      <c r="Y58" s="130"/>
      <c r="Z58" s="130"/>
      <c r="AA58" s="130"/>
      <c r="AB58" s="130"/>
      <c r="AC58" s="130"/>
      <c r="AD58" s="130"/>
      <c r="AE58" s="130"/>
      <c r="AF58" s="130"/>
      <c r="AG58" s="130"/>
      <c r="AH58" s="130"/>
      <c r="AI58" s="130"/>
    </row>
    <row r="59" spans="1:39" ht="15.75" thickTop="1">
      <c r="A59" s="97"/>
      <c r="B59" s="135"/>
      <c r="C59" s="136"/>
      <c r="D59" s="136"/>
      <c r="E59" s="136"/>
      <c r="F59" s="136"/>
      <c r="G59" s="136"/>
      <c r="H59" s="136"/>
      <c r="I59" s="136"/>
      <c r="J59" s="136"/>
      <c r="K59" s="136"/>
      <c r="L59" s="137"/>
      <c r="M59" s="137"/>
      <c r="N59" s="136"/>
      <c r="O59" s="136"/>
      <c r="P59" s="136"/>
      <c r="Q59" s="136"/>
      <c r="R59" s="136"/>
      <c r="S59" s="136"/>
      <c r="T59" s="136"/>
      <c r="U59" s="136"/>
      <c r="V59" s="136"/>
      <c r="W59" s="136"/>
      <c r="X59" s="136"/>
      <c r="Y59" s="136"/>
      <c r="Z59" s="136"/>
      <c r="AA59" s="136"/>
      <c r="AB59" s="136"/>
      <c r="AC59" s="136"/>
      <c r="AD59" s="136"/>
      <c r="AE59" s="136"/>
      <c r="AF59" s="136"/>
      <c r="AG59" s="136"/>
      <c r="AH59" s="136"/>
      <c r="AI59" s="136"/>
    </row>
    <row r="60" spans="1:39" ht="15.75" thickBot="1">
      <c r="A60" s="97"/>
      <c r="B60" s="128"/>
      <c r="C60" s="130"/>
      <c r="D60" s="130"/>
      <c r="E60" s="130"/>
      <c r="F60" s="130"/>
      <c r="G60" s="130"/>
      <c r="H60" s="130"/>
      <c r="I60" s="130"/>
      <c r="J60" s="130"/>
      <c r="K60" s="130"/>
      <c r="L60" s="130"/>
      <c r="M60" s="130"/>
      <c r="N60" s="130"/>
      <c r="O60" s="130"/>
      <c r="P60" s="130"/>
      <c r="Q60" s="130"/>
      <c r="R60" s="130"/>
      <c r="S60" s="130"/>
      <c r="T60" s="130"/>
      <c r="U60" s="130"/>
      <c r="V60" s="130"/>
      <c r="W60" s="130"/>
      <c r="X60" s="130"/>
      <c r="Y60" s="130"/>
      <c r="Z60" s="130"/>
      <c r="AA60" s="130"/>
      <c r="AB60" s="130"/>
      <c r="AC60" s="130"/>
      <c r="AD60" s="130"/>
      <c r="AE60" s="130"/>
      <c r="AF60" s="130"/>
      <c r="AG60" s="130"/>
      <c r="AH60" s="130"/>
      <c r="AI60" s="130"/>
    </row>
    <row r="61" spans="1:39" ht="15.75" thickTop="1">
      <c r="A61" s="97"/>
      <c r="B61" s="97"/>
      <c r="C61" s="97"/>
      <c r="D61" s="97"/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97"/>
      <c r="T61" s="97"/>
      <c r="U61" s="97"/>
      <c r="V61" s="97"/>
      <c r="W61" s="97"/>
      <c r="X61" s="97"/>
      <c r="Y61" s="97"/>
      <c r="Z61" s="97"/>
      <c r="AA61" s="97"/>
      <c r="AB61" s="97"/>
      <c r="AC61" s="97"/>
      <c r="AD61" s="97"/>
      <c r="AE61" s="97"/>
      <c r="AF61" s="97"/>
      <c r="AG61" s="97"/>
      <c r="AH61" s="97"/>
      <c r="AI61" s="97"/>
    </row>
    <row r="62" spans="1:39" ht="15.75" thickBot="1">
      <c r="A62" s="97"/>
      <c r="B62" s="138"/>
      <c r="C62" s="139"/>
      <c r="D62" s="139"/>
      <c r="E62" s="139"/>
      <c r="F62" s="139"/>
      <c r="G62" s="139"/>
      <c r="H62" s="139"/>
      <c r="I62" s="139"/>
      <c r="J62" s="139"/>
      <c r="K62" s="139"/>
      <c r="L62" s="140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  <c r="AC62" s="139"/>
      <c r="AD62" s="139"/>
      <c r="AE62" s="139"/>
      <c r="AF62" s="139"/>
      <c r="AG62" s="139"/>
      <c r="AH62" s="139"/>
      <c r="AI62" s="139"/>
    </row>
    <row r="63" spans="1:39">
      <c r="A63" s="97"/>
      <c r="B63" s="141"/>
      <c r="C63" s="141"/>
      <c r="D63" s="142"/>
      <c r="E63" s="97"/>
      <c r="F63" s="119"/>
      <c r="G63" s="143"/>
      <c r="H63" s="144"/>
      <c r="I63" s="144"/>
      <c r="J63" s="144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4"/>
      <c r="AB63" s="144"/>
      <c r="AC63" s="144"/>
      <c r="AD63" s="144"/>
      <c r="AE63" s="144"/>
      <c r="AF63" s="144"/>
      <c r="AG63" s="144"/>
      <c r="AH63" s="144"/>
      <c r="AI63" s="144"/>
    </row>
    <row r="64" spans="1:39" ht="15.75" thickBot="1">
      <c r="A64" s="97"/>
      <c r="B64" s="141"/>
      <c r="C64" s="119"/>
      <c r="D64" s="145"/>
      <c r="E64" s="97"/>
      <c r="F64" s="146"/>
      <c r="G64" s="141"/>
      <c r="H64" s="147"/>
      <c r="I64" s="147"/>
      <c r="J64" s="147"/>
      <c r="K64" s="147"/>
      <c r="L64" s="148"/>
      <c r="M64" s="147"/>
      <c r="N64" s="147"/>
      <c r="O64" s="147"/>
      <c r="P64" s="147"/>
      <c r="Q64" s="147"/>
      <c r="R64" s="147"/>
      <c r="S64" s="147"/>
      <c r="T64" s="147"/>
      <c r="U64" s="147"/>
      <c r="V64" s="147"/>
      <c r="W64" s="147"/>
      <c r="X64" s="147"/>
      <c r="Y64" s="147"/>
      <c r="Z64" s="147"/>
      <c r="AA64" s="147"/>
      <c r="AB64" s="147"/>
      <c r="AC64" s="147"/>
      <c r="AD64" s="147"/>
      <c r="AE64" s="147"/>
      <c r="AF64" s="147"/>
      <c r="AG64" s="147"/>
      <c r="AH64" s="147"/>
      <c r="AI64" s="147"/>
    </row>
    <row r="65" spans="1:39" ht="15.75" thickTop="1">
      <c r="A65" s="97"/>
      <c r="B65" s="97"/>
      <c r="C65" s="97"/>
      <c r="D65" s="97"/>
      <c r="E65" s="97"/>
      <c r="F65" s="149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150"/>
      <c r="AC65" s="150"/>
      <c r="AD65" s="150"/>
      <c r="AE65" s="150"/>
      <c r="AF65" s="150"/>
      <c r="AG65" s="150"/>
      <c r="AH65" s="150"/>
      <c r="AI65" s="150"/>
    </row>
    <row r="66" spans="1:39">
      <c r="A66" s="97"/>
      <c r="B66" s="372"/>
      <c r="C66" s="372"/>
      <c r="D66" s="372"/>
      <c r="E66" s="97"/>
      <c r="F66" s="112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  <c r="AG66" s="165"/>
      <c r="AH66" s="165"/>
      <c r="AI66" s="165"/>
    </row>
    <row r="67" spans="1:39" ht="15.75" thickBot="1">
      <c r="A67" s="97"/>
      <c r="B67" s="372"/>
      <c r="C67" s="372"/>
      <c r="D67" s="372"/>
      <c r="E67" s="97"/>
      <c r="F67" s="112"/>
      <c r="G67" s="152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  <c r="AH67" s="153"/>
      <c r="AI67" s="153"/>
    </row>
    <row r="68" spans="1:39" ht="15.75" thickTop="1">
      <c r="A68" s="97"/>
      <c r="B68" s="372"/>
      <c r="C68" s="372"/>
      <c r="D68" s="372"/>
      <c r="E68" s="97"/>
      <c r="F68" s="141"/>
      <c r="G68" s="154"/>
      <c r="H68" s="154"/>
      <c r="I68" s="154"/>
      <c r="J68" s="154"/>
      <c r="K68" s="154"/>
      <c r="L68" s="154"/>
      <c r="M68" s="154"/>
      <c r="N68" s="154"/>
      <c r="O68" s="154"/>
      <c r="P68" s="154"/>
      <c r="Q68" s="154"/>
      <c r="R68" s="154"/>
      <c r="S68" s="154"/>
      <c r="T68" s="154"/>
      <c r="U68" s="154"/>
      <c r="V68" s="154"/>
      <c r="W68" s="154"/>
      <c r="X68" s="154"/>
      <c r="Y68" s="154"/>
      <c r="Z68" s="154"/>
      <c r="AA68" s="154"/>
      <c r="AB68" s="154"/>
      <c r="AC68" s="154"/>
      <c r="AD68" s="154"/>
      <c r="AE68" s="154"/>
      <c r="AF68" s="154"/>
      <c r="AG68" s="154"/>
      <c r="AH68" s="154"/>
      <c r="AI68" s="154"/>
    </row>
    <row r="69" spans="1:39" ht="15.75" thickBot="1">
      <c r="A69" s="97"/>
      <c r="B69" s="372"/>
      <c r="C69" s="372"/>
      <c r="D69" s="372"/>
      <c r="E69" s="97"/>
      <c r="F69" s="155"/>
      <c r="G69" s="156"/>
      <c r="H69" s="156"/>
      <c r="I69" s="156"/>
      <c r="J69" s="156"/>
      <c r="K69" s="156"/>
      <c r="L69" s="157"/>
      <c r="M69" s="156"/>
      <c r="N69" s="156"/>
      <c r="O69" s="156"/>
      <c r="P69" s="156"/>
      <c r="Q69" s="156"/>
      <c r="R69" s="156"/>
      <c r="S69" s="156"/>
      <c r="T69" s="156"/>
      <c r="U69" s="156"/>
      <c r="V69" s="156"/>
      <c r="W69" s="156"/>
      <c r="X69" s="156"/>
      <c r="Y69" s="156"/>
      <c r="Z69" s="156"/>
      <c r="AA69" s="156"/>
      <c r="AB69" s="156"/>
      <c r="AC69" s="156"/>
      <c r="AD69" s="156"/>
      <c r="AE69" s="156"/>
      <c r="AF69" s="156"/>
      <c r="AG69" s="156"/>
      <c r="AH69" s="156"/>
      <c r="AI69" s="156"/>
    </row>
    <row r="70" spans="1:39">
      <c r="A70" s="97"/>
      <c r="B70" s="372"/>
      <c r="C70" s="372"/>
      <c r="D70" s="372"/>
      <c r="E70" s="97"/>
      <c r="F70" s="158"/>
      <c r="G70" s="159"/>
      <c r="H70" s="159"/>
      <c r="I70" s="159"/>
      <c r="J70" s="159"/>
      <c r="K70" s="159"/>
      <c r="L70" s="160"/>
      <c r="M70" s="160"/>
      <c r="N70" s="159"/>
      <c r="O70" s="159"/>
      <c r="P70" s="159"/>
      <c r="Q70" s="159"/>
      <c r="R70" s="159"/>
      <c r="S70" s="159"/>
      <c r="T70" s="159"/>
      <c r="U70" s="159"/>
      <c r="V70" s="159"/>
      <c r="W70" s="159"/>
      <c r="X70" s="159"/>
      <c r="Y70" s="159"/>
      <c r="Z70" s="159"/>
      <c r="AA70" s="159"/>
      <c r="AB70" s="159"/>
      <c r="AC70" s="159"/>
      <c r="AD70" s="159"/>
      <c r="AE70" s="159"/>
      <c r="AF70" s="159"/>
      <c r="AG70" s="159"/>
      <c r="AH70" s="159"/>
      <c r="AI70" s="159"/>
    </row>
    <row r="71" spans="1:39">
      <c r="A71" s="97"/>
      <c r="B71" s="372"/>
      <c r="C71" s="372"/>
      <c r="D71" s="372"/>
      <c r="E71" s="97"/>
      <c r="F71" s="161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62"/>
      <c r="AA71" s="162"/>
      <c r="AB71" s="162"/>
      <c r="AC71" s="162"/>
      <c r="AD71" s="162"/>
      <c r="AE71" s="162"/>
      <c r="AF71" s="162"/>
      <c r="AG71" s="162"/>
      <c r="AH71" s="162"/>
      <c r="AI71" s="162"/>
    </row>
    <row r="72" spans="1:39">
      <c r="A72" s="97"/>
      <c r="B72" s="372"/>
      <c r="C72" s="372"/>
      <c r="D72" s="372"/>
      <c r="E72" s="97"/>
      <c r="F72" s="161"/>
      <c r="G72" s="132"/>
      <c r="H72" s="132"/>
      <c r="I72" s="132"/>
      <c r="J72" s="132"/>
      <c r="K72" s="132"/>
      <c r="L72" s="133"/>
      <c r="M72" s="133"/>
      <c r="N72" s="132"/>
      <c r="O72" s="132"/>
      <c r="P72" s="132"/>
      <c r="Q72" s="132"/>
      <c r="R72" s="132"/>
      <c r="S72" s="132"/>
      <c r="T72" s="132"/>
      <c r="U72" s="132"/>
      <c r="V72" s="132"/>
      <c r="W72" s="132"/>
      <c r="X72" s="132"/>
      <c r="Y72" s="132"/>
      <c r="Z72" s="132"/>
      <c r="AA72" s="132"/>
      <c r="AB72" s="132"/>
      <c r="AC72" s="132"/>
      <c r="AD72" s="132"/>
      <c r="AE72" s="132"/>
      <c r="AF72" s="132"/>
      <c r="AG72" s="132"/>
      <c r="AH72" s="132"/>
      <c r="AI72" s="132"/>
    </row>
    <row r="73" spans="1:39">
      <c r="A73" s="97"/>
      <c r="B73" s="372"/>
      <c r="C73" s="372"/>
      <c r="D73" s="372"/>
      <c r="E73" s="97"/>
      <c r="F73" s="161"/>
      <c r="G73" s="132"/>
      <c r="H73" s="132"/>
      <c r="I73" s="132"/>
      <c r="J73" s="132"/>
      <c r="K73" s="132"/>
      <c r="L73" s="133"/>
      <c r="M73" s="133"/>
      <c r="N73" s="132"/>
      <c r="O73" s="132"/>
      <c r="P73" s="132"/>
      <c r="Q73" s="132"/>
      <c r="R73" s="132"/>
      <c r="S73" s="132"/>
      <c r="T73" s="132"/>
      <c r="U73" s="132"/>
      <c r="V73" s="132"/>
      <c r="W73" s="132"/>
      <c r="X73" s="132"/>
      <c r="Y73" s="132"/>
      <c r="Z73" s="132"/>
      <c r="AA73" s="132"/>
      <c r="AB73" s="132"/>
      <c r="AC73" s="132"/>
      <c r="AD73" s="132"/>
      <c r="AE73" s="132"/>
      <c r="AF73" s="132"/>
      <c r="AG73" s="132"/>
      <c r="AH73" s="132"/>
      <c r="AI73" s="132"/>
    </row>
    <row r="74" spans="1:39">
      <c r="A74" s="97"/>
      <c r="B74" s="372"/>
      <c r="C74" s="372"/>
      <c r="D74" s="372"/>
      <c r="E74" s="97"/>
      <c r="F74" s="161"/>
      <c r="G74" s="132"/>
      <c r="H74" s="132"/>
      <c r="I74" s="132"/>
      <c r="J74" s="132"/>
      <c r="K74" s="132"/>
      <c r="L74" s="133"/>
      <c r="M74" s="133"/>
      <c r="N74" s="132"/>
      <c r="O74" s="132"/>
      <c r="P74" s="132"/>
      <c r="Q74" s="132"/>
      <c r="R74" s="132"/>
      <c r="S74" s="132"/>
      <c r="T74" s="132"/>
      <c r="U74" s="132"/>
      <c r="V74" s="132"/>
      <c r="W74" s="132"/>
      <c r="X74" s="132"/>
      <c r="Y74" s="132"/>
      <c r="Z74" s="132"/>
      <c r="AA74" s="132"/>
      <c r="AB74" s="132"/>
      <c r="AC74" s="132"/>
      <c r="AD74" s="132"/>
      <c r="AE74" s="132"/>
      <c r="AF74" s="132"/>
      <c r="AG74" s="132"/>
      <c r="AH74" s="132"/>
      <c r="AI74" s="132"/>
    </row>
    <row r="75" spans="1:39" ht="15.75" thickBot="1">
      <c r="A75" s="97"/>
      <c r="B75" s="372"/>
      <c r="C75" s="372"/>
      <c r="D75" s="372"/>
      <c r="E75" s="97"/>
      <c r="F75" s="163"/>
      <c r="G75" s="129"/>
      <c r="H75" s="129"/>
      <c r="I75" s="129"/>
      <c r="J75" s="129"/>
      <c r="K75" s="129"/>
      <c r="L75" s="164"/>
      <c r="M75" s="129"/>
      <c r="N75" s="129"/>
      <c r="O75" s="129"/>
      <c r="P75" s="129"/>
      <c r="Q75" s="129"/>
      <c r="R75" s="129"/>
      <c r="S75" s="129"/>
      <c r="T75" s="129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29"/>
      <c r="AF75" s="129"/>
      <c r="AG75" s="129"/>
      <c r="AH75" s="129"/>
      <c r="AI75" s="129"/>
    </row>
    <row r="76" spans="1:39" ht="15.75" thickTop="1">
      <c r="A76" s="100"/>
      <c r="B76" s="100"/>
      <c r="C76" s="100"/>
      <c r="D76" s="100"/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  <c r="P76" s="100"/>
      <c r="Q76" s="100"/>
      <c r="R76" s="100"/>
      <c r="S76" s="100"/>
      <c r="T76" s="100"/>
      <c r="U76" s="100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</row>
    <row r="77" spans="1:39">
      <c r="A77" s="97"/>
      <c r="B77" s="97"/>
      <c r="C77" s="97"/>
      <c r="D77" s="97"/>
      <c r="E77" s="97"/>
      <c r="F77" s="100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97"/>
      <c r="T77" s="97"/>
      <c r="U77" s="97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</row>
    <row r="78" spans="1:39">
      <c r="A78" s="97"/>
      <c r="B78" s="116"/>
      <c r="C78" s="97"/>
      <c r="D78" s="117"/>
      <c r="E78" s="118"/>
      <c r="F78" s="119"/>
      <c r="G78" s="120"/>
      <c r="H78" s="97"/>
      <c r="I78" s="97"/>
      <c r="J78" s="97"/>
      <c r="K78" s="97"/>
      <c r="L78" s="97"/>
      <c r="M78" s="97"/>
      <c r="N78" s="97"/>
      <c r="O78" s="97"/>
      <c r="P78" s="97"/>
      <c r="Q78" s="97"/>
      <c r="R78" s="97"/>
      <c r="S78" s="97"/>
      <c r="T78" s="97"/>
      <c r="U78" s="97"/>
      <c r="V78" s="98"/>
      <c r="W78" s="98"/>
      <c r="X78" s="98"/>
      <c r="Y78" s="98"/>
      <c r="Z78" s="98"/>
      <c r="AA78" s="98"/>
      <c r="AB78" s="98"/>
      <c r="AC78" s="98"/>
      <c r="AD78" s="98"/>
      <c r="AE78" s="98"/>
      <c r="AF78" s="98"/>
      <c r="AG78" s="98"/>
      <c r="AH78" s="98"/>
      <c r="AI78" s="98"/>
    </row>
    <row r="79" spans="1:39">
      <c r="A79" s="97"/>
      <c r="B79" s="168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113"/>
      <c r="AE79" s="113"/>
      <c r="AF79" s="113"/>
      <c r="AG79" s="113"/>
      <c r="AH79" s="113"/>
      <c r="AI79" s="113"/>
      <c r="AJ79"/>
      <c r="AK79"/>
      <c r="AL79"/>
      <c r="AM79"/>
    </row>
    <row r="80" spans="1:39" ht="15.75" thickBot="1">
      <c r="A80" s="97"/>
      <c r="B80" s="121"/>
      <c r="C80" s="122"/>
      <c r="D80" s="122"/>
      <c r="E80" s="122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</row>
    <row r="81" spans="1:35">
      <c r="A81" s="97"/>
      <c r="B81" s="124"/>
      <c r="C81" s="125"/>
      <c r="D81" s="125"/>
      <c r="E81" s="125"/>
      <c r="F81" s="125"/>
      <c r="G81" s="125"/>
      <c r="H81" s="125"/>
      <c r="I81" s="125"/>
      <c r="J81" s="125"/>
      <c r="K81" s="126"/>
      <c r="L81" s="127"/>
      <c r="M81" s="127"/>
      <c r="N81" s="126"/>
      <c r="O81" s="126"/>
      <c r="P81" s="126"/>
      <c r="Q81" s="126"/>
      <c r="R81" s="126"/>
      <c r="S81" s="126"/>
      <c r="T81" s="126"/>
      <c r="U81" s="126"/>
      <c r="V81" s="126"/>
      <c r="W81" s="126"/>
      <c r="X81" s="126"/>
      <c r="Y81" s="126"/>
      <c r="Z81" s="126"/>
      <c r="AA81" s="126"/>
      <c r="AB81" s="126"/>
      <c r="AC81" s="126"/>
      <c r="AD81" s="126"/>
      <c r="AE81" s="126"/>
      <c r="AF81" s="126"/>
      <c r="AG81" s="126"/>
      <c r="AH81" s="126"/>
      <c r="AI81" s="126"/>
    </row>
    <row r="82" spans="1:35" ht="15.75" thickBot="1">
      <c r="A82" s="97"/>
      <c r="B82" s="128"/>
      <c r="C82" s="129"/>
      <c r="D82" s="129"/>
      <c r="E82" s="129"/>
      <c r="F82" s="129"/>
      <c r="G82" s="129"/>
      <c r="H82" s="129"/>
      <c r="I82" s="129"/>
      <c r="J82" s="129"/>
      <c r="K82" s="130"/>
      <c r="L82" s="130"/>
      <c r="M82" s="130"/>
      <c r="N82" s="130"/>
      <c r="O82" s="130"/>
      <c r="P82" s="130"/>
      <c r="Q82" s="130"/>
      <c r="R82" s="130"/>
      <c r="S82" s="130"/>
      <c r="T82" s="130"/>
      <c r="U82" s="130"/>
      <c r="V82" s="130"/>
      <c r="W82" s="130"/>
      <c r="X82" s="130"/>
      <c r="Y82" s="130"/>
      <c r="Z82" s="130"/>
      <c r="AA82" s="130"/>
      <c r="AB82" s="130"/>
      <c r="AC82" s="130"/>
      <c r="AD82" s="130"/>
      <c r="AE82" s="130"/>
      <c r="AF82" s="130"/>
      <c r="AG82" s="130"/>
      <c r="AH82" s="130"/>
      <c r="AI82" s="130"/>
    </row>
    <row r="83" spans="1:35" ht="15.75" thickTop="1">
      <c r="A83" s="97"/>
      <c r="B83" s="131"/>
      <c r="C83" s="132"/>
      <c r="D83" s="132"/>
      <c r="E83" s="132"/>
      <c r="F83" s="132"/>
      <c r="G83" s="132"/>
      <c r="H83" s="132"/>
      <c r="I83" s="132"/>
      <c r="J83" s="132"/>
      <c r="K83" s="132"/>
      <c r="L83" s="133"/>
      <c r="M83" s="133"/>
      <c r="N83" s="132"/>
      <c r="O83" s="132"/>
      <c r="P83" s="132"/>
      <c r="Q83" s="132"/>
      <c r="R83" s="132"/>
      <c r="S83" s="132"/>
      <c r="T83" s="132"/>
      <c r="U83" s="132"/>
      <c r="V83" s="132"/>
      <c r="W83" s="132"/>
      <c r="X83" s="132"/>
      <c r="Y83" s="132"/>
      <c r="Z83" s="132"/>
      <c r="AA83" s="132"/>
      <c r="AB83" s="132"/>
      <c r="AC83" s="132"/>
      <c r="AD83" s="132"/>
      <c r="AE83" s="132"/>
      <c r="AF83" s="132"/>
      <c r="AG83" s="132"/>
      <c r="AH83" s="132"/>
      <c r="AI83" s="132"/>
    </row>
    <row r="84" spans="1:35" ht="15.75" thickBot="1">
      <c r="A84" s="97"/>
      <c r="B84" s="128"/>
      <c r="C84" s="134"/>
      <c r="D84" s="134"/>
      <c r="E84" s="134"/>
      <c r="F84" s="134"/>
      <c r="G84" s="130"/>
      <c r="H84" s="130"/>
      <c r="I84" s="130"/>
      <c r="J84" s="130"/>
      <c r="K84" s="130"/>
      <c r="L84" s="130"/>
      <c r="M84" s="130"/>
      <c r="N84" s="130"/>
      <c r="O84" s="130"/>
      <c r="P84" s="130"/>
      <c r="Q84" s="130"/>
      <c r="R84" s="130"/>
      <c r="S84" s="130"/>
      <c r="T84" s="130"/>
      <c r="U84" s="130"/>
      <c r="V84" s="130"/>
      <c r="W84" s="130"/>
      <c r="X84" s="130"/>
      <c r="Y84" s="130"/>
      <c r="Z84" s="130"/>
      <c r="AA84" s="130"/>
      <c r="AB84" s="130"/>
      <c r="AC84" s="130"/>
      <c r="AD84" s="130"/>
      <c r="AE84" s="130"/>
      <c r="AF84" s="130"/>
      <c r="AG84" s="130"/>
      <c r="AH84" s="130"/>
      <c r="AI84" s="130"/>
    </row>
    <row r="85" spans="1:35" ht="15.75" thickTop="1">
      <c r="A85" s="97"/>
      <c r="B85" s="135"/>
      <c r="C85" s="136"/>
      <c r="D85" s="136"/>
      <c r="E85" s="136"/>
      <c r="F85" s="136"/>
      <c r="G85" s="136"/>
      <c r="H85" s="136"/>
      <c r="I85" s="136"/>
      <c r="J85" s="136"/>
      <c r="K85" s="136"/>
      <c r="L85" s="137"/>
      <c r="M85" s="137"/>
      <c r="N85" s="136"/>
      <c r="O85" s="136"/>
      <c r="P85" s="136"/>
      <c r="Q85" s="136"/>
      <c r="R85" s="136"/>
      <c r="S85" s="136"/>
      <c r="T85" s="136"/>
      <c r="U85" s="136"/>
      <c r="V85" s="136"/>
      <c r="W85" s="136"/>
      <c r="X85" s="136"/>
      <c r="Y85" s="136"/>
      <c r="Z85" s="136"/>
      <c r="AA85" s="136"/>
      <c r="AB85" s="136"/>
      <c r="AC85" s="136"/>
      <c r="AD85" s="136"/>
      <c r="AE85" s="136"/>
      <c r="AF85" s="136"/>
      <c r="AG85" s="136"/>
      <c r="AH85" s="136"/>
      <c r="AI85" s="136"/>
    </row>
    <row r="86" spans="1:35" ht="15.75" thickBot="1">
      <c r="A86" s="97"/>
      <c r="B86" s="128"/>
      <c r="C86" s="130"/>
      <c r="D86" s="130"/>
      <c r="E86" s="130"/>
      <c r="F86" s="130"/>
      <c r="G86" s="130"/>
      <c r="H86" s="130"/>
      <c r="I86" s="130"/>
      <c r="J86" s="130"/>
      <c r="K86" s="130"/>
      <c r="L86" s="130"/>
      <c r="M86" s="130"/>
      <c r="N86" s="130"/>
      <c r="O86" s="130"/>
      <c r="P86" s="130"/>
      <c r="Q86" s="130"/>
      <c r="R86" s="130"/>
      <c r="S86" s="130"/>
      <c r="T86" s="130"/>
      <c r="U86" s="130"/>
      <c r="V86" s="130"/>
      <c r="W86" s="130"/>
      <c r="X86" s="130"/>
      <c r="Y86" s="130"/>
      <c r="Z86" s="130"/>
      <c r="AA86" s="130"/>
      <c r="AB86" s="130"/>
      <c r="AC86" s="130"/>
      <c r="AD86" s="130"/>
      <c r="AE86" s="130"/>
      <c r="AF86" s="130"/>
      <c r="AG86" s="130"/>
      <c r="AH86" s="130"/>
      <c r="AI86" s="130"/>
    </row>
    <row r="87" spans="1:35" ht="15.75" thickTop="1">
      <c r="A87" s="97"/>
      <c r="B87" s="97"/>
      <c r="C87" s="97"/>
      <c r="D87" s="97"/>
      <c r="E87" s="97"/>
      <c r="F87" s="97"/>
      <c r="G87" s="97"/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97"/>
      <c r="T87" s="97"/>
      <c r="U87" s="97"/>
      <c r="V87" s="97"/>
      <c r="W87" s="97"/>
      <c r="X87" s="97"/>
      <c r="Y87" s="97"/>
      <c r="Z87" s="97"/>
      <c r="AA87" s="97"/>
      <c r="AB87" s="97"/>
      <c r="AC87" s="97"/>
      <c r="AD87" s="97"/>
      <c r="AE87" s="97"/>
      <c r="AF87" s="97"/>
      <c r="AG87" s="97"/>
      <c r="AH87" s="97"/>
      <c r="AI87" s="97"/>
    </row>
    <row r="88" spans="1:35" ht="15.75" thickBot="1">
      <c r="A88" s="97"/>
      <c r="B88" s="138"/>
      <c r="C88" s="139"/>
      <c r="D88" s="139"/>
      <c r="E88" s="139"/>
      <c r="F88" s="139"/>
      <c r="G88" s="139"/>
      <c r="H88" s="139"/>
      <c r="I88" s="139"/>
      <c r="J88" s="139"/>
      <c r="K88" s="139"/>
      <c r="L88" s="140"/>
      <c r="M88" s="139"/>
      <c r="N88" s="139"/>
      <c r="O88" s="139"/>
      <c r="P88" s="139"/>
      <c r="Q88" s="139"/>
      <c r="R88" s="139"/>
      <c r="S88" s="139"/>
      <c r="T88" s="139"/>
      <c r="U88" s="139"/>
      <c r="V88" s="139"/>
      <c r="W88" s="139"/>
      <c r="X88" s="139"/>
      <c r="Y88" s="139"/>
      <c r="Z88" s="139"/>
      <c r="AA88" s="139"/>
      <c r="AB88" s="139"/>
      <c r="AC88" s="139"/>
      <c r="AD88" s="139"/>
      <c r="AE88" s="139"/>
      <c r="AF88" s="139"/>
      <c r="AG88" s="139"/>
      <c r="AH88" s="139"/>
      <c r="AI88" s="139"/>
    </row>
    <row r="89" spans="1:35">
      <c r="A89" s="97"/>
      <c r="B89" s="141"/>
      <c r="C89" s="141"/>
      <c r="D89" s="142"/>
      <c r="E89" s="97"/>
      <c r="F89" s="119"/>
      <c r="G89" s="143"/>
      <c r="H89" s="144"/>
      <c r="I89" s="144"/>
      <c r="J89" s="144"/>
      <c r="K89" s="144"/>
      <c r="L89" s="144"/>
      <c r="M89" s="144"/>
      <c r="N89" s="144"/>
      <c r="O89" s="144"/>
      <c r="P89" s="144"/>
      <c r="Q89" s="144"/>
      <c r="R89" s="144"/>
      <c r="S89" s="144"/>
      <c r="T89" s="144"/>
      <c r="U89" s="144"/>
      <c r="V89" s="144"/>
      <c r="W89" s="144"/>
      <c r="X89" s="144"/>
      <c r="Y89" s="144"/>
      <c r="Z89" s="144"/>
      <c r="AA89" s="144"/>
      <c r="AB89" s="144"/>
      <c r="AC89" s="144"/>
      <c r="AD89" s="144"/>
      <c r="AE89" s="144"/>
      <c r="AF89" s="144"/>
      <c r="AG89" s="144"/>
      <c r="AH89" s="144"/>
      <c r="AI89" s="144"/>
    </row>
    <row r="90" spans="1:35" ht="15.75" thickBot="1">
      <c r="A90" s="97"/>
      <c r="B90" s="141"/>
      <c r="C90" s="119"/>
      <c r="D90" s="145"/>
      <c r="E90" s="97"/>
      <c r="F90" s="146"/>
      <c r="G90" s="141"/>
      <c r="H90" s="147"/>
      <c r="I90" s="147"/>
      <c r="J90" s="147"/>
      <c r="K90" s="147"/>
      <c r="L90" s="148"/>
      <c r="M90" s="147"/>
      <c r="N90" s="147"/>
      <c r="O90" s="147"/>
      <c r="P90" s="147"/>
      <c r="Q90" s="147"/>
      <c r="R90" s="147"/>
      <c r="S90" s="147"/>
      <c r="T90" s="147"/>
      <c r="U90" s="147"/>
      <c r="V90" s="147"/>
      <c r="W90" s="147"/>
      <c r="X90" s="147"/>
      <c r="Y90" s="147"/>
      <c r="Z90" s="147"/>
      <c r="AA90" s="147"/>
      <c r="AB90" s="147"/>
      <c r="AC90" s="147"/>
      <c r="AD90" s="147"/>
      <c r="AE90" s="147"/>
      <c r="AF90" s="147"/>
      <c r="AG90" s="147"/>
      <c r="AH90" s="147"/>
      <c r="AI90" s="147"/>
    </row>
    <row r="91" spans="1:35" ht="15.75" thickTop="1">
      <c r="A91" s="97"/>
      <c r="B91" s="97"/>
      <c r="C91" s="97"/>
      <c r="D91" s="97"/>
      <c r="E91" s="97"/>
      <c r="F91" s="149"/>
      <c r="G91" s="150"/>
      <c r="H91" s="150"/>
      <c r="I91" s="150"/>
      <c r="J91" s="150"/>
      <c r="K91" s="150"/>
      <c r="L91" s="150"/>
      <c r="M91" s="150"/>
      <c r="N91" s="150"/>
      <c r="O91" s="150"/>
      <c r="P91" s="150"/>
      <c r="Q91" s="150"/>
      <c r="R91" s="150"/>
      <c r="S91" s="150"/>
      <c r="T91" s="150"/>
      <c r="U91" s="150"/>
      <c r="V91" s="150"/>
      <c r="W91" s="150"/>
      <c r="X91" s="150"/>
      <c r="Y91" s="150"/>
      <c r="Z91" s="150"/>
      <c r="AA91" s="150"/>
      <c r="AB91" s="150"/>
      <c r="AC91" s="150"/>
      <c r="AD91" s="150"/>
      <c r="AE91" s="150"/>
      <c r="AF91" s="150"/>
      <c r="AG91" s="150"/>
      <c r="AH91" s="150"/>
      <c r="AI91" s="150"/>
    </row>
    <row r="92" spans="1:35">
      <c r="A92" s="97"/>
      <c r="B92" s="372"/>
      <c r="C92" s="372"/>
      <c r="D92" s="372"/>
      <c r="E92" s="97"/>
      <c r="F92" s="112"/>
      <c r="G92" s="151"/>
      <c r="H92" s="151"/>
      <c r="I92" s="151"/>
      <c r="J92" s="151"/>
      <c r="K92" s="151"/>
      <c r="L92" s="151"/>
      <c r="M92" s="151"/>
      <c r="N92" s="151"/>
      <c r="O92" s="151"/>
      <c r="P92" s="151"/>
      <c r="Q92" s="151"/>
      <c r="R92" s="151"/>
      <c r="S92" s="165"/>
      <c r="T92" s="165"/>
      <c r="U92" s="165"/>
      <c r="V92" s="165"/>
      <c r="W92" s="165"/>
      <c r="X92" s="165"/>
      <c r="Y92" s="165"/>
      <c r="Z92" s="165"/>
      <c r="AA92" s="165"/>
      <c r="AB92" s="165"/>
      <c r="AC92" s="165"/>
      <c r="AD92" s="165"/>
      <c r="AE92" s="165"/>
      <c r="AF92" s="165"/>
      <c r="AG92" s="165"/>
      <c r="AH92" s="165"/>
      <c r="AI92" s="165"/>
    </row>
    <row r="93" spans="1:35" ht="15.75" thickBot="1">
      <c r="A93" s="97"/>
      <c r="B93" s="372"/>
      <c r="C93" s="372"/>
      <c r="D93" s="372"/>
      <c r="E93" s="97"/>
      <c r="F93" s="112"/>
      <c r="G93" s="152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  <c r="AH93" s="153"/>
      <c r="AI93" s="153"/>
    </row>
    <row r="94" spans="1:35" ht="15.75" thickTop="1">
      <c r="A94" s="97"/>
      <c r="B94" s="372"/>
      <c r="C94" s="372"/>
      <c r="D94" s="372"/>
      <c r="E94" s="97"/>
      <c r="F94" s="141"/>
      <c r="G94" s="154"/>
      <c r="H94" s="154"/>
      <c r="I94" s="154"/>
      <c r="J94" s="154"/>
      <c r="K94" s="154"/>
      <c r="L94" s="154"/>
      <c r="M94" s="154"/>
      <c r="N94" s="154"/>
      <c r="O94" s="154"/>
      <c r="P94" s="154"/>
      <c r="Q94" s="154"/>
      <c r="R94" s="154"/>
      <c r="S94" s="154"/>
      <c r="T94" s="154"/>
      <c r="U94" s="154"/>
      <c r="V94" s="154"/>
      <c r="W94" s="154"/>
      <c r="X94" s="154"/>
      <c r="Y94" s="154"/>
      <c r="Z94" s="154"/>
      <c r="AA94" s="154"/>
      <c r="AB94" s="154"/>
      <c r="AC94" s="154"/>
      <c r="AD94" s="154"/>
      <c r="AE94" s="154"/>
      <c r="AF94" s="154"/>
      <c r="AG94" s="154"/>
      <c r="AH94" s="154"/>
      <c r="AI94" s="154"/>
    </row>
    <row r="95" spans="1:35" ht="15.75" thickBot="1">
      <c r="A95" s="97"/>
      <c r="B95" s="372"/>
      <c r="C95" s="372"/>
      <c r="D95" s="372"/>
      <c r="E95" s="97"/>
      <c r="F95" s="155"/>
      <c r="G95" s="156"/>
      <c r="H95" s="156"/>
      <c r="I95" s="156"/>
      <c r="J95" s="156"/>
      <c r="K95" s="156"/>
      <c r="L95" s="157"/>
      <c r="M95" s="156"/>
      <c r="N95" s="156"/>
      <c r="O95" s="156"/>
      <c r="P95" s="156"/>
      <c r="Q95" s="156"/>
      <c r="R95" s="156"/>
      <c r="S95" s="156"/>
      <c r="T95" s="156"/>
      <c r="U95" s="156"/>
      <c r="V95" s="156"/>
      <c r="W95" s="156"/>
      <c r="X95" s="156"/>
      <c r="Y95" s="156"/>
      <c r="Z95" s="156"/>
      <c r="AA95" s="156"/>
      <c r="AB95" s="156"/>
      <c r="AC95" s="156"/>
      <c r="AD95" s="156"/>
      <c r="AE95" s="156"/>
      <c r="AF95" s="156"/>
      <c r="AG95" s="156"/>
      <c r="AH95" s="156"/>
      <c r="AI95" s="156"/>
    </row>
    <row r="96" spans="1:35">
      <c r="A96" s="97"/>
      <c r="B96" s="372"/>
      <c r="C96" s="372"/>
      <c r="D96" s="372"/>
      <c r="E96" s="97"/>
      <c r="F96" s="158"/>
      <c r="G96" s="159"/>
      <c r="H96" s="159"/>
      <c r="I96" s="159"/>
      <c r="J96" s="159"/>
      <c r="K96" s="159"/>
      <c r="L96" s="160"/>
      <c r="M96" s="160"/>
      <c r="N96" s="159"/>
      <c r="O96" s="159"/>
      <c r="P96" s="159"/>
      <c r="Q96" s="159"/>
      <c r="R96" s="159"/>
      <c r="S96" s="159"/>
      <c r="T96" s="159"/>
      <c r="U96" s="159"/>
      <c r="V96" s="159"/>
      <c r="W96" s="159"/>
      <c r="X96" s="159"/>
      <c r="Y96" s="159"/>
      <c r="Z96" s="159"/>
      <c r="AA96" s="159"/>
      <c r="AB96" s="159"/>
      <c r="AC96" s="159"/>
      <c r="AD96" s="159"/>
      <c r="AE96" s="159"/>
      <c r="AF96" s="159"/>
      <c r="AG96" s="159"/>
      <c r="AH96" s="159"/>
      <c r="AI96" s="159"/>
    </row>
    <row r="97" spans="1:39">
      <c r="A97" s="97"/>
      <c r="B97" s="372"/>
      <c r="C97" s="372"/>
      <c r="D97" s="372"/>
      <c r="E97" s="97"/>
      <c r="F97" s="161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2"/>
      <c r="AE97" s="162"/>
      <c r="AF97" s="162"/>
      <c r="AG97" s="162"/>
      <c r="AH97" s="162"/>
      <c r="AI97" s="162"/>
    </row>
    <row r="98" spans="1:39">
      <c r="A98" s="97"/>
      <c r="B98" s="372"/>
      <c r="C98" s="372"/>
      <c r="D98" s="372"/>
      <c r="E98" s="97"/>
      <c r="F98" s="161"/>
      <c r="G98" s="132"/>
      <c r="H98" s="132"/>
      <c r="I98" s="132"/>
      <c r="J98" s="132"/>
      <c r="K98" s="132"/>
      <c r="L98" s="133"/>
      <c r="M98" s="133"/>
      <c r="N98" s="132"/>
      <c r="O98" s="132"/>
      <c r="P98" s="132"/>
      <c r="Q98" s="132"/>
      <c r="R98" s="132"/>
      <c r="S98" s="132"/>
      <c r="T98" s="132"/>
      <c r="U98" s="132"/>
      <c r="V98" s="132"/>
      <c r="W98" s="132"/>
      <c r="X98" s="132"/>
      <c r="Y98" s="132"/>
      <c r="Z98" s="132"/>
      <c r="AA98" s="132"/>
      <c r="AB98" s="132"/>
      <c r="AC98" s="132"/>
      <c r="AD98" s="132"/>
      <c r="AE98" s="132"/>
      <c r="AF98" s="132"/>
      <c r="AG98" s="132"/>
      <c r="AH98" s="132"/>
      <c r="AI98" s="132"/>
    </row>
    <row r="99" spans="1:39">
      <c r="A99" s="97"/>
      <c r="B99" s="372"/>
      <c r="C99" s="372"/>
      <c r="D99" s="372"/>
      <c r="E99" s="97"/>
      <c r="F99" s="161"/>
      <c r="G99" s="132"/>
      <c r="H99" s="132"/>
      <c r="I99" s="132"/>
      <c r="J99" s="132"/>
      <c r="K99" s="132"/>
      <c r="L99" s="133"/>
      <c r="M99" s="133"/>
      <c r="N99" s="132"/>
      <c r="O99" s="132"/>
      <c r="P99" s="132"/>
      <c r="Q99" s="132"/>
      <c r="R99" s="132"/>
      <c r="S99" s="132"/>
      <c r="T99" s="132"/>
      <c r="U99" s="132"/>
      <c r="V99" s="132"/>
      <c r="W99" s="132"/>
      <c r="X99" s="132"/>
      <c r="Y99" s="132"/>
      <c r="Z99" s="132"/>
      <c r="AA99" s="132"/>
      <c r="AB99" s="132"/>
      <c r="AC99" s="132"/>
      <c r="AD99" s="132"/>
      <c r="AE99" s="132"/>
      <c r="AF99" s="132"/>
      <c r="AG99" s="132"/>
      <c r="AH99" s="132"/>
      <c r="AI99" s="132"/>
    </row>
    <row r="100" spans="1:39">
      <c r="A100" s="97"/>
      <c r="B100" s="372"/>
      <c r="C100" s="372"/>
      <c r="D100" s="372"/>
      <c r="E100" s="97"/>
      <c r="F100" s="161"/>
      <c r="G100" s="132"/>
      <c r="H100" s="132"/>
      <c r="I100" s="132"/>
      <c r="J100" s="132"/>
      <c r="K100" s="132"/>
      <c r="L100" s="133"/>
      <c r="M100" s="133"/>
      <c r="N100" s="132"/>
      <c r="O100" s="132"/>
      <c r="P100" s="132"/>
      <c r="Q100" s="132"/>
      <c r="R100" s="132"/>
      <c r="S100" s="132"/>
      <c r="T100" s="132"/>
      <c r="U100" s="132"/>
      <c r="V100" s="132"/>
      <c r="W100" s="132"/>
      <c r="X100" s="132"/>
      <c r="Y100" s="132"/>
      <c r="Z100" s="132"/>
      <c r="AA100" s="132"/>
      <c r="AB100" s="132"/>
      <c r="AC100" s="132"/>
      <c r="AD100" s="132"/>
      <c r="AE100" s="132"/>
      <c r="AF100" s="132"/>
      <c r="AG100" s="132"/>
      <c r="AH100" s="132"/>
      <c r="AI100" s="132"/>
    </row>
    <row r="101" spans="1:39" ht="15.75" thickBot="1">
      <c r="A101" s="97"/>
      <c r="B101" s="372"/>
      <c r="C101" s="372"/>
      <c r="D101" s="372"/>
      <c r="E101" s="97"/>
      <c r="F101" s="163"/>
      <c r="G101" s="129"/>
      <c r="H101" s="129"/>
      <c r="I101" s="129"/>
      <c r="J101" s="129"/>
      <c r="K101" s="129"/>
      <c r="L101" s="164"/>
      <c r="M101" s="129"/>
      <c r="N101" s="129"/>
      <c r="O101" s="129"/>
      <c r="P101" s="129"/>
      <c r="Q101" s="129"/>
      <c r="R101" s="129"/>
      <c r="S101" s="129"/>
      <c r="T101" s="129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29"/>
      <c r="AF101" s="129"/>
      <c r="AG101" s="129"/>
      <c r="AH101" s="129"/>
      <c r="AI101" s="129"/>
    </row>
    <row r="102" spans="1:39" ht="15.75" thickTop="1">
      <c r="A102" s="100"/>
      <c r="B102" s="100"/>
      <c r="C102" s="100"/>
      <c r="D102" s="100"/>
      <c r="E102" s="100"/>
      <c r="F102" s="100"/>
      <c r="G102" s="100"/>
      <c r="H102" s="100"/>
      <c r="I102" s="100"/>
      <c r="J102" s="100"/>
      <c r="K102" s="100"/>
      <c r="L102" s="100"/>
      <c r="M102" s="166"/>
      <c r="N102" s="166"/>
      <c r="O102" s="166"/>
      <c r="P102" s="166"/>
      <c r="Q102" s="100"/>
      <c r="R102" s="166"/>
      <c r="S102" s="166"/>
      <c r="T102" s="100"/>
      <c r="U102" s="166"/>
      <c r="V102" s="102"/>
      <c r="W102" s="102"/>
      <c r="X102" s="102"/>
      <c r="Y102" s="102"/>
      <c r="Z102" s="102"/>
      <c r="AA102" s="102"/>
      <c r="AB102" s="102"/>
      <c r="AC102" s="102"/>
      <c r="AD102" s="102"/>
      <c r="AE102" s="102"/>
      <c r="AF102" s="102"/>
      <c r="AG102" s="102"/>
      <c r="AH102" s="102"/>
      <c r="AI102" s="102"/>
    </row>
    <row r="103" spans="1:39">
      <c r="A103" s="97"/>
      <c r="B103" s="97"/>
      <c r="C103" s="97"/>
      <c r="D103" s="97"/>
      <c r="E103" s="97"/>
      <c r="F103" s="100"/>
      <c r="G103" s="97"/>
      <c r="H103" s="97"/>
      <c r="I103" s="97"/>
      <c r="J103" s="97"/>
      <c r="K103" s="97"/>
      <c r="L103" s="97"/>
      <c r="M103" s="167"/>
      <c r="N103" s="167"/>
      <c r="O103" s="167"/>
      <c r="P103" s="167"/>
      <c r="Q103" s="97"/>
      <c r="R103" s="167"/>
      <c r="S103" s="167"/>
      <c r="T103" s="97"/>
      <c r="U103" s="167"/>
      <c r="V103" s="98"/>
      <c r="W103" s="98"/>
      <c r="X103" s="98"/>
      <c r="Y103" s="98"/>
      <c r="Z103" s="98"/>
      <c r="AA103" s="98"/>
      <c r="AB103" s="98"/>
      <c r="AC103" s="98"/>
      <c r="AD103" s="98"/>
      <c r="AE103" s="98"/>
      <c r="AF103" s="98"/>
      <c r="AG103" s="98"/>
      <c r="AH103" s="98"/>
      <c r="AI103" s="98"/>
    </row>
    <row r="104" spans="1:39">
      <c r="A104" s="97"/>
      <c r="B104" s="116"/>
      <c r="C104" s="97"/>
      <c r="D104" s="117"/>
      <c r="E104" s="118"/>
      <c r="F104" s="119"/>
      <c r="G104" s="120"/>
      <c r="H104" s="97"/>
      <c r="I104" s="97"/>
      <c r="J104" s="97"/>
      <c r="K104" s="97"/>
      <c r="L104" s="97"/>
      <c r="M104" s="97"/>
      <c r="N104" s="97"/>
      <c r="O104" s="97"/>
      <c r="P104" s="97"/>
      <c r="Q104" s="97"/>
      <c r="R104" s="97"/>
      <c r="S104" s="97"/>
      <c r="T104" s="97"/>
      <c r="U104" s="97"/>
      <c r="V104" s="98"/>
      <c r="W104" s="98"/>
      <c r="X104" s="98"/>
      <c r="Y104" s="98"/>
      <c r="Z104" s="98"/>
      <c r="AA104" s="98"/>
      <c r="AB104" s="98"/>
      <c r="AC104" s="98"/>
      <c r="AD104" s="98"/>
      <c r="AE104" s="98"/>
      <c r="AF104" s="98"/>
      <c r="AG104" s="98"/>
      <c r="AH104" s="98"/>
      <c r="AI104" s="98"/>
    </row>
    <row r="105" spans="1:39">
      <c r="A105" s="97"/>
      <c r="B105" s="168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113"/>
      <c r="AE105" s="113"/>
      <c r="AF105" s="113"/>
      <c r="AG105" s="113"/>
      <c r="AH105" s="113"/>
      <c r="AI105" s="113"/>
      <c r="AJ105"/>
      <c r="AK105"/>
      <c r="AL105"/>
      <c r="AM105"/>
    </row>
    <row r="106" spans="1:39" ht="15.75" thickBot="1">
      <c r="A106" s="97"/>
      <c r="B106" s="121"/>
      <c r="C106" s="122"/>
      <c r="D106" s="122"/>
      <c r="E106" s="122"/>
      <c r="F106" s="123"/>
      <c r="G106" s="123"/>
      <c r="H106" s="123"/>
      <c r="I106" s="123"/>
      <c r="J106" s="123"/>
      <c r="K106" s="123"/>
      <c r="L106" s="123"/>
      <c r="M106" s="123"/>
      <c r="N106" s="123"/>
      <c r="O106" s="123"/>
      <c r="P106" s="123"/>
      <c r="Q106" s="123"/>
      <c r="R106" s="123"/>
      <c r="S106" s="123"/>
      <c r="T106" s="123"/>
      <c r="U106" s="123"/>
      <c r="V106" s="123"/>
      <c r="W106" s="123"/>
      <c r="X106" s="123"/>
      <c r="Y106" s="123"/>
      <c r="Z106" s="123"/>
      <c r="AA106" s="123"/>
      <c r="AB106" s="123"/>
      <c r="AC106" s="123"/>
      <c r="AD106" s="123"/>
      <c r="AE106" s="123"/>
      <c r="AF106" s="123"/>
      <c r="AG106" s="123"/>
      <c r="AH106" s="123"/>
      <c r="AI106" s="123"/>
    </row>
    <row r="107" spans="1:39">
      <c r="A107" s="97"/>
      <c r="B107" s="124"/>
      <c r="C107" s="125"/>
      <c r="D107" s="125"/>
      <c r="E107" s="125"/>
      <c r="F107" s="125"/>
      <c r="G107" s="125"/>
      <c r="H107" s="125"/>
      <c r="I107" s="125"/>
      <c r="J107" s="125"/>
      <c r="K107" s="126"/>
      <c r="L107" s="127"/>
      <c r="M107" s="127"/>
      <c r="N107" s="126"/>
      <c r="O107" s="126"/>
      <c r="P107" s="126"/>
      <c r="Q107" s="126"/>
      <c r="R107" s="126"/>
      <c r="S107" s="126"/>
      <c r="T107" s="126"/>
      <c r="U107" s="126"/>
      <c r="V107" s="126"/>
      <c r="W107" s="126"/>
      <c r="X107" s="126"/>
      <c r="Y107" s="126"/>
      <c r="Z107" s="126"/>
      <c r="AA107" s="126"/>
      <c r="AB107" s="126"/>
      <c r="AC107" s="126"/>
      <c r="AD107" s="126"/>
      <c r="AE107" s="126"/>
      <c r="AF107" s="126"/>
      <c r="AG107" s="126"/>
      <c r="AH107" s="126"/>
      <c r="AI107" s="126"/>
    </row>
    <row r="108" spans="1:39" ht="15.75" thickBot="1">
      <c r="A108" s="97"/>
      <c r="B108" s="128"/>
      <c r="C108" s="129"/>
      <c r="D108" s="129"/>
      <c r="E108" s="129"/>
      <c r="F108" s="129"/>
      <c r="G108" s="129"/>
      <c r="H108" s="129"/>
      <c r="I108" s="129"/>
      <c r="J108" s="129"/>
      <c r="K108" s="130"/>
      <c r="L108" s="130"/>
      <c r="M108" s="130"/>
      <c r="N108" s="130"/>
      <c r="O108" s="130"/>
      <c r="P108" s="130"/>
      <c r="Q108" s="130"/>
      <c r="R108" s="130"/>
      <c r="S108" s="130"/>
      <c r="T108" s="130"/>
      <c r="U108" s="130"/>
      <c r="V108" s="130"/>
      <c r="W108" s="130"/>
      <c r="X108" s="130"/>
      <c r="Y108" s="130"/>
      <c r="Z108" s="130"/>
      <c r="AA108" s="130"/>
      <c r="AB108" s="130"/>
      <c r="AC108" s="130"/>
      <c r="AD108" s="130"/>
      <c r="AE108" s="130"/>
      <c r="AF108" s="130"/>
      <c r="AG108" s="130"/>
      <c r="AH108" s="130"/>
      <c r="AI108" s="130"/>
    </row>
    <row r="109" spans="1:39" ht="15.75" thickTop="1">
      <c r="A109" s="97"/>
      <c r="B109" s="131"/>
      <c r="C109" s="132"/>
      <c r="D109" s="132"/>
      <c r="E109" s="132"/>
      <c r="F109" s="132"/>
      <c r="G109" s="132"/>
      <c r="H109" s="132"/>
      <c r="I109" s="132"/>
      <c r="J109" s="132"/>
      <c r="K109" s="132"/>
      <c r="L109" s="133"/>
      <c r="M109" s="133"/>
      <c r="N109" s="132"/>
      <c r="O109" s="132"/>
      <c r="P109" s="132"/>
      <c r="Q109" s="132"/>
      <c r="R109" s="132"/>
      <c r="S109" s="132"/>
      <c r="T109" s="132"/>
      <c r="U109" s="132"/>
      <c r="V109" s="132"/>
      <c r="W109" s="132"/>
      <c r="X109" s="132"/>
      <c r="Y109" s="132"/>
      <c r="Z109" s="132"/>
      <c r="AA109" s="132"/>
      <c r="AB109" s="132"/>
      <c r="AC109" s="132"/>
      <c r="AD109" s="132"/>
      <c r="AE109" s="132"/>
      <c r="AF109" s="132"/>
      <c r="AG109" s="132"/>
      <c r="AH109" s="132"/>
      <c r="AI109" s="132"/>
    </row>
    <row r="110" spans="1:39" ht="15.75" thickBot="1">
      <c r="A110" s="97"/>
      <c r="B110" s="128"/>
      <c r="C110" s="134"/>
      <c r="D110" s="134"/>
      <c r="E110" s="134"/>
      <c r="F110" s="134"/>
      <c r="G110" s="130"/>
      <c r="H110" s="130"/>
      <c r="I110" s="130"/>
      <c r="J110" s="130"/>
      <c r="K110" s="130"/>
      <c r="L110" s="130"/>
      <c r="M110" s="130"/>
      <c r="N110" s="130"/>
      <c r="O110" s="130"/>
      <c r="P110" s="130"/>
      <c r="Q110" s="130"/>
      <c r="R110" s="130"/>
      <c r="S110" s="130"/>
      <c r="T110" s="130"/>
      <c r="U110" s="130"/>
      <c r="V110" s="130"/>
      <c r="W110" s="130"/>
      <c r="X110" s="130"/>
      <c r="Y110" s="130"/>
      <c r="Z110" s="130"/>
      <c r="AA110" s="130"/>
      <c r="AB110" s="130"/>
      <c r="AC110" s="130"/>
      <c r="AD110" s="130"/>
      <c r="AE110" s="130"/>
      <c r="AF110" s="130"/>
      <c r="AG110" s="130"/>
      <c r="AH110" s="130"/>
      <c r="AI110" s="130"/>
    </row>
    <row r="111" spans="1:39" ht="15.75" thickTop="1">
      <c r="A111" s="97"/>
      <c r="B111" s="135"/>
      <c r="C111" s="136"/>
      <c r="D111" s="136"/>
      <c r="E111" s="136"/>
      <c r="F111" s="136"/>
      <c r="G111" s="136"/>
      <c r="H111" s="136"/>
      <c r="I111" s="136"/>
      <c r="J111" s="136"/>
      <c r="K111" s="136"/>
      <c r="L111" s="137"/>
      <c r="M111" s="137"/>
      <c r="N111" s="136"/>
      <c r="O111" s="136"/>
      <c r="P111" s="136"/>
      <c r="Q111" s="136"/>
      <c r="R111" s="136"/>
      <c r="S111" s="136"/>
      <c r="T111" s="136"/>
      <c r="U111" s="136"/>
      <c r="V111" s="136"/>
      <c r="W111" s="136"/>
      <c r="X111" s="136"/>
      <c r="Y111" s="136"/>
      <c r="Z111" s="136"/>
      <c r="AA111" s="136"/>
      <c r="AB111" s="136"/>
      <c r="AC111" s="136"/>
      <c r="AD111" s="136"/>
      <c r="AE111" s="136"/>
      <c r="AF111" s="136"/>
      <c r="AG111" s="136"/>
      <c r="AH111" s="136"/>
      <c r="AI111" s="136"/>
    </row>
    <row r="112" spans="1:39" ht="15.75" thickBot="1">
      <c r="A112" s="97"/>
      <c r="B112" s="128"/>
      <c r="C112" s="130"/>
      <c r="D112" s="130"/>
      <c r="E112" s="130"/>
      <c r="F112" s="130"/>
      <c r="G112" s="130"/>
      <c r="H112" s="130"/>
      <c r="I112" s="130"/>
      <c r="J112" s="130"/>
      <c r="K112" s="130"/>
      <c r="L112" s="130"/>
      <c r="M112" s="130"/>
      <c r="N112" s="130"/>
      <c r="O112" s="130"/>
      <c r="P112" s="130"/>
      <c r="Q112" s="130"/>
      <c r="R112" s="130"/>
      <c r="S112" s="130"/>
      <c r="T112" s="13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</row>
    <row r="113" spans="1:35" ht="15.75" thickTop="1">
      <c r="A113" s="97"/>
      <c r="B113" s="97"/>
      <c r="C113" s="97"/>
      <c r="D113" s="97"/>
      <c r="E113" s="97"/>
      <c r="F113" s="97"/>
      <c r="G113" s="97"/>
      <c r="H113" s="97"/>
      <c r="I113" s="97"/>
      <c r="J113" s="97"/>
      <c r="K113" s="97"/>
      <c r="L113" s="97"/>
      <c r="M113" s="97"/>
      <c r="N113" s="97"/>
      <c r="O113" s="97"/>
      <c r="P113" s="97"/>
      <c r="Q113" s="97"/>
      <c r="R113" s="97"/>
      <c r="S113" s="97"/>
      <c r="T113" s="97"/>
      <c r="U113" s="97"/>
      <c r="V113" s="97"/>
      <c r="W113" s="97"/>
      <c r="X113" s="97"/>
      <c r="Y113" s="97"/>
      <c r="Z113" s="97"/>
      <c r="AA113" s="97"/>
      <c r="AB113" s="97"/>
      <c r="AC113" s="97"/>
      <c r="AD113" s="97"/>
      <c r="AE113" s="97"/>
      <c r="AF113" s="97"/>
      <c r="AG113" s="97"/>
      <c r="AH113" s="97"/>
      <c r="AI113" s="97"/>
    </row>
    <row r="114" spans="1:35" ht="15.75" thickBot="1">
      <c r="A114" s="97"/>
      <c r="B114" s="138"/>
      <c r="C114" s="139"/>
      <c r="D114" s="139"/>
      <c r="E114" s="139"/>
      <c r="F114" s="139"/>
      <c r="G114" s="139"/>
      <c r="H114" s="139"/>
      <c r="I114" s="139"/>
      <c r="J114" s="139"/>
      <c r="K114" s="139"/>
      <c r="L114" s="140"/>
      <c r="M114" s="139"/>
      <c r="N114" s="139"/>
      <c r="O114" s="139"/>
      <c r="P114" s="139"/>
      <c r="Q114" s="139"/>
      <c r="R114" s="139"/>
      <c r="S114" s="139"/>
      <c r="T114" s="139"/>
      <c r="U114" s="139"/>
      <c r="V114" s="139"/>
      <c r="W114" s="139"/>
      <c r="X114" s="139"/>
      <c r="Y114" s="139"/>
      <c r="Z114" s="139"/>
      <c r="AA114" s="139"/>
      <c r="AB114" s="139"/>
      <c r="AC114" s="139"/>
      <c r="AD114" s="139"/>
      <c r="AE114" s="139"/>
      <c r="AF114" s="139"/>
      <c r="AG114" s="139"/>
      <c r="AH114" s="139"/>
      <c r="AI114" s="139"/>
    </row>
    <row r="115" spans="1:35">
      <c r="A115" s="97"/>
      <c r="B115" s="141"/>
      <c r="C115" s="141"/>
      <c r="D115" s="142"/>
      <c r="E115" s="97"/>
      <c r="F115" s="119"/>
      <c r="G115" s="143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44"/>
      <c r="V115" s="144"/>
      <c r="W115" s="144"/>
      <c r="X115" s="144"/>
      <c r="Y115" s="144"/>
      <c r="Z115" s="144"/>
      <c r="AA115" s="144"/>
      <c r="AB115" s="144"/>
      <c r="AC115" s="144"/>
      <c r="AD115" s="144"/>
      <c r="AE115" s="144"/>
      <c r="AF115" s="144"/>
      <c r="AG115" s="144"/>
      <c r="AH115" s="144"/>
      <c r="AI115" s="144"/>
    </row>
    <row r="116" spans="1:35" ht="15.75" thickBot="1">
      <c r="A116" s="97"/>
      <c r="B116" s="141"/>
      <c r="C116" s="119"/>
      <c r="D116" s="145"/>
      <c r="E116" s="97"/>
      <c r="F116" s="146"/>
      <c r="G116" s="141"/>
      <c r="H116" s="147"/>
      <c r="I116" s="147"/>
      <c r="J116" s="147"/>
      <c r="K116" s="147"/>
      <c r="L116" s="148"/>
      <c r="M116" s="147"/>
      <c r="N116" s="147"/>
      <c r="O116" s="147"/>
      <c r="P116" s="147"/>
      <c r="Q116" s="147"/>
      <c r="R116" s="147"/>
      <c r="S116" s="147"/>
      <c r="T116" s="147"/>
      <c r="U116" s="147"/>
      <c r="V116" s="147"/>
      <c r="W116" s="147"/>
      <c r="X116" s="147"/>
      <c r="Y116" s="147"/>
      <c r="Z116" s="147"/>
      <c r="AA116" s="147"/>
      <c r="AB116" s="147"/>
      <c r="AC116" s="147"/>
      <c r="AD116" s="147"/>
      <c r="AE116" s="147"/>
      <c r="AF116" s="147"/>
      <c r="AG116" s="147"/>
      <c r="AH116" s="147"/>
      <c r="AI116" s="147"/>
    </row>
    <row r="117" spans="1:35" ht="15.75" thickTop="1">
      <c r="A117" s="97"/>
      <c r="B117" s="97"/>
      <c r="C117" s="97"/>
      <c r="D117" s="97"/>
      <c r="E117" s="97"/>
      <c r="F117" s="149"/>
      <c r="G117" s="150"/>
      <c r="H117" s="150"/>
      <c r="I117" s="150"/>
      <c r="J117" s="150"/>
      <c r="K117" s="150"/>
      <c r="L117" s="150"/>
      <c r="M117" s="150"/>
      <c r="N117" s="150"/>
      <c r="O117" s="150"/>
      <c r="P117" s="150"/>
      <c r="Q117" s="150"/>
      <c r="R117" s="150"/>
      <c r="S117" s="150"/>
      <c r="T117" s="150"/>
      <c r="U117" s="150"/>
      <c r="V117" s="150"/>
      <c r="W117" s="150"/>
      <c r="X117" s="150"/>
      <c r="Y117" s="150"/>
      <c r="Z117" s="150"/>
      <c r="AA117" s="150"/>
      <c r="AB117" s="150"/>
      <c r="AC117" s="150"/>
      <c r="AD117" s="150"/>
      <c r="AE117" s="150"/>
      <c r="AF117" s="150"/>
      <c r="AG117" s="150"/>
      <c r="AH117" s="150"/>
      <c r="AI117" s="150"/>
    </row>
    <row r="118" spans="1:35">
      <c r="A118" s="97"/>
      <c r="B118" s="372"/>
      <c r="C118" s="372"/>
      <c r="D118" s="372"/>
      <c r="E118" s="97"/>
      <c r="F118" s="112"/>
      <c r="G118" s="151"/>
      <c r="H118" s="151"/>
      <c r="I118" s="151"/>
      <c r="J118" s="151"/>
      <c r="K118" s="151"/>
      <c r="L118" s="151"/>
      <c r="M118" s="151"/>
      <c r="N118" s="151"/>
      <c r="O118" s="151"/>
      <c r="P118" s="151"/>
      <c r="Q118" s="151"/>
      <c r="R118" s="151"/>
      <c r="S118" s="165"/>
      <c r="T118" s="165"/>
      <c r="U118" s="165"/>
      <c r="V118" s="165"/>
      <c r="W118" s="165"/>
      <c r="X118" s="165"/>
      <c r="Y118" s="165"/>
      <c r="Z118" s="165"/>
      <c r="AA118" s="165"/>
      <c r="AB118" s="165"/>
      <c r="AC118" s="165"/>
      <c r="AD118" s="165"/>
      <c r="AE118" s="165"/>
      <c r="AF118" s="165"/>
      <c r="AG118" s="165"/>
      <c r="AH118" s="165"/>
      <c r="AI118" s="165"/>
    </row>
    <row r="119" spans="1:35" ht="15.75" thickBot="1">
      <c r="A119" s="97"/>
      <c r="B119" s="372"/>
      <c r="C119" s="372"/>
      <c r="D119" s="372"/>
      <c r="E119" s="97"/>
      <c r="F119" s="112"/>
      <c r="G119" s="152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  <c r="AH119" s="153"/>
      <c r="AI119" s="153"/>
    </row>
    <row r="120" spans="1:35" ht="15.75" thickTop="1">
      <c r="A120" s="97"/>
      <c r="B120" s="372"/>
      <c r="C120" s="372"/>
      <c r="D120" s="372"/>
      <c r="E120" s="97"/>
      <c r="F120" s="141"/>
      <c r="G120" s="154"/>
      <c r="H120" s="154"/>
      <c r="I120" s="154"/>
      <c r="J120" s="154"/>
      <c r="K120" s="154"/>
      <c r="L120" s="154"/>
      <c r="M120" s="154"/>
      <c r="N120" s="154"/>
      <c r="O120" s="154"/>
      <c r="P120" s="154"/>
      <c r="Q120" s="154"/>
      <c r="R120" s="154"/>
      <c r="S120" s="154"/>
      <c r="T120" s="154"/>
      <c r="U120" s="154"/>
      <c r="V120" s="154"/>
      <c r="W120" s="154"/>
      <c r="X120" s="154"/>
      <c r="Y120" s="154"/>
      <c r="Z120" s="154"/>
      <c r="AA120" s="154"/>
      <c r="AB120" s="154"/>
      <c r="AC120" s="154"/>
      <c r="AD120" s="154"/>
      <c r="AE120" s="154"/>
      <c r="AF120" s="154"/>
      <c r="AG120" s="154"/>
      <c r="AH120" s="154"/>
      <c r="AI120" s="154"/>
    </row>
    <row r="121" spans="1:35" ht="15.75" thickBot="1">
      <c r="A121" s="97"/>
      <c r="B121" s="372"/>
      <c r="C121" s="372"/>
      <c r="D121" s="372"/>
      <c r="E121" s="97"/>
      <c r="F121" s="155"/>
      <c r="G121" s="156"/>
      <c r="H121" s="156"/>
      <c r="I121" s="156"/>
      <c r="J121" s="156"/>
      <c r="K121" s="156"/>
      <c r="L121" s="157"/>
      <c r="M121" s="156"/>
      <c r="N121" s="156"/>
      <c r="O121" s="156"/>
      <c r="P121" s="156"/>
      <c r="Q121" s="156"/>
      <c r="R121" s="156"/>
      <c r="S121" s="156"/>
      <c r="T121" s="156"/>
      <c r="U121" s="156"/>
      <c r="V121" s="156"/>
      <c r="W121" s="156"/>
      <c r="X121" s="156"/>
      <c r="Y121" s="156"/>
      <c r="Z121" s="156"/>
      <c r="AA121" s="156"/>
      <c r="AB121" s="156"/>
      <c r="AC121" s="156"/>
      <c r="AD121" s="156"/>
      <c r="AE121" s="156"/>
      <c r="AF121" s="156"/>
      <c r="AG121" s="156"/>
      <c r="AH121" s="156"/>
      <c r="AI121" s="156"/>
    </row>
    <row r="122" spans="1:35">
      <c r="A122" s="97"/>
      <c r="B122" s="372"/>
      <c r="C122" s="372"/>
      <c r="D122" s="372"/>
      <c r="E122" s="97"/>
      <c r="F122" s="158"/>
      <c r="G122" s="159"/>
      <c r="H122" s="159"/>
      <c r="I122" s="159"/>
      <c r="J122" s="159"/>
      <c r="K122" s="159"/>
      <c r="L122" s="160"/>
      <c r="M122" s="160"/>
      <c r="N122" s="159"/>
      <c r="O122" s="159"/>
      <c r="P122" s="159"/>
      <c r="Q122" s="159"/>
      <c r="R122" s="159"/>
      <c r="S122" s="159"/>
      <c r="T122" s="159"/>
      <c r="U122" s="159"/>
      <c r="V122" s="159"/>
      <c r="W122" s="159"/>
      <c r="X122" s="159"/>
      <c r="Y122" s="159"/>
      <c r="Z122" s="159"/>
      <c r="AA122" s="159"/>
      <c r="AB122" s="159"/>
      <c r="AC122" s="159"/>
      <c r="AD122" s="159"/>
      <c r="AE122" s="159"/>
      <c r="AF122" s="159"/>
      <c r="AG122" s="159"/>
      <c r="AH122" s="159"/>
      <c r="AI122" s="159"/>
    </row>
    <row r="123" spans="1:35">
      <c r="A123" s="97"/>
      <c r="B123" s="372"/>
      <c r="C123" s="372"/>
      <c r="D123" s="372"/>
      <c r="E123" s="97"/>
      <c r="F123" s="161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  <c r="S123" s="162"/>
      <c r="T123" s="162"/>
      <c r="U123" s="162"/>
      <c r="V123" s="162"/>
      <c r="W123" s="162"/>
      <c r="X123" s="162"/>
      <c r="Y123" s="162"/>
      <c r="Z123" s="162"/>
      <c r="AA123" s="162"/>
      <c r="AB123" s="162"/>
      <c r="AC123" s="162"/>
      <c r="AD123" s="162"/>
      <c r="AE123" s="162"/>
      <c r="AF123" s="162"/>
      <c r="AG123" s="162"/>
      <c r="AH123" s="162"/>
      <c r="AI123" s="162"/>
    </row>
    <row r="124" spans="1:35">
      <c r="A124" s="97"/>
      <c r="B124" s="372"/>
      <c r="C124" s="372"/>
      <c r="D124" s="372"/>
      <c r="E124" s="97"/>
      <c r="F124" s="161"/>
      <c r="G124" s="132"/>
      <c r="H124" s="132"/>
      <c r="I124" s="132"/>
      <c r="J124" s="132"/>
      <c r="K124" s="132"/>
      <c r="L124" s="133"/>
      <c r="M124" s="133"/>
      <c r="N124" s="132"/>
      <c r="O124" s="132"/>
      <c r="P124" s="132"/>
      <c r="Q124" s="132"/>
      <c r="R124" s="132"/>
      <c r="S124" s="132"/>
      <c r="T124" s="132"/>
      <c r="U124" s="132"/>
      <c r="V124" s="132"/>
      <c r="W124" s="132"/>
      <c r="X124" s="132"/>
      <c r="Y124" s="132"/>
      <c r="Z124" s="132"/>
      <c r="AA124" s="132"/>
      <c r="AB124" s="132"/>
      <c r="AC124" s="132"/>
      <c r="AD124" s="132"/>
      <c r="AE124" s="132"/>
      <c r="AF124" s="132"/>
      <c r="AG124" s="132"/>
      <c r="AH124" s="132"/>
      <c r="AI124" s="132"/>
    </row>
    <row r="125" spans="1:35">
      <c r="A125" s="97"/>
      <c r="B125" s="372"/>
      <c r="C125" s="372"/>
      <c r="D125" s="372"/>
      <c r="E125" s="97"/>
      <c r="F125" s="161"/>
      <c r="G125" s="132"/>
      <c r="H125" s="132"/>
      <c r="I125" s="132"/>
      <c r="J125" s="132"/>
      <c r="K125" s="132"/>
      <c r="L125" s="133"/>
      <c r="M125" s="133"/>
      <c r="N125" s="132"/>
      <c r="O125" s="132"/>
      <c r="P125" s="132"/>
      <c r="Q125" s="132"/>
      <c r="R125" s="132"/>
      <c r="S125" s="132"/>
      <c r="T125" s="132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2"/>
      <c r="AF125" s="132"/>
      <c r="AG125" s="132"/>
      <c r="AH125" s="132"/>
      <c r="AI125" s="132"/>
    </row>
    <row r="126" spans="1:35">
      <c r="A126" s="97"/>
      <c r="B126" s="372"/>
      <c r="C126" s="372"/>
      <c r="D126" s="372"/>
      <c r="E126" s="97"/>
      <c r="F126" s="161"/>
      <c r="G126" s="132"/>
      <c r="H126" s="132"/>
      <c r="I126" s="132"/>
      <c r="J126" s="132"/>
      <c r="K126" s="132"/>
      <c r="L126" s="133"/>
      <c r="M126" s="133"/>
      <c r="N126" s="132"/>
      <c r="O126" s="132"/>
      <c r="P126" s="132"/>
      <c r="Q126" s="132"/>
      <c r="R126" s="132"/>
      <c r="S126" s="132"/>
      <c r="T126" s="132"/>
      <c r="U126" s="132"/>
      <c r="V126" s="132"/>
      <c r="W126" s="132"/>
      <c r="X126" s="132"/>
      <c r="Y126" s="132"/>
      <c r="Z126" s="132"/>
      <c r="AA126" s="132"/>
      <c r="AB126" s="132"/>
      <c r="AC126" s="132"/>
      <c r="AD126" s="132"/>
      <c r="AE126" s="132"/>
      <c r="AF126" s="132"/>
      <c r="AG126" s="132"/>
      <c r="AH126" s="132"/>
      <c r="AI126" s="132"/>
    </row>
    <row r="127" spans="1:35" ht="15.75" thickBot="1">
      <c r="A127" s="97"/>
      <c r="B127" s="372"/>
      <c r="C127" s="372"/>
      <c r="D127" s="372"/>
      <c r="E127" s="97"/>
      <c r="F127" s="163"/>
      <c r="G127" s="129"/>
      <c r="H127" s="129"/>
      <c r="I127" s="129"/>
      <c r="J127" s="129"/>
      <c r="K127" s="129"/>
      <c r="L127" s="164"/>
      <c r="M127" s="129"/>
      <c r="N127" s="129"/>
      <c r="O127" s="129"/>
      <c r="P127" s="129"/>
      <c r="Q127" s="129"/>
      <c r="R127" s="129"/>
      <c r="S127" s="129"/>
      <c r="T127" s="129"/>
      <c r="U127" s="129"/>
      <c r="V127" s="129"/>
      <c r="W127" s="129"/>
      <c r="X127" s="129"/>
      <c r="Y127" s="129"/>
      <c r="Z127" s="129"/>
      <c r="AA127" s="129"/>
      <c r="AB127" s="129"/>
      <c r="AC127" s="129"/>
      <c r="AD127" s="129"/>
      <c r="AE127" s="129"/>
      <c r="AF127" s="129"/>
      <c r="AG127" s="129"/>
      <c r="AH127" s="129"/>
      <c r="AI127" s="129"/>
    </row>
    <row r="128" spans="1:35" ht="15.75" thickTop="1">
      <c r="A128" s="100"/>
      <c r="B128" s="100"/>
      <c r="C128" s="100"/>
      <c r="D128" s="100"/>
      <c r="E128" s="100"/>
      <c r="F128" s="100"/>
      <c r="G128" s="100"/>
      <c r="H128" s="100"/>
      <c r="I128" s="100"/>
      <c r="J128" s="100"/>
      <c r="K128" s="100"/>
      <c r="L128" s="100"/>
      <c r="M128" s="166"/>
      <c r="N128" s="166"/>
      <c r="O128" s="166"/>
      <c r="P128" s="166"/>
      <c r="Q128" s="100"/>
      <c r="R128" s="166"/>
      <c r="S128" s="166"/>
      <c r="T128" s="100"/>
      <c r="U128" s="166"/>
      <c r="V128" s="102"/>
      <c r="W128" s="102"/>
      <c r="X128" s="102"/>
      <c r="Y128" s="102"/>
      <c r="Z128" s="102"/>
      <c r="AA128" s="102"/>
      <c r="AB128" s="102"/>
      <c r="AC128" s="102"/>
      <c r="AD128" s="102"/>
      <c r="AE128" s="102"/>
      <c r="AF128" s="102"/>
      <c r="AG128" s="102"/>
      <c r="AH128" s="102"/>
      <c r="AI128" s="102"/>
    </row>
    <row r="129" spans="1:39">
      <c r="A129" s="97"/>
      <c r="B129" s="97"/>
      <c r="C129" s="97"/>
      <c r="D129" s="97"/>
      <c r="E129" s="97"/>
      <c r="F129" s="100"/>
      <c r="G129" s="97"/>
      <c r="H129" s="97"/>
      <c r="I129" s="97"/>
      <c r="J129" s="97"/>
      <c r="K129" s="97"/>
      <c r="L129" s="97"/>
      <c r="M129" s="167"/>
      <c r="N129" s="167"/>
      <c r="O129" s="167"/>
      <c r="P129" s="167"/>
      <c r="Q129" s="97"/>
      <c r="R129" s="167"/>
      <c r="S129" s="167"/>
      <c r="T129" s="97"/>
      <c r="U129" s="167"/>
      <c r="V129" s="98"/>
      <c r="W129" s="98"/>
      <c r="X129" s="98"/>
      <c r="Y129" s="98"/>
      <c r="Z129" s="98"/>
      <c r="AA129" s="98"/>
      <c r="AB129" s="98"/>
      <c r="AC129" s="98"/>
      <c r="AD129" s="98"/>
      <c r="AE129" s="98"/>
      <c r="AF129" s="98"/>
      <c r="AG129" s="98"/>
      <c r="AH129" s="98"/>
      <c r="AI129" s="98"/>
    </row>
    <row r="130" spans="1:39">
      <c r="A130" s="97"/>
      <c r="B130" s="116"/>
      <c r="C130" s="97"/>
      <c r="D130" s="117"/>
      <c r="E130" s="118"/>
      <c r="F130" s="119"/>
      <c r="G130" s="120"/>
      <c r="H130" s="97"/>
      <c r="I130" s="97"/>
      <c r="J130" s="97"/>
      <c r="K130" s="97"/>
      <c r="L130" s="97"/>
      <c r="M130" s="97"/>
      <c r="N130" s="97"/>
      <c r="O130" s="97"/>
      <c r="P130" s="97"/>
      <c r="Q130" s="97"/>
      <c r="R130" s="97"/>
      <c r="S130" s="97"/>
      <c r="T130" s="97"/>
      <c r="U130" s="97"/>
      <c r="V130" s="98"/>
      <c r="W130" s="98"/>
      <c r="X130" s="98"/>
      <c r="Y130" s="98"/>
      <c r="Z130" s="98"/>
      <c r="AA130" s="98"/>
      <c r="AB130" s="98"/>
      <c r="AC130" s="98"/>
      <c r="AD130" s="98"/>
      <c r="AE130" s="98"/>
      <c r="AF130" s="98"/>
      <c r="AG130" s="98"/>
      <c r="AH130" s="98"/>
      <c r="AI130" s="98"/>
    </row>
    <row r="131" spans="1:39">
      <c r="A131" s="97"/>
      <c r="B131" s="168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  <c r="AA131" s="113"/>
      <c r="AB131" s="113"/>
      <c r="AC131" s="113"/>
      <c r="AD131" s="113"/>
      <c r="AE131" s="113"/>
      <c r="AF131" s="113"/>
      <c r="AG131" s="113"/>
      <c r="AH131" s="113"/>
      <c r="AI131" s="113"/>
      <c r="AJ131"/>
      <c r="AK131"/>
      <c r="AL131"/>
      <c r="AM131"/>
    </row>
    <row r="132" spans="1:39" ht="15.75" thickBot="1">
      <c r="A132" s="97"/>
      <c r="B132" s="121"/>
      <c r="C132" s="122"/>
      <c r="D132" s="122"/>
      <c r="E132" s="122"/>
      <c r="F132" s="123"/>
      <c r="G132" s="123"/>
      <c r="H132" s="123"/>
      <c r="I132" s="123"/>
      <c r="J132" s="123"/>
      <c r="K132" s="123"/>
      <c r="L132" s="123"/>
      <c r="M132" s="123"/>
      <c r="N132" s="123"/>
      <c r="O132" s="123"/>
      <c r="P132" s="123"/>
      <c r="Q132" s="123"/>
      <c r="R132" s="123"/>
      <c r="S132" s="123"/>
      <c r="T132" s="123"/>
      <c r="U132" s="123"/>
      <c r="V132" s="123"/>
      <c r="W132" s="123"/>
      <c r="X132" s="123"/>
      <c r="Y132" s="123"/>
      <c r="Z132" s="123"/>
      <c r="AA132" s="123"/>
      <c r="AB132" s="123"/>
      <c r="AC132" s="123"/>
      <c r="AD132" s="123"/>
      <c r="AE132" s="123"/>
      <c r="AF132" s="123"/>
      <c r="AG132" s="123"/>
      <c r="AH132" s="123"/>
      <c r="AI132" s="123"/>
    </row>
    <row r="133" spans="1:39">
      <c r="A133" s="97"/>
      <c r="B133" s="124"/>
      <c r="C133" s="125"/>
      <c r="D133" s="125"/>
      <c r="E133" s="125"/>
      <c r="F133" s="125"/>
      <c r="G133" s="125"/>
      <c r="H133" s="125"/>
      <c r="I133" s="125"/>
      <c r="J133" s="125"/>
      <c r="K133" s="126"/>
      <c r="L133" s="127"/>
      <c r="M133" s="127"/>
      <c r="N133" s="126"/>
      <c r="O133" s="126"/>
      <c r="P133" s="126"/>
      <c r="Q133" s="126"/>
      <c r="R133" s="126"/>
      <c r="S133" s="126"/>
      <c r="T133" s="126"/>
      <c r="U133" s="126"/>
      <c r="V133" s="126"/>
      <c r="W133" s="126"/>
      <c r="X133" s="126"/>
      <c r="Y133" s="126"/>
      <c r="Z133" s="126"/>
      <c r="AA133" s="126"/>
      <c r="AB133" s="126"/>
      <c r="AC133" s="126"/>
      <c r="AD133" s="126"/>
      <c r="AE133" s="126"/>
      <c r="AF133" s="126"/>
      <c r="AG133" s="126"/>
      <c r="AH133" s="126"/>
      <c r="AI133" s="126"/>
    </row>
    <row r="134" spans="1:39" ht="15.75" thickBot="1">
      <c r="A134" s="97"/>
      <c r="B134" s="128"/>
      <c r="C134" s="129"/>
      <c r="D134" s="129"/>
      <c r="E134" s="129"/>
      <c r="F134" s="129"/>
      <c r="G134" s="129"/>
      <c r="H134" s="129"/>
      <c r="I134" s="129"/>
      <c r="J134" s="129"/>
      <c r="K134" s="130"/>
      <c r="L134" s="130"/>
      <c r="M134" s="130"/>
      <c r="N134" s="130"/>
      <c r="O134" s="130"/>
      <c r="P134" s="130"/>
      <c r="Q134" s="130"/>
      <c r="R134" s="130"/>
      <c r="S134" s="130"/>
      <c r="T134" s="130"/>
      <c r="U134" s="130"/>
      <c r="V134" s="130"/>
      <c r="W134" s="130"/>
      <c r="X134" s="130"/>
      <c r="Y134" s="130"/>
      <c r="Z134" s="130"/>
      <c r="AA134" s="130"/>
      <c r="AB134" s="130"/>
      <c r="AC134" s="130"/>
      <c r="AD134" s="130"/>
      <c r="AE134" s="130"/>
      <c r="AF134" s="130"/>
      <c r="AG134" s="130"/>
      <c r="AH134" s="130"/>
      <c r="AI134" s="130"/>
    </row>
    <row r="135" spans="1:39" ht="15.75" thickTop="1">
      <c r="A135" s="97"/>
      <c r="B135" s="131"/>
      <c r="C135" s="132"/>
      <c r="D135" s="132"/>
      <c r="E135" s="132"/>
      <c r="F135" s="132"/>
      <c r="G135" s="132"/>
      <c r="H135" s="132"/>
      <c r="I135" s="132"/>
      <c r="J135" s="132"/>
      <c r="K135" s="132"/>
      <c r="L135" s="133"/>
      <c r="M135" s="133"/>
      <c r="N135" s="132"/>
      <c r="O135" s="132"/>
      <c r="P135" s="132"/>
      <c r="Q135" s="132"/>
      <c r="R135" s="132"/>
      <c r="S135" s="132"/>
      <c r="T135" s="132"/>
      <c r="U135" s="132"/>
      <c r="V135" s="132"/>
      <c r="W135" s="132"/>
      <c r="X135" s="132"/>
      <c r="Y135" s="132"/>
      <c r="Z135" s="132"/>
      <c r="AA135" s="132"/>
      <c r="AB135" s="132"/>
      <c r="AC135" s="132"/>
      <c r="AD135" s="132"/>
      <c r="AE135" s="132"/>
      <c r="AF135" s="132"/>
      <c r="AG135" s="132"/>
      <c r="AH135" s="132"/>
      <c r="AI135" s="132"/>
    </row>
    <row r="136" spans="1:39" ht="15.75" thickBot="1">
      <c r="A136" s="97"/>
      <c r="B136" s="128"/>
      <c r="C136" s="134"/>
      <c r="D136" s="134"/>
      <c r="E136" s="134"/>
      <c r="F136" s="134"/>
      <c r="G136" s="130"/>
      <c r="H136" s="130"/>
      <c r="I136" s="130"/>
      <c r="J136" s="130"/>
      <c r="K136" s="130"/>
      <c r="L136" s="130"/>
      <c r="M136" s="130"/>
      <c r="N136" s="130"/>
      <c r="O136" s="130"/>
      <c r="P136" s="130"/>
      <c r="Q136" s="130"/>
      <c r="R136" s="130"/>
      <c r="S136" s="130"/>
      <c r="T136" s="130"/>
      <c r="U136" s="130"/>
      <c r="V136" s="130"/>
      <c r="W136" s="130"/>
      <c r="X136" s="130"/>
      <c r="Y136" s="130"/>
      <c r="Z136" s="130"/>
      <c r="AA136" s="130"/>
      <c r="AB136" s="130"/>
      <c r="AC136" s="130"/>
      <c r="AD136" s="130"/>
      <c r="AE136" s="130"/>
      <c r="AF136" s="130"/>
      <c r="AG136" s="130"/>
      <c r="AH136" s="130"/>
      <c r="AI136" s="130"/>
    </row>
    <row r="137" spans="1:39" ht="15.75" thickTop="1">
      <c r="A137" s="97"/>
      <c r="B137" s="135"/>
      <c r="C137" s="136"/>
      <c r="D137" s="136"/>
      <c r="E137" s="136"/>
      <c r="F137" s="136"/>
      <c r="G137" s="136"/>
      <c r="H137" s="136"/>
      <c r="I137" s="136"/>
      <c r="J137" s="136"/>
      <c r="K137" s="136"/>
      <c r="L137" s="137"/>
      <c r="M137" s="137"/>
      <c r="N137" s="136"/>
      <c r="O137" s="136"/>
      <c r="P137" s="136"/>
      <c r="Q137" s="136"/>
      <c r="R137" s="136"/>
      <c r="S137" s="136"/>
      <c r="T137" s="136"/>
      <c r="U137" s="136"/>
      <c r="V137" s="136"/>
      <c r="W137" s="136"/>
      <c r="X137" s="136"/>
      <c r="Y137" s="136"/>
      <c r="Z137" s="136"/>
      <c r="AA137" s="136"/>
      <c r="AB137" s="136"/>
      <c r="AC137" s="136"/>
      <c r="AD137" s="136"/>
      <c r="AE137" s="136"/>
      <c r="AF137" s="136"/>
      <c r="AG137" s="136"/>
      <c r="AH137" s="136"/>
      <c r="AI137" s="136"/>
    </row>
    <row r="138" spans="1:39" ht="15.75" thickBot="1">
      <c r="A138" s="97"/>
      <c r="B138" s="128"/>
      <c r="C138" s="130"/>
      <c r="D138" s="130"/>
      <c r="E138" s="130"/>
      <c r="F138" s="130"/>
      <c r="G138" s="130"/>
      <c r="H138" s="130"/>
      <c r="I138" s="130"/>
      <c r="J138" s="130"/>
      <c r="K138" s="130"/>
      <c r="L138" s="130"/>
      <c r="M138" s="130"/>
      <c r="N138" s="130"/>
      <c r="O138" s="130"/>
      <c r="P138" s="130"/>
      <c r="Q138" s="130"/>
      <c r="R138" s="130"/>
      <c r="S138" s="130"/>
      <c r="T138" s="130"/>
      <c r="U138" s="130"/>
      <c r="V138" s="130"/>
      <c r="W138" s="130"/>
      <c r="X138" s="130"/>
      <c r="Y138" s="130"/>
      <c r="Z138" s="130"/>
      <c r="AA138" s="130"/>
      <c r="AB138" s="130"/>
      <c r="AC138" s="130"/>
      <c r="AD138" s="130"/>
      <c r="AE138" s="130"/>
      <c r="AF138" s="130"/>
      <c r="AG138" s="130"/>
      <c r="AH138" s="130"/>
      <c r="AI138" s="130"/>
    </row>
    <row r="139" spans="1:39" ht="15.75" thickTop="1">
      <c r="A139" s="97"/>
      <c r="B139" s="97"/>
      <c r="C139" s="97"/>
      <c r="D139" s="97"/>
      <c r="E139" s="97"/>
      <c r="F139" s="97"/>
      <c r="G139" s="97"/>
      <c r="H139" s="97"/>
      <c r="I139" s="97"/>
      <c r="J139" s="97"/>
      <c r="K139" s="97"/>
      <c r="L139" s="97"/>
      <c r="M139" s="97"/>
      <c r="N139" s="97"/>
      <c r="O139" s="97"/>
      <c r="P139" s="97"/>
      <c r="Q139" s="97"/>
      <c r="R139" s="97"/>
      <c r="S139" s="97"/>
      <c r="T139" s="97"/>
      <c r="U139" s="97"/>
      <c r="V139" s="97"/>
      <c r="W139" s="97"/>
      <c r="X139" s="97"/>
      <c r="Y139" s="97"/>
      <c r="Z139" s="97"/>
      <c r="AA139" s="97"/>
      <c r="AB139" s="97"/>
      <c r="AC139" s="97"/>
      <c r="AD139" s="97"/>
      <c r="AE139" s="97"/>
      <c r="AF139" s="97"/>
      <c r="AG139" s="97"/>
      <c r="AH139" s="97"/>
      <c r="AI139" s="97"/>
    </row>
    <row r="140" spans="1:39" ht="15.75" thickBot="1">
      <c r="A140" s="97"/>
      <c r="B140" s="138"/>
      <c r="C140" s="139"/>
      <c r="D140" s="139"/>
      <c r="E140" s="139"/>
      <c r="F140" s="139"/>
      <c r="G140" s="139"/>
      <c r="H140" s="139"/>
      <c r="I140" s="139"/>
      <c r="J140" s="139"/>
      <c r="K140" s="139"/>
      <c r="L140" s="140"/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39"/>
      <c r="AA140" s="139"/>
      <c r="AB140" s="139"/>
      <c r="AC140" s="139"/>
      <c r="AD140" s="139"/>
      <c r="AE140" s="139"/>
      <c r="AF140" s="139"/>
      <c r="AG140" s="139"/>
      <c r="AH140" s="139"/>
      <c r="AI140" s="139"/>
    </row>
    <row r="141" spans="1:39">
      <c r="A141" s="97"/>
      <c r="B141" s="141"/>
      <c r="C141" s="141"/>
      <c r="D141" s="142"/>
      <c r="E141" s="97"/>
      <c r="F141" s="119"/>
      <c r="G141" s="143"/>
      <c r="H141" s="144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44"/>
      <c r="V141" s="144"/>
      <c r="W141" s="144"/>
      <c r="X141" s="144"/>
      <c r="Y141" s="144"/>
      <c r="Z141" s="144"/>
      <c r="AA141" s="144"/>
      <c r="AB141" s="144"/>
      <c r="AC141" s="144"/>
      <c r="AD141" s="144"/>
      <c r="AE141" s="144"/>
      <c r="AF141" s="144"/>
      <c r="AG141" s="144"/>
      <c r="AH141" s="144"/>
      <c r="AI141" s="144"/>
    </row>
    <row r="142" spans="1:39" ht="15.75" thickBot="1">
      <c r="A142" s="97"/>
      <c r="B142" s="141"/>
      <c r="C142" s="119"/>
      <c r="D142" s="145"/>
      <c r="E142" s="97"/>
      <c r="F142" s="146"/>
      <c r="G142" s="141"/>
      <c r="H142" s="147"/>
      <c r="I142" s="147"/>
      <c r="J142" s="147"/>
      <c r="K142" s="147"/>
      <c r="L142" s="148"/>
      <c r="M142" s="147"/>
      <c r="N142" s="147"/>
      <c r="O142" s="147"/>
      <c r="P142" s="147"/>
      <c r="Q142" s="147"/>
      <c r="R142" s="147"/>
      <c r="S142" s="147"/>
      <c r="T142" s="147"/>
      <c r="U142" s="147"/>
      <c r="V142" s="147"/>
      <c r="W142" s="147"/>
      <c r="X142" s="147"/>
      <c r="Y142" s="147"/>
      <c r="Z142" s="147"/>
      <c r="AA142" s="147"/>
      <c r="AB142" s="147"/>
      <c r="AC142" s="147"/>
      <c r="AD142" s="147"/>
      <c r="AE142" s="147"/>
      <c r="AF142" s="147"/>
      <c r="AG142" s="147"/>
      <c r="AH142" s="147"/>
      <c r="AI142" s="147"/>
    </row>
    <row r="143" spans="1:39" ht="15.75" thickTop="1">
      <c r="A143" s="97"/>
      <c r="B143" s="97"/>
      <c r="C143" s="97"/>
      <c r="D143" s="97"/>
      <c r="E143" s="97"/>
      <c r="F143" s="149"/>
      <c r="G143" s="150"/>
      <c r="H143" s="150"/>
      <c r="I143" s="150"/>
      <c r="J143" s="150"/>
      <c r="K143" s="150"/>
      <c r="L143" s="150"/>
      <c r="M143" s="150"/>
      <c r="N143" s="150"/>
      <c r="O143" s="150"/>
      <c r="P143" s="150"/>
      <c r="Q143" s="150"/>
      <c r="R143" s="150"/>
      <c r="S143" s="150"/>
      <c r="T143" s="150"/>
      <c r="U143" s="150"/>
      <c r="V143" s="150"/>
      <c r="W143" s="150"/>
      <c r="X143" s="150"/>
      <c r="Y143" s="150"/>
      <c r="Z143" s="150"/>
      <c r="AA143" s="150"/>
      <c r="AB143" s="150"/>
      <c r="AC143" s="150"/>
      <c r="AD143" s="150"/>
      <c r="AE143" s="150"/>
      <c r="AF143" s="150"/>
      <c r="AG143" s="150"/>
      <c r="AH143" s="150"/>
      <c r="AI143" s="150"/>
    </row>
    <row r="144" spans="1:39">
      <c r="A144" s="97"/>
      <c r="B144" s="372"/>
      <c r="C144" s="372"/>
      <c r="D144" s="372"/>
      <c r="E144" s="97"/>
      <c r="F144" s="112"/>
      <c r="G144" s="151"/>
      <c r="H144" s="151"/>
      <c r="I144" s="151"/>
      <c r="J144" s="151"/>
      <c r="K144" s="151"/>
      <c r="L144" s="151"/>
      <c r="M144" s="151"/>
      <c r="N144" s="151"/>
      <c r="O144" s="151"/>
      <c r="P144" s="151"/>
      <c r="Q144" s="151"/>
      <c r="R144" s="151"/>
      <c r="S144" s="165"/>
      <c r="T144" s="165"/>
      <c r="U144" s="165"/>
      <c r="V144" s="165"/>
      <c r="W144" s="165"/>
      <c r="X144" s="165"/>
      <c r="Y144" s="165"/>
      <c r="Z144" s="165"/>
      <c r="AA144" s="165"/>
      <c r="AB144" s="165"/>
      <c r="AC144" s="165"/>
      <c r="AD144" s="165"/>
      <c r="AE144" s="165"/>
      <c r="AF144" s="165"/>
      <c r="AG144" s="165"/>
      <c r="AH144" s="165"/>
      <c r="AI144" s="165"/>
    </row>
    <row r="145" spans="1:39" ht="15.75" thickBot="1">
      <c r="A145" s="97"/>
      <c r="B145" s="372"/>
      <c r="C145" s="372"/>
      <c r="D145" s="372"/>
      <c r="E145" s="97"/>
      <c r="F145" s="112"/>
      <c r="G145" s="152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  <c r="AH145" s="153"/>
      <c r="AI145" s="153"/>
    </row>
    <row r="146" spans="1:39" ht="15.75" thickTop="1">
      <c r="A146" s="97"/>
      <c r="B146" s="372"/>
      <c r="C146" s="372"/>
      <c r="D146" s="372"/>
      <c r="E146" s="97"/>
      <c r="F146" s="141"/>
      <c r="G146" s="154"/>
      <c r="H146" s="154"/>
      <c r="I146" s="154"/>
      <c r="J146" s="154"/>
      <c r="K146" s="154"/>
      <c r="L146" s="154"/>
      <c r="M146" s="154"/>
      <c r="N146" s="154"/>
      <c r="O146" s="154"/>
      <c r="P146" s="154"/>
      <c r="Q146" s="154"/>
      <c r="R146" s="154"/>
      <c r="S146" s="154"/>
      <c r="T146" s="154"/>
      <c r="U146" s="154"/>
      <c r="V146" s="154"/>
      <c r="W146" s="154"/>
      <c r="X146" s="154"/>
      <c r="Y146" s="154"/>
      <c r="Z146" s="154"/>
      <c r="AA146" s="154"/>
      <c r="AB146" s="154"/>
      <c r="AC146" s="154"/>
      <c r="AD146" s="154"/>
      <c r="AE146" s="154"/>
      <c r="AF146" s="154"/>
      <c r="AG146" s="154"/>
      <c r="AH146" s="154"/>
      <c r="AI146" s="154"/>
    </row>
    <row r="147" spans="1:39" ht="15.75" thickBot="1">
      <c r="A147" s="97"/>
      <c r="B147" s="372"/>
      <c r="C147" s="372"/>
      <c r="D147" s="372"/>
      <c r="E147" s="97"/>
      <c r="F147" s="155"/>
      <c r="G147" s="156"/>
      <c r="H147" s="156"/>
      <c r="I147" s="156"/>
      <c r="J147" s="156"/>
      <c r="K147" s="156"/>
      <c r="L147" s="157"/>
      <c r="M147" s="156"/>
      <c r="N147" s="156"/>
      <c r="O147" s="156"/>
      <c r="P147" s="156"/>
      <c r="Q147" s="156"/>
      <c r="R147" s="156"/>
      <c r="S147" s="156"/>
      <c r="T147" s="156"/>
      <c r="U147" s="156"/>
      <c r="V147" s="156"/>
      <c r="W147" s="156"/>
      <c r="X147" s="156"/>
      <c r="Y147" s="156"/>
      <c r="Z147" s="156"/>
      <c r="AA147" s="156"/>
      <c r="AB147" s="156"/>
      <c r="AC147" s="156"/>
      <c r="AD147" s="156"/>
      <c r="AE147" s="156"/>
      <c r="AF147" s="156"/>
      <c r="AG147" s="156"/>
      <c r="AH147" s="156"/>
      <c r="AI147" s="156"/>
    </row>
    <row r="148" spans="1:39">
      <c r="A148" s="97"/>
      <c r="B148" s="372"/>
      <c r="C148" s="372"/>
      <c r="D148" s="372"/>
      <c r="E148" s="97"/>
      <c r="F148" s="158"/>
      <c r="G148" s="159"/>
      <c r="H148" s="159"/>
      <c r="I148" s="159"/>
      <c r="J148" s="159"/>
      <c r="K148" s="159"/>
      <c r="L148" s="160"/>
      <c r="M148" s="160"/>
      <c r="N148" s="159"/>
      <c r="O148" s="159"/>
      <c r="P148" s="159"/>
      <c r="Q148" s="159"/>
      <c r="R148" s="159"/>
      <c r="S148" s="159"/>
      <c r="T148" s="159"/>
      <c r="U148" s="159"/>
      <c r="V148" s="159"/>
      <c r="W148" s="159"/>
      <c r="X148" s="159"/>
      <c r="Y148" s="159"/>
      <c r="Z148" s="159"/>
      <c r="AA148" s="159"/>
      <c r="AB148" s="159"/>
      <c r="AC148" s="159"/>
      <c r="AD148" s="159"/>
      <c r="AE148" s="159"/>
      <c r="AF148" s="159"/>
      <c r="AG148" s="159"/>
      <c r="AH148" s="159"/>
      <c r="AI148" s="159"/>
    </row>
    <row r="149" spans="1:39">
      <c r="A149" s="97"/>
      <c r="B149" s="372"/>
      <c r="C149" s="372"/>
      <c r="D149" s="372"/>
      <c r="E149" s="97"/>
      <c r="F149" s="161"/>
      <c r="G149" s="162"/>
      <c r="H149" s="162"/>
      <c r="I149" s="162"/>
      <c r="J149" s="162"/>
      <c r="K149" s="162"/>
      <c r="L149" s="162"/>
      <c r="M149" s="162"/>
      <c r="N149" s="162"/>
      <c r="O149" s="162"/>
      <c r="P149" s="162"/>
      <c r="Q149" s="162"/>
      <c r="R149" s="162"/>
      <c r="S149" s="162"/>
      <c r="T149" s="162"/>
      <c r="U149" s="162"/>
      <c r="V149" s="162"/>
      <c r="W149" s="162"/>
      <c r="X149" s="162"/>
      <c r="Y149" s="162"/>
      <c r="Z149" s="162"/>
      <c r="AA149" s="162"/>
      <c r="AB149" s="162"/>
      <c r="AC149" s="162"/>
      <c r="AD149" s="162"/>
      <c r="AE149" s="162"/>
      <c r="AF149" s="162"/>
      <c r="AG149" s="162"/>
      <c r="AH149" s="162"/>
      <c r="AI149" s="162"/>
    </row>
    <row r="150" spans="1:39">
      <c r="A150" s="97"/>
      <c r="B150" s="372"/>
      <c r="C150" s="372"/>
      <c r="D150" s="372"/>
      <c r="E150" s="97"/>
      <c r="F150" s="161"/>
      <c r="G150" s="132"/>
      <c r="H150" s="132"/>
      <c r="I150" s="132"/>
      <c r="J150" s="132"/>
      <c r="K150" s="132"/>
      <c r="L150" s="133"/>
      <c r="M150" s="133"/>
      <c r="N150" s="132"/>
      <c r="O150" s="132"/>
      <c r="P150" s="132"/>
      <c r="Q150" s="132"/>
      <c r="R150" s="132"/>
      <c r="S150" s="132"/>
      <c r="T150" s="132"/>
      <c r="U150" s="132"/>
      <c r="V150" s="132"/>
      <c r="W150" s="132"/>
      <c r="X150" s="132"/>
      <c r="Y150" s="132"/>
      <c r="Z150" s="132"/>
      <c r="AA150" s="132"/>
      <c r="AB150" s="132"/>
      <c r="AC150" s="132"/>
      <c r="AD150" s="132"/>
      <c r="AE150" s="132"/>
      <c r="AF150" s="132"/>
      <c r="AG150" s="132"/>
      <c r="AH150" s="132"/>
      <c r="AI150" s="132"/>
    </row>
    <row r="151" spans="1:39">
      <c r="A151" s="97"/>
      <c r="B151" s="372"/>
      <c r="C151" s="372"/>
      <c r="D151" s="372"/>
      <c r="E151" s="97"/>
      <c r="F151" s="161"/>
      <c r="G151" s="132"/>
      <c r="H151" s="132"/>
      <c r="I151" s="132"/>
      <c r="J151" s="132"/>
      <c r="K151" s="132"/>
      <c r="L151" s="133"/>
      <c r="M151" s="133"/>
      <c r="N151" s="132"/>
      <c r="O151" s="132"/>
      <c r="P151" s="132"/>
      <c r="Q151" s="132"/>
      <c r="R151" s="132"/>
      <c r="S151" s="132"/>
      <c r="T151" s="132"/>
      <c r="U151" s="132"/>
      <c r="V151" s="132"/>
      <c r="W151" s="132"/>
      <c r="X151" s="132"/>
      <c r="Y151" s="132"/>
      <c r="Z151" s="132"/>
      <c r="AA151" s="132"/>
      <c r="AB151" s="132"/>
      <c r="AC151" s="132"/>
      <c r="AD151" s="132"/>
      <c r="AE151" s="132"/>
      <c r="AF151" s="132"/>
      <c r="AG151" s="132"/>
      <c r="AH151" s="132"/>
      <c r="AI151" s="132"/>
    </row>
    <row r="152" spans="1:39">
      <c r="A152" s="97"/>
      <c r="B152" s="372"/>
      <c r="C152" s="372"/>
      <c r="D152" s="372"/>
      <c r="E152" s="97"/>
      <c r="F152" s="161"/>
      <c r="G152" s="132"/>
      <c r="H152" s="132"/>
      <c r="I152" s="132"/>
      <c r="J152" s="132"/>
      <c r="K152" s="132"/>
      <c r="L152" s="133"/>
      <c r="M152" s="133"/>
      <c r="N152" s="132"/>
      <c r="O152" s="132"/>
      <c r="P152" s="132"/>
      <c r="Q152" s="132"/>
      <c r="R152" s="132"/>
      <c r="S152" s="132"/>
      <c r="T152" s="132"/>
      <c r="U152" s="132"/>
      <c r="V152" s="132"/>
      <c r="W152" s="132"/>
      <c r="X152" s="132"/>
      <c r="Y152" s="132"/>
      <c r="Z152" s="132"/>
      <c r="AA152" s="132"/>
      <c r="AB152" s="132"/>
      <c r="AC152" s="132"/>
      <c r="AD152" s="132"/>
      <c r="AE152" s="132"/>
      <c r="AF152" s="132"/>
      <c r="AG152" s="132"/>
      <c r="AH152" s="132"/>
      <c r="AI152" s="132"/>
    </row>
    <row r="153" spans="1:39" ht="15.75" thickBot="1">
      <c r="A153" s="97"/>
      <c r="B153" s="372"/>
      <c r="C153" s="372"/>
      <c r="D153" s="372"/>
      <c r="E153" s="97"/>
      <c r="F153" s="163"/>
      <c r="G153" s="129"/>
      <c r="H153" s="129"/>
      <c r="I153" s="129"/>
      <c r="J153" s="129"/>
      <c r="K153" s="129"/>
      <c r="L153" s="164"/>
      <c r="M153" s="129"/>
      <c r="N153" s="129"/>
      <c r="O153" s="129"/>
      <c r="P153" s="129"/>
      <c r="Q153" s="129"/>
      <c r="R153" s="129"/>
      <c r="S153" s="129"/>
      <c r="T153" s="129"/>
      <c r="U153" s="129"/>
      <c r="V153" s="129"/>
      <c r="W153" s="129"/>
      <c r="X153" s="129"/>
      <c r="Y153" s="129"/>
      <c r="Z153" s="129"/>
      <c r="AA153" s="129"/>
      <c r="AB153" s="129"/>
      <c r="AC153" s="129"/>
      <c r="AD153" s="129"/>
      <c r="AE153" s="129"/>
      <c r="AF153" s="129"/>
      <c r="AG153" s="129"/>
      <c r="AH153" s="129"/>
      <c r="AI153" s="129"/>
    </row>
    <row r="154" spans="1:39" ht="15.75" thickTop="1">
      <c r="A154" s="100"/>
      <c r="B154" s="100"/>
      <c r="C154" s="100"/>
      <c r="D154" s="100"/>
      <c r="E154" s="100"/>
      <c r="F154" s="100"/>
      <c r="G154" s="100"/>
      <c r="H154" s="100"/>
      <c r="I154" s="100"/>
      <c r="J154" s="100"/>
      <c r="K154" s="100"/>
      <c r="L154" s="100"/>
      <c r="M154" s="166"/>
      <c r="N154" s="166"/>
      <c r="O154" s="166"/>
      <c r="P154" s="166"/>
      <c r="Q154" s="100"/>
      <c r="R154" s="166"/>
      <c r="S154" s="166"/>
      <c r="T154" s="100"/>
      <c r="U154" s="166"/>
      <c r="V154" s="102"/>
      <c r="W154" s="102"/>
      <c r="X154" s="102"/>
      <c r="Y154" s="102"/>
      <c r="Z154" s="102"/>
      <c r="AA154" s="102"/>
      <c r="AB154" s="102"/>
      <c r="AC154" s="102"/>
      <c r="AD154" s="102"/>
      <c r="AE154" s="102"/>
      <c r="AF154" s="102"/>
      <c r="AG154" s="102"/>
      <c r="AH154" s="102"/>
      <c r="AI154" s="102"/>
    </row>
    <row r="155" spans="1:39">
      <c r="A155" s="97"/>
      <c r="B155" s="97"/>
      <c r="C155" s="97"/>
      <c r="D155" s="97"/>
      <c r="E155" s="97"/>
      <c r="F155" s="100"/>
      <c r="G155" s="97"/>
      <c r="H155" s="97"/>
      <c r="I155" s="97"/>
      <c r="J155" s="97"/>
      <c r="K155" s="97"/>
      <c r="L155" s="97"/>
      <c r="M155" s="167"/>
      <c r="N155" s="167"/>
      <c r="O155" s="167"/>
      <c r="P155" s="167"/>
      <c r="Q155" s="97"/>
      <c r="R155" s="167"/>
      <c r="S155" s="167"/>
      <c r="T155" s="97"/>
      <c r="U155" s="167"/>
      <c r="V155" s="98"/>
      <c r="W155" s="98"/>
      <c r="X155" s="98"/>
      <c r="Y155" s="98"/>
      <c r="Z155" s="98"/>
      <c r="AA155" s="98"/>
      <c r="AB155" s="98"/>
      <c r="AC155" s="98"/>
      <c r="AD155" s="98"/>
      <c r="AE155" s="98"/>
      <c r="AF155" s="98"/>
      <c r="AG155" s="98"/>
      <c r="AH155" s="98"/>
      <c r="AI155" s="98"/>
    </row>
    <row r="156" spans="1:39">
      <c r="A156" s="97"/>
      <c r="B156" s="116"/>
      <c r="C156" s="97"/>
      <c r="D156" s="117"/>
      <c r="E156" s="118"/>
      <c r="F156" s="119"/>
      <c r="G156" s="120"/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97"/>
      <c r="T156" s="97"/>
      <c r="U156" s="97"/>
      <c r="V156" s="98"/>
      <c r="W156" s="98"/>
      <c r="X156" s="98"/>
      <c r="Y156" s="98"/>
      <c r="Z156" s="98"/>
      <c r="AA156" s="98"/>
      <c r="AB156" s="98"/>
      <c r="AC156" s="98"/>
      <c r="AD156" s="98"/>
      <c r="AE156" s="98"/>
      <c r="AF156" s="98"/>
      <c r="AG156" s="98"/>
      <c r="AH156" s="98"/>
      <c r="AI156" s="98"/>
    </row>
    <row r="157" spans="1:39">
      <c r="A157" s="97"/>
      <c r="B157" s="168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  <c r="T157" s="113"/>
      <c r="U157" s="113"/>
      <c r="V157" s="113"/>
      <c r="W157" s="113"/>
      <c r="X157" s="113"/>
      <c r="Y157" s="113"/>
      <c r="Z157" s="113"/>
      <c r="AA157" s="113"/>
      <c r="AB157" s="113"/>
      <c r="AC157" s="113"/>
      <c r="AD157" s="113"/>
      <c r="AE157" s="113"/>
      <c r="AF157" s="113"/>
      <c r="AG157" s="113"/>
      <c r="AH157" s="113"/>
      <c r="AI157" s="113"/>
      <c r="AJ157"/>
      <c r="AK157"/>
      <c r="AL157"/>
      <c r="AM157"/>
    </row>
    <row r="158" spans="1:39" ht="15.75" thickBot="1">
      <c r="A158" s="97"/>
      <c r="B158" s="121"/>
      <c r="C158" s="122"/>
      <c r="D158" s="122"/>
      <c r="E158" s="122"/>
      <c r="F158" s="123"/>
      <c r="G158" s="123"/>
      <c r="H158" s="123"/>
      <c r="I158" s="123"/>
      <c r="J158" s="123"/>
      <c r="K158" s="123"/>
      <c r="L158" s="123"/>
      <c r="M158" s="123"/>
      <c r="N158" s="123"/>
      <c r="O158" s="123"/>
      <c r="P158" s="123"/>
      <c r="Q158" s="123"/>
      <c r="R158" s="123"/>
      <c r="S158" s="123"/>
      <c r="T158" s="123"/>
      <c r="U158" s="123"/>
      <c r="V158" s="123"/>
      <c r="W158" s="123"/>
      <c r="X158" s="123"/>
      <c r="Y158" s="123"/>
      <c r="Z158" s="123"/>
      <c r="AA158" s="123"/>
      <c r="AB158" s="123"/>
      <c r="AC158" s="123"/>
      <c r="AD158" s="123"/>
      <c r="AE158" s="123"/>
      <c r="AF158" s="123"/>
      <c r="AG158" s="123"/>
      <c r="AH158" s="123"/>
      <c r="AI158" s="123"/>
    </row>
    <row r="159" spans="1:39">
      <c r="A159" s="97"/>
      <c r="B159" s="124"/>
      <c r="C159" s="125"/>
      <c r="D159" s="125"/>
      <c r="E159" s="125"/>
      <c r="F159" s="125"/>
      <c r="G159" s="125"/>
      <c r="H159" s="125"/>
      <c r="I159" s="125"/>
      <c r="J159" s="125"/>
      <c r="K159" s="126"/>
      <c r="L159" s="127"/>
      <c r="M159" s="127"/>
      <c r="N159" s="126"/>
      <c r="O159" s="126"/>
      <c r="P159" s="126"/>
      <c r="Q159" s="126"/>
      <c r="R159" s="126"/>
      <c r="S159" s="126"/>
      <c r="T159" s="126"/>
      <c r="U159" s="126"/>
      <c r="V159" s="126"/>
      <c r="W159" s="126"/>
      <c r="X159" s="126"/>
      <c r="Y159" s="126"/>
      <c r="Z159" s="126"/>
      <c r="AA159" s="126"/>
      <c r="AB159" s="126"/>
      <c r="AC159" s="126"/>
      <c r="AD159" s="126"/>
      <c r="AE159" s="126"/>
      <c r="AF159" s="126"/>
      <c r="AG159" s="126"/>
      <c r="AH159" s="126"/>
      <c r="AI159" s="126"/>
    </row>
    <row r="160" spans="1:39" ht="15.75" thickBot="1">
      <c r="A160" s="97"/>
      <c r="B160" s="128"/>
      <c r="C160" s="129"/>
      <c r="D160" s="129"/>
      <c r="E160" s="129"/>
      <c r="F160" s="129"/>
      <c r="G160" s="129"/>
      <c r="H160" s="129"/>
      <c r="I160" s="129"/>
      <c r="J160" s="129"/>
      <c r="K160" s="130"/>
      <c r="L160" s="130"/>
      <c r="M160" s="130"/>
      <c r="N160" s="130"/>
      <c r="O160" s="130"/>
      <c r="P160" s="130"/>
      <c r="Q160" s="130"/>
      <c r="R160" s="130"/>
      <c r="S160" s="130"/>
      <c r="T160" s="130"/>
      <c r="U160" s="130"/>
      <c r="V160" s="130"/>
      <c r="W160" s="130"/>
      <c r="X160" s="130"/>
      <c r="Y160" s="130"/>
      <c r="Z160" s="130"/>
      <c r="AA160" s="130"/>
      <c r="AB160" s="130"/>
      <c r="AC160" s="130"/>
      <c r="AD160" s="130"/>
      <c r="AE160" s="130"/>
      <c r="AF160" s="130"/>
      <c r="AG160" s="130"/>
      <c r="AH160" s="130"/>
      <c r="AI160" s="130"/>
    </row>
    <row r="161" spans="1:35" ht="15.75" thickTop="1">
      <c r="A161" s="97"/>
      <c r="B161" s="131"/>
      <c r="C161" s="132"/>
      <c r="D161" s="132"/>
      <c r="E161" s="132"/>
      <c r="F161" s="132"/>
      <c r="G161" s="132"/>
      <c r="H161" s="132"/>
      <c r="I161" s="132"/>
      <c r="J161" s="132"/>
      <c r="K161" s="132"/>
      <c r="L161" s="133"/>
      <c r="M161" s="133"/>
      <c r="N161" s="132"/>
      <c r="O161" s="132"/>
      <c r="P161" s="132"/>
      <c r="Q161" s="132"/>
      <c r="R161" s="132"/>
      <c r="S161" s="132"/>
      <c r="T161" s="132"/>
      <c r="U161" s="132"/>
      <c r="V161" s="132"/>
      <c r="W161" s="132"/>
      <c r="X161" s="132"/>
      <c r="Y161" s="132"/>
      <c r="Z161" s="132"/>
      <c r="AA161" s="132"/>
      <c r="AB161" s="132"/>
      <c r="AC161" s="132"/>
      <c r="AD161" s="132"/>
      <c r="AE161" s="132"/>
      <c r="AF161" s="132"/>
      <c r="AG161" s="132"/>
      <c r="AH161" s="132"/>
      <c r="AI161" s="132"/>
    </row>
    <row r="162" spans="1:35" ht="15.75" thickBot="1">
      <c r="A162" s="97"/>
      <c r="B162" s="128"/>
      <c r="C162" s="134"/>
      <c r="D162" s="134"/>
      <c r="E162" s="134"/>
      <c r="F162" s="134"/>
      <c r="G162" s="130"/>
      <c r="H162" s="130"/>
      <c r="I162" s="130"/>
      <c r="J162" s="130"/>
      <c r="K162" s="130"/>
      <c r="L162" s="130"/>
      <c r="M162" s="130"/>
      <c r="N162" s="130"/>
      <c r="O162" s="130"/>
      <c r="P162" s="130"/>
      <c r="Q162" s="130"/>
      <c r="R162" s="130"/>
      <c r="S162" s="130"/>
      <c r="T162" s="130"/>
      <c r="U162" s="130"/>
      <c r="V162" s="130"/>
      <c r="W162" s="130"/>
      <c r="X162" s="130"/>
      <c r="Y162" s="130"/>
      <c r="Z162" s="130"/>
      <c r="AA162" s="130"/>
      <c r="AB162" s="130"/>
      <c r="AC162" s="130"/>
      <c r="AD162" s="130"/>
      <c r="AE162" s="130"/>
      <c r="AF162" s="130"/>
      <c r="AG162" s="130"/>
      <c r="AH162" s="130"/>
      <c r="AI162" s="130"/>
    </row>
    <row r="163" spans="1:35" ht="15.75" thickTop="1">
      <c r="A163" s="97"/>
      <c r="B163" s="135"/>
      <c r="C163" s="136"/>
      <c r="D163" s="136"/>
      <c r="E163" s="136"/>
      <c r="F163" s="136"/>
      <c r="G163" s="136"/>
      <c r="H163" s="136"/>
      <c r="I163" s="136"/>
      <c r="J163" s="136"/>
      <c r="K163" s="136"/>
      <c r="L163" s="137"/>
      <c r="M163" s="137"/>
      <c r="N163" s="136"/>
      <c r="O163" s="136"/>
      <c r="P163" s="136"/>
      <c r="Q163" s="136"/>
      <c r="R163" s="136"/>
      <c r="S163" s="136"/>
      <c r="T163" s="136"/>
      <c r="U163" s="136"/>
      <c r="V163" s="136"/>
      <c r="W163" s="136"/>
      <c r="X163" s="136"/>
      <c r="Y163" s="136"/>
      <c r="Z163" s="136"/>
      <c r="AA163" s="136"/>
      <c r="AB163" s="136"/>
      <c r="AC163" s="136"/>
      <c r="AD163" s="136"/>
      <c r="AE163" s="136"/>
      <c r="AF163" s="136"/>
      <c r="AG163" s="136"/>
      <c r="AH163" s="136"/>
      <c r="AI163" s="136"/>
    </row>
    <row r="164" spans="1:35" ht="15.75" thickBot="1">
      <c r="A164" s="97"/>
      <c r="B164" s="128"/>
      <c r="C164" s="130"/>
      <c r="D164" s="130"/>
      <c r="E164" s="130"/>
      <c r="F164" s="130"/>
      <c r="G164" s="130"/>
      <c r="H164" s="130"/>
      <c r="I164" s="130"/>
      <c r="J164" s="130"/>
      <c r="K164" s="130"/>
      <c r="L164" s="130"/>
      <c r="M164" s="130"/>
      <c r="N164" s="130"/>
      <c r="O164" s="130"/>
      <c r="P164" s="130"/>
      <c r="Q164" s="130"/>
      <c r="R164" s="130"/>
      <c r="S164" s="130"/>
      <c r="T164" s="130"/>
      <c r="U164" s="130"/>
      <c r="V164" s="130"/>
      <c r="W164" s="130"/>
      <c r="X164" s="130"/>
      <c r="Y164" s="130"/>
      <c r="Z164" s="130"/>
      <c r="AA164" s="130"/>
      <c r="AB164" s="130"/>
      <c r="AC164" s="130"/>
      <c r="AD164" s="130"/>
      <c r="AE164" s="130"/>
      <c r="AF164" s="130"/>
      <c r="AG164" s="130"/>
      <c r="AH164" s="130"/>
      <c r="AI164" s="130"/>
    </row>
    <row r="165" spans="1:35" ht="15.75" thickTop="1">
      <c r="A165" s="97"/>
      <c r="B165" s="97"/>
      <c r="C165" s="97"/>
      <c r="D165" s="97"/>
      <c r="E165" s="97"/>
      <c r="F165" s="97"/>
      <c r="G165" s="97"/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97"/>
      <c r="T165" s="97"/>
      <c r="U165" s="97"/>
      <c r="V165" s="97"/>
      <c r="W165" s="97"/>
      <c r="X165" s="97"/>
      <c r="Y165" s="97"/>
      <c r="Z165" s="97"/>
      <c r="AA165" s="97"/>
      <c r="AB165" s="97"/>
      <c r="AC165" s="97"/>
      <c r="AD165" s="97"/>
      <c r="AE165" s="97"/>
      <c r="AF165" s="97"/>
      <c r="AG165" s="97"/>
      <c r="AH165" s="97"/>
      <c r="AI165" s="97"/>
    </row>
    <row r="166" spans="1:35" ht="15.75" thickBot="1">
      <c r="A166" s="97"/>
      <c r="B166" s="138"/>
      <c r="C166" s="139"/>
      <c r="D166" s="139"/>
      <c r="E166" s="139"/>
      <c r="F166" s="139"/>
      <c r="G166" s="139"/>
      <c r="H166" s="139"/>
      <c r="I166" s="139"/>
      <c r="J166" s="139"/>
      <c r="K166" s="139"/>
      <c r="L166" s="140"/>
      <c r="M166" s="139"/>
      <c r="N166" s="139"/>
      <c r="O166" s="139"/>
      <c r="P166" s="139"/>
      <c r="Q166" s="139"/>
      <c r="R166" s="139"/>
      <c r="S166" s="139"/>
      <c r="T166" s="139"/>
      <c r="U166" s="139"/>
      <c r="V166" s="139"/>
      <c r="W166" s="139"/>
      <c r="X166" s="139"/>
      <c r="Y166" s="139"/>
      <c r="Z166" s="139"/>
      <c r="AA166" s="139"/>
      <c r="AB166" s="139"/>
      <c r="AC166" s="139"/>
      <c r="AD166" s="139"/>
      <c r="AE166" s="139"/>
      <c r="AF166" s="139"/>
      <c r="AG166" s="139"/>
      <c r="AH166" s="139"/>
      <c r="AI166" s="139"/>
    </row>
    <row r="167" spans="1:35">
      <c r="A167" s="97"/>
      <c r="B167" s="141"/>
      <c r="C167" s="141"/>
      <c r="D167" s="142"/>
      <c r="E167" s="97"/>
      <c r="F167" s="119"/>
      <c r="G167" s="143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C167" s="144"/>
      <c r="AD167" s="144"/>
      <c r="AE167" s="144"/>
      <c r="AF167" s="144"/>
      <c r="AG167" s="144"/>
      <c r="AH167" s="144"/>
      <c r="AI167" s="144"/>
    </row>
    <row r="168" spans="1:35" ht="15.75" thickBot="1">
      <c r="A168" s="97"/>
      <c r="B168" s="141"/>
      <c r="C168" s="119"/>
      <c r="D168" s="145"/>
      <c r="E168" s="97"/>
      <c r="F168" s="146"/>
      <c r="G168" s="141"/>
      <c r="H168" s="147"/>
      <c r="I168" s="147"/>
      <c r="J168" s="147"/>
      <c r="K168" s="147"/>
      <c r="L168" s="148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7"/>
      <c r="AB168" s="147"/>
      <c r="AC168" s="147"/>
      <c r="AD168" s="147"/>
      <c r="AE168" s="147"/>
      <c r="AF168" s="147"/>
      <c r="AG168" s="147"/>
      <c r="AH168" s="147"/>
      <c r="AI168" s="147"/>
    </row>
    <row r="169" spans="1:35" ht="15.75" thickTop="1">
      <c r="A169" s="97"/>
      <c r="B169" s="97"/>
      <c r="C169" s="97"/>
      <c r="D169" s="97"/>
      <c r="E169" s="97"/>
      <c r="F169" s="149"/>
      <c r="G169" s="150"/>
      <c r="H169" s="150"/>
      <c r="I169" s="150"/>
      <c r="J169" s="150"/>
      <c r="K169" s="150"/>
      <c r="L169" s="150"/>
      <c r="M169" s="150"/>
      <c r="N169" s="150"/>
      <c r="O169" s="150"/>
      <c r="P169" s="150"/>
      <c r="Q169" s="150"/>
      <c r="R169" s="150"/>
      <c r="S169" s="150"/>
      <c r="T169" s="150"/>
      <c r="U169" s="150"/>
      <c r="V169" s="150"/>
      <c r="W169" s="150"/>
      <c r="X169" s="150"/>
      <c r="Y169" s="150"/>
      <c r="Z169" s="150"/>
      <c r="AA169" s="150"/>
      <c r="AB169" s="150"/>
      <c r="AC169" s="150"/>
      <c r="AD169" s="150"/>
      <c r="AE169" s="150"/>
      <c r="AF169" s="150"/>
      <c r="AG169" s="150"/>
      <c r="AH169" s="150"/>
      <c r="AI169" s="150"/>
    </row>
    <row r="170" spans="1:35">
      <c r="A170" s="97"/>
      <c r="B170" s="372"/>
      <c r="C170" s="372"/>
      <c r="D170" s="372"/>
      <c r="E170" s="97"/>
      <c r="F170" s="112"/>
      <c r="G170" s="151"/>
      <c r="H170" s="151"/>
      <c r="I170" s="151"/>
      <c r="J170" s="151"/>
      <c r="K170" s="151"/>
      <c r="L170" s="151"/>
      <c r="M170" s="151"/>
      <c r="N170" s="151"/>
      <c r="O170" s="151"/>
      <c r="P170" s="151"/>
      <c r="Q170" s="151"/>
      <c r="R170" s="151"/>
      <c r="S170" s="165"/>
      <c r="T170" s="165"/>
      <c r="U170" s="165"/>
      <c r="V170" s="165"/>
      <c r="W170" s="165"/>
      <c r="X170" s="165"/>
      <c r="Y170" s="165"/>
      <c r="Z170" s="165"/>
      <c r="AA170" s="165"/>
      <c r="AB170" s="165"/>
      <c r="AC170" s="165"/>
      <c r="AD170" s="165"/>
      <c r="AE170" s="165"/>
      <c r="AF170" s="165"/>
      <c r="AG170" s="165"/>
      <c r="AH170" s="165"/>
      <c r="AI170" s="165"/>
    </row>
    <row r="171" spans="1:35" ht="15.75" thickBot="1">
      <c r="A171" s="97"/>
      <c r="B171" s="372"/>
      <c r="C171" s="372"/>
      <c r="D171" s="372"/>
      <c r="E171" s="97"/>
      <c r="F171" s="112"/>
      <c r="G171" s="152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  <c r="AH171" s="153"/>
      <c r="AI171" s="153"/>
    </row>
    <row r="172" spans="1:35" ht="15.75" thickTop="1">
      <c r="A172" s="97"/>
      <c r="B172" s="372"/>
      <c r="C172" s="372"/>
      <c r="D172" s="372"/>
      <c r="E172" s="97"/>
      <c r="F172" s="141"/>
      <c r="G172" s="154"/>
      <c r="H172" s="154"/>
      <c r="I172" s="154"/>
      <c r="J172" s="154"/>
      <c r="K172" s="154"/>
      <c r="L172" s="154"/>
      <c r="M172" s="154"/>
      <c r="N172" s="154"/>
      <c r="O172" s="154"/>
      <c r="P172" s="154"/>
      <c r="Q172" s="154"/>
      <c r="R172" s="154"/>
      <c r="S172" s="154"/>
      <c r="T172" s="154"/>
      <c r="U172" s="154"/>
      <c r="V172" s="154"/>
      <c r="W172" s="154"/>
      <c r="X172" s="154"/>
      <c r="Y172" s="154"/>
      <c r="Z172" s="154"/>
      <c r="AA172" s="154"/>
      <c r="AB172" s="154"/>
      <c r="AC172" s="154"/>
      <c r="AD172" s="154"/>
      <c r="AE172" s="154"/>
      <c r="AF172" s="154"/>
      <c r="AG172" s="154"/>
      <c r="AH172" s="154"/>
      <c r="AI172" s="154"/>
    </row>
    <row r="173" spans="1:35" ht="15.75" thickBot="1">
      <c r="A173" s="97"/>
      <c r="B173" s="372"/>
      <c r="C173" s="372"/>
      <c r="D173" s="372"/>
      <c r="E173" s="97"/>
      <c r="F173" s="155"/>
      <c r="G173" s="156"/>
      <c r="H173" s="156"/>
      <c r="I173" s="156"/>
      <c r="J173" s="156"/>
      <c r="K173" s="156"/>
      <c r="L173" s="157"/>
      <c r="M173" s="156"/>
      <c r="N173" s="156"/>
      <c r="O173" s="156"/>
      <c r="P173" s="156"/>
      <c r="Q173" s="156"/>
      <c r="R173" s="156"/>
      <c r="S173" s="156"/>
      <c r="T173" s="156"/>
      <c r="U173" s="156"/>
      <c r="V173" s="156"/>
      <c r="W173" s="156"/>
      <c r="X173" s="156"/>
      <c r="Y173" s="156"/>
      <c r="Z173" s="156"/>
      <c r="AA173" s="156"/>
      <c r="AB173" s="156"/>
      <c r="AC173" s="156"/>
      <c r="AD173" s="156"/>
      <c r="AE173" s="156"/>
      <c r="AF173" s="156"/>
      <c r="AG173" s="156"/>
      <c r="AH173" s="156"/>
      <c r="AI173" s="156"/>
    </row>
    <row r="174" spans="1:35">
      <c r="A174" s="97"/>
      <c r="B174" s="372"/>
      <c r="C174" s="372"/>
      <c r="D174" s="372"/>
      <c r="E174" s="97"/>
      <c r="F174" s="158"/>
      <c r="G174" s="159"/>
      <c r="H174" s="159"/>
      <c r="I174" s="159"/>
      <c r="J174" s="159"/>
      <c r="K174" s="159"/>
      <c r="L174" s="160"/>
      <c r="M174" s="160"/>
      <c r="N174" s="159"/>
      <c r="O174" s="159"/>
      <c r="P174" s="159"/>
      <c r="Q174" s="159"/>
      <c r="R174" s="159"/>
      <c r="S174" s="159"/>
      <c r="T174" s="159"/>
      <c r="U174" s="159"/>
      <c r="V174" s="159"/>
      <c r="W174" s="159"/>
      <c r="X174" s="159"/>
      <c r="Y174" s="159"/>
      <c r="Z174" s="159"/>
      <c r="AA174" s="159"/>
      <c r="AB174" s="159"/>
      <c r="AC174" s="159"/>
      <c r="AD174" s="159"/>
      <c r="AE174" s="159"/>
      <c r="AF174" s="159"/>
      <c r="AG174" s="159"/>
      <c r="AH174" s="159"/>
      <c r="AI174" s="159"/>
    </row>
    <row r="175" spans="1:35">
      <c r="A175" s="97"/>
      <c r="B175" s="372"/>
      <c r="C175" s="372"/>
      <c r="D175" s="372"/>
      <c r="E175" s="97"/>
      <c r="F175" s="161"/>
      <c r="G175" s="162"/>
      <c r="H175" s="162"/>
      <c r="I175" s="162"/>
      <c r="J175" s="162"/>
      <c r="K175" s="162"/>
      <c r="L175" s="162"/>
      <c r="M175" s="162"/>
      <c r="N175" s="162"/>
      <c r="O175" s="162"/>
      <c r="P175" s="162"/>
      <c r="Q175" s="162"/>
      <c r="R175" s="162"/>
      <c r="S175" s="162"/>
      <c r="T175" s="162"/>
      <c r="U175" s="162"/>
      <c r="V175" s="162"/>
      <c r="W175" s="162"/>
      <c r="X175" s="162"/>
      <c r="Y175" s="162"/>
      <c r="Z175" s="162"/>
      <c r="AA175" s="162"/>
      <c r="AB175" s="162"/>
      <c r="AC175" s="162"/>
      <c r="AD175" s="162"/>
      <c r="AE175" s="162"/>
      <c r="AF175" s="162"/>
      <c r="AG175" s="162"/>
      <c r="AH175" s="162"/>
      <c r="AI175" s="162"/>
    </row>
    <row r="176" spans="1:35">
      <c r="A176" s="97"/>
      <c r="B176" s="372"/>
      <c r="C176" s="372"/>
      <c r="D176" s="372"/>
      <c r="E176" s="97"/>
      <c r="F176" s="161"/>
      <c r="G176" s="132"/>
      <c r="H176" s="132"/>
      <c r="I176" s="132"/>
      <c r="J176" s="132"/>
      <c r="K176" s="132"/>
      <c r="L176" s="133"/>
      <c r="M176" s="133"/>
      <c r="N176" s="132"/>
      <c r="O176" s="132"/>
      <c r="P176" s="132"/>
      <c r="Q176" s="132"/>
      <c r="R176" s="132"/>
      <c r="S176" s="132"/>
      <c r="T176" s="132"/>
      <c r="U176" s="132"/>
      <c r="V176" s="132"/>
      <c r="W176" s="132"/>
      <c r="X176" s="132"/>
      <c r="Y176" s="132"/>
      <c r="Z176" s="132"/>
      <c r="AA176" s="132"/>
      <c r="AB176" s="132"/>
      <c r="AC176" s="132"/>
      <c r="AD176" s="132"/>
      <c r="AE176" s="132"/>
      <c r="AF176" s="132"/>
      <c r="AG176" s="132"/>
      <c r="AH176" s="132"/>
      <c r="AI176" s="132"/>
    </row>
    <row r="177" spans="1:39">
      <c r="A177" s="97"/>
      <c r="B177" s="372"/>
      <c r="C177" s="372"/>
      <c r="D177" s="372"/>
      <c r="E177" s="97"/>
      <c r="F177" s="161"/>
      <c r="G177" s="132"/>
      <c r="H177" s="132"/>
      <c r="I177" s="132"/>
      <c r="J177" s="132"/>
      <c r="K177" s="132"/>
      <c r="L177" s="133"/>
      <c r="M177" s="133"/>
      <c r="N177" s="132"/>
      <c r="O177" s="132"/>
      <c r="P177" s="132"/>
      <c r="Q177" s="132"/>
      <c r="R177" s="132"/>
      <c r="S177" s="132"/>
      <c r="T177" s="132"/>
      <c r="U177" s="132"/>
      <c r="V177" s="132"/>
      <c r="W177" s="132"/>
      <c r="X177" s="132"/>
      <c r="Y177" s="132"/>
      <c r="Z177" s="132"/>
      <c r="AA177" s="132"/>
      <c r="AB177" s="132"/>
      <c r="AC177" s="132"/>
      <c r="AD177" s="132"/>
      <c r="AE177" s="132"/>
      <c r="AF177" s="132"/>
      <c r="AG177" s="132"/>
      <c r="AH177" s="132"/>
      <c r="AI177" s="132"/>
    </row>
    <row r="178" spans="1:39">
      <c r="A178" s="97"/>
      <c r="B178" s="372"/>
      <c r="C178" s="372"/>
      <c r="D178" s="372"/>
      <c r="E178" s="97"/>
      <c r="F178" s="161"/>
      <c r="G178" s="132"/>
      <c r="H178" s="132"/>
      <c r="I178" s="132"/>
      <c r="J178" s="132"/>
      <c r="K178" s="132"/>
      <c r="L178" s="133"/>
      <c r="M178" s="133"/>
      <c r="N178" s="132"/>
      <c r="O178" s="132"/>
      <c r="P178" s="132"/>
      <c r="Q178" s="132"/>
      <c r="R178" s="132"/>
      <c r="S178" s="132"/>
      <c r="T178" s="132"/>
      <c r="U178" s="132"/>
      <c r="V178" s="132"/>
      <c r="W178" s="132"/>
      <c r="X178" s="132"/>
      <c r="Y178" s="132"/>
      <c r="Z178" s="132"/>
      <c r="AA178" s="132"/>
      <c r="AB178" s="132"/>
      <c r="AC178" s="132"/>
      <c r="AD178" s="132"/>
      <c r="AE178" s="132"/>
      <c r="AF178" s="132"/>
      <c r="AG178" s="132"/>
      <c r="AH178" s="132"/>
      <c r="AI178" s="132"/>
    </row>
    <row r="179" spans="1:39" ht="15.75" thickBot="1">
      <c r="A179" s="97"/>
      <c r="B179" s="372"/>
      <c r="C179" s="372"/>
      <c r="D179" s="372"/>
      <c r="E179" s="97"/>
      <c r="F179" s="163"/>
      <c r="G179" s="129"/>
      <c r="H179" s="129"/>
      <c r="I179" s="129"/>
      <c r="J179" s="129"/>
      <c r="K179" s="129"/>
      <c r="L179" s="164"/>
      <c r="M179" s="129"/>
      <c r="N179" s="129"/>
      <c r="O179" s="129"/>
      <c r="P179" s="129"/>
      <c r="Q179" s="129"/>
      <c r="R179" s="129"/>
      <c r="S179" s="129"/>
      <c r="T179" s="129"/>
      <c r="U179" s="129"/>
      <c r="V179" s="129"/>
      <c r="W179" s="129"/>
      <c r="X179" s="129"/>
      <c r="Y179" s="129"/>
      <c r="Z179" s="129"/>
      <c r="AA179" s="129"/>
      <c r="AB179" s="129"/>
      <c r="AC179" s="129"/>
      <c r="AD179" s="129"/>
      <c r="AE179" s="129"/>
      <c r="AF179" s="129"/>
      <c r="AG179" s="129"/>
      <c r="AH179" s="129"/>
      <c r="AI179" s="129"/>
    </row>
    <row r="180" spans="1:39" ht="15.75" thickTop="1">
      <c r="A180" s="100"/>
      <c r="B180" s="100"/>
      <c r="C180" s="100"/>
      <c r="D180" s="100"/>
      <c r="E180" s="100"/>
      <c r="F180" s="100"/>
      <c r="G180" s="100"/>
      <c r="H180" s="100"/>
      <c r="I180" s="100"/>
      <c r="J180" s="100"/>
      <c r="K180" s="100"/>
      <c r="L180" s="100"/>
      <c r="M180" s="166"/>
      <c r="N180" s="166"/>
      <c r="O180" s="166"/>
      <c r="P180" s="166"/>
      <c r="Q180" s="100"/>
      <c r="R180" s="166"/>
      <c r="S180" s="166"/>
      <c r="T180" s="100"/>
      <c r="U180" s="166"/>
      <c r="V180" s="102"/>
      <c r="W180" s="102"/>
      <c r="X180" s="102"/>
      <c r="Y180" s="102"/>
      <c r="Z180" s="102"/>
      <c r="AA180" s="102"/>
      <c r="AB180" s="102"/>
      <c r="AC180" s="102"/>
      <c r="AD180" s="102"/>
      <c r="AE180" s="102"/>
      <c r="AF180" s="102"/>
      <c r="AG180" s="102"/>
      <c r="AH180" s="102"/>
      <c r="AI180" s="102"/>
    </row>
    <row r="181" spans="1:39">
      <c r="A181" s="97"/>
      <c r="B181" s="97"/>
      <c r="C181" s="97"/>
      <c r="D181" s="97"/>
      <c r="E181" s="97"/>
      <c r="F181" s="100"/>
      <c r="G181" s="97"/>
      <c r="H181" s="97"/>
      <c r="I181" s="97"/>
      <c r="J181" s="97"/>
      <c r="K181" s="97"/>
      <c r="L181" s="97"/>
      <c r="M181" s="167"/>
      <c r="N181" s="167"/>
      <c r="O181" s="167"/>
      <c r="P181" s="167"/>
      <c r="Q181" s="97"/>
      <c r="R181" s="167"/>
      <c r="S181" s="167"/>
      <c r="T181" s="97"/>
      <c r="U181" s="167"/>
      <c r="V181" s="98"/>
      <c r="W181" s="98"/>
      <c r="X181" s="98"/>
      <c r="Y181" s="98"/>
      <c r="Z181" s="98"/>
      <c r="AA181" s="98"/>
      <c r="AB181" s="98"/>
      <c r="AC181" s="98"/>
      <c r="AD181" s="98"/>
      <c r="AE181" s="98"/>
      <c r="AF181" s="98"/>
      <c r="AG181" s="98"/>
      <c r="AH181" s="98"/>
      <c r="AI181" s="98"/>
    </row>
    <row r="182" spans="1:39">
      <c r="A182" s="97"/>
      <c r="B182" s="116"/>
      <c r="C182" s="97"/>
      <c r="D182" s="117"/>
      <c r="E182" s="118"/>
      <c r="F182" s="119"/>
      <c r="G182" s="120"/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7"/>
      <c r="S182" s="97"/>
      <c r="T182" s="97"/>
      <c r="U182" s="97"/>
      <c r="V182" s="98"/>
      <c r="W182" s="98"/>
      <c r="X182" s="98"/>
      <c r="Y182" s="98"/>
      <c r="Z182" s="98"/>
      <c r="AA182" s="98"/>
      <c r="AB182" s="98"/>
      <c r="AC182" s="98"/>
      <c r="AD182" s="98"/>
      <c r="AE182" s="98"/>
      <c r="AF182" s="98"/>
      <c r="AG182" s="98"/>
      <c r="AH182" s="98"/>
      <c r="AI182" s="98"/>
    </row>
    <row r="183" spans="1:39">
      <c r="A183" s="97"/>
      <c r="B183" s="168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  <c r="T183" s="113"/>
      <c r="U183" s="113"/>
      <c r="V183" s="113"/>
      <c r="W183" s="113"/>
      <c r="X183" s="113"/>
      <c r="Y183" s="113"/>
      <c r="Z183" s="113"/>
      <c r="AA183" s="113"/>
      <c r="AB183" s="113"/>
      <c r="AC183" s="113"/>
      <c r="AD183" s="113"/>
      <c r="AE183" s="113"/>
      <c r="AF183" s="113"/>
      <c r="AG183" s="113"/>
      <c r="AH183" s="113"/>
      <c r="AI183" s="113"/>
      <c r="AJ183"/>
      <c r="AK183"/>
      <c r="AL183"/>
      <c r="AM183"/>
    </row>
    <row r="184" spans="1:39" ht="15.75" thickBot="1">
      <c r="A184" s="97"/>
      <c r="B184" s="121"/>
      <c r="C184" s="122"/>
      <c r="D184" s="122"/>
      <c r="E184" s="122"/>
      <c r="F184" s="123"/>
      <c r="G184" s="123"/>
      <c r="H184" s="123"/>
      <c r="I184" s="123"/>
      <c r="J184" s="123"/>
      <c r="K184" s="123"/>
      <c r="L184" s="123"/>
      <c r="M184" s="123"/>
      <c r="N184" s="123"/>
      <c r="O184" s="123"/>
      <c r="P184" s="123"/>
      <c r="Q184" s="123"/>
      <c r="R184" s="123"/>
      <c r="S184" s="123"/>
      <c r="T184" s="123"/>
      <c r="U184" s="123"/>
      <c r="V184" s="123"/>
      <c r="W184" s="123"/>
      <c r="X184" s="123"/>
      <c r="Y184" s="123"/>
      <c r="Z184" s="123"/>
      <c r="AA184" s="123"/>
      <c r="AB184" s="123"/>
      <c r="AC184" s="123"/>
      <c r="AD184" s="123"/>
      <c r="AE184" s="123"/>
      <c r="AF184" s="123"/>
      <c r="AG184" s="123"/>
      <c r="AH184" s="123"/>
      <c r="AI184" s="123"/>
    </row>
    <row r="185" spans="1:39">
      <c r="A185" s="97"/>
      <c r="B185" s="124"/>
      <c r="C185" s="125"/>
      <c r="D185" s="125"/>
      <c r="E185" s="125"/>
      <c r="F185" s="125"/>
      <c r="G185" s="125"/>
      <c r="H185" s="125"/>
      <c r="I185" s="125"/>
      <c r="J185" s="125"/>
      <c r="K185" s="126"/>
      <c r="L185" s="127"/>
      <c r="M185" s="127"/>
      <c r="N185" s="126"/>
      <c r="O185" s="126"/>
      <c r="P185" s="126"/>
      <c r="Q185" s="126"/>
      <c r="R185" s="126"/>
      <c r="S185" s="126"/>
      <c r="T185" s="126"/>
      <c r="U185" s="126"/>
      <c r="V185" s="126"/>
      <c r="W185" s="126"/>
      <c r="X185" s="126"/>
      <c r="Y185" s="126"/>
      <c r="Z185" s="126"/>
      <c r="AA185" s="126"/>
      <c r="AB185" s="126"/>
      <c r="AC185" s="126"/>
      <c r="AD185" s="126"/>
      <c r="AE185" s="126"/>
      <c r="AF185" s="126"/>
      <c r="AG185" s="126"/>
      <c r="AH185" s="126"/>
      <c r="AI185" s="126"/>
    </row>
    <row r="186" spans="1:39" ht="15.75" thickBot="1">
      <c r="A186" s="97"/>
      <c r="B186" s="128"/>
      <c r="C186" s="129"/>
      <c r="D186" s="129"/>
      <c r="E186" s="129"/>
      <c r="F186" s="129"/>
      <c r="G186" s="129"/>
      <c r="H186" s="129"/>
      <c r="I186" s="129"/>
      <c r="J186" s="129"/>
      <c r="K186" s="130"/>
      <c r="L186" s="130"/>
      <c r="M186" s="130"/>
      <c r="N186" s="130"/>
      <c r="O186" s="130"/>
      <c r="P186" s="130"/>
      <c r="Q186" s="130"/>
      <c r="R186" s="130"/>
      <c r="S186" s="130"/>
      <c r="T186" s="130"/>
      <c r="U186" s="130"/>
      <c r="V186" s="130"/>
      <c r="W186" s="130"/>
      <c r="X186" s="130"/>
      <c r="Y186" s="130"/>
      <c r="Z186" s="130"/>
      <c r="AA186" s="130"/>
      <c r="AB186" s="130"/>
      <c r="AC186" s="130"/>
      <c r="AD186" s="130"/>
      <c r="AE186" s="130"/>
      <c r="AF186" s="130"/>
      <c r="AG186" s="130"/>
      <c r="AH186" s="130"/>
      <c r="AI186" s="130"/>
    </row>
    <row r="187" spans="1:39" ht="15.75" thickTop="1">
      <c r="A187" s="97"/>
      <c r="B187" s="131"/>
      <c r="C187" s="132"/>
      <c r="D187" s="132"/>
      <c r="E187" s="132"/>
      <c r="F187" s="132"/>
      <c r="G187" s="132"/>
      <c r="H187" s="132"/>
      <c r="I187" s="132"/>
      <c r="J187" s="132"/>
      <c r="K187" s="132"/>
      <c r="L187" s="133"/>
      <c r="M187" s="133"/>
      <c r="N187" s="132"/>
      <c r="O187" s="132"/>
      <c r="P187" s="132"/>
      <c r="Q187" s="132"/>
      <c r="R187" s="132"/>
      <c r="S187" s="132"/>
      <c r="T187" s="132"/>
      <c r="U187" s="132"/>
      <c r="V187" s="132"/>
      <c r="W187" s="132"/>
      <c r="X187" s="132"/>
      <c r="Y187" s="132"/>
      <c r="Z187" s="132"/>
      <c r="AA187" s="132"/>
      <c r="AB187" s="132"/>
      <c r="AC187" s="132"/>
      <c r="AD187" s="132"/>
      <c r="AE187" s="132"/>
      <c r="AF187" s="132"/>
      <c r="AG187" s="132"/>
      <c r="AH187" s="132"/>
      <c r="AI187" s="132"/>
    </row>
    <row r="188" spans="1:39" ht="15.75" thickBot="1">
      <c r="A188" s="97"/>
      <c r="B188" s="128"/>
      <c r="C188" s="134"/>
      <c r="D188" s="134"/>
      <c r="E188" s="134"/>
      <c r="F188" s="134"/>
      <c r="G188" s="130"/>
      <c r="H188" s="130"/>
      <c r="I188" s="130"/>
      <c r="J188" s="130"/>
      <c r="K188" s="130"/>
      <c r="L188" s="130"/>
      <c r="M188" s="130"/>
      <c r="N188" s="130"/>
      <c r="O188" s="130"/>
      <c r="P188" s="130"/>
      <c r="Q188" s="130"/>
      <c r="R188" s="130"/>
      <c r="S188" s="130"/>
      <c r="T188" s="130"/>
      <c r="U188" s="130"/>
      <c r="V188" s="130"/>
      <c r="W188" s="130"/>
      <c r="X188" s="130"/>
      <c r="Y188" s="130"/>
      <c r="Z188" s="130"/>
      <c r="AA188" s="130"/>
      <c r="AB188" s="130"/>
      <c r="AC188" s="130"/>
      <c r="AD188" s="130"/>
      <c r="AE188" s="130"/>
      <c r="AF188" s="130"/>
      <c r="AG188" s="130"/>
      <c r="AH188" s="130"/>
      <c r="AI188" s="130"/>
    </row>
    <row r="189" spans="1:39" ht="15.75" thickTop="1">
      <c r="A189" s="97"/>
      <c r="B189" s="135"/>
      <c r="C189" s="136"/>
      <c r="D189" s="136"/>
      <c r="E189" s="136"/>
      <c r="F189" s="136"/>
      <c r="G189" s="136"/>
      <c r="H189" s="136"/>
      <c r="I189" s="136"/>
      <c r="J189" s="136"/>
      <c r="K189" s="136"/>
      <c r="L189" s="137"/>
      <c r="M189" s="137"/>
      <c r="N189" s="136"/>
      <c r="O189" s="136"/>
      <c r="P189" s="136"/>
      <c r="Q189" s="136"/>
      <c r="R189" s="136"/>
      <c r="S189" s="136"/>
      <c r="T189" s="136"/>
      <c r="U189" s="136"/>
      <c r="V189" s="136"/>
      <c r="W189" s="136"/>
      <c r="X189" s="136"/>
      <c r="Y189" s="136"/>
      <c r="Z189" s="136"/>
      <c r="AA189" s="136"/>
      <c r="AB189" s="136"/>
      <c r="AC189" s="136"/>
      <c r="AD189" s="136"/>
      <c r="AE189" s="136"/>
      <c r="AF189" s="136"/>
      <c r="AG189" s="136"/>
      <c r="AH189" s="136"/>
      <c r="AI189" s="136"/>
    </row>
    <row r="190" spans="1:39" ht="15.75" thickBot="1">
      <c r="A190" s="97"/>
      <c r="B190" s="128"/>
      <c r="C190" s="130"/>
      <c r="D190" s="130"/>
      <c r="E190" s="130"/>
      <c r="F190" s="130"/>
      <c r="G190" s="130"/>
      <c r="H190" s="130"/>
      <c r="I190" s="130"/>
      <c r="J190" s="130"/>
      <c r="K190" s="130"/>
      <c r="L190" s="130"/>
      <c r="M190" s="130"/>
      <c r="N190" s="130"/>
      <c r="O190" s="130"/>
      <c r="P190" s="130"/>
      <c r="Q190" s="130"/>
      <c r="R190" s="130"/>
      <c r="S190" s="130"/>
      <c r="T190" s="130"/>
      <c r="U190" s="130"/>
      <c r="V190" s="130"/>
      <c r="W190" s="130"/>
      <c r="X190" s="130"/>
      <c r="Y190" s="130"/>
      <c r="Z190" s="130"/>
      <c r="AA190" s="130"/>
      <c r="AB190" s="130"/>
      <c r="AC190" s="130"/>
      <c r="AD190" s="130"/>
      <c r="AE190" s="130"/>
      <c r="AF190" s="130"/>
      <c r="AG190" s="130"/>
      <c r="AH190" s="130"/>
      <c r="AI190" s="130"/>
    </row>
    <row r="191" spans="1:39" ht="15.75" thickTop="1">
      <c r="A191" s="97"/>
      <c r="B191" s="97"/>
      <c r="C191" s="97"/>
      <c r="D191" s="97"/>
      <c r="E191" s="97"/>
      <c r="F191" s="97"/>
      <c r="G191" s="97"/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97"/>
      <c r="T191" s="97"/>
      <c r="U191" s="97"/>
      <c r="V191" s="97"/>
      <c r="W191" s="97"/>
      <c r="X191" s="97"/>
      <c r="Y191" s="97"/>
      <c r="Z191" s="97"/>
      <c r="AA191" s="97"/>
      <c r="AB191" s="97"/>
      <c r="AC191" s="97"/>
      <c r="AD191" s="97"/>
      <c r="AE191" s="97"/>
      <c r="AF191" s="97"/>
      <c r="AG191" s="97"/>
      <c r="AH191" s="97"/>
      <c r="AI191" s="97"/>
    </row>
    <row r="192" spans="1:39" ht="15.75" thickBot="1">
      <c r="A192" s="97"/>
      <c r="B192" s="138"/>
      <c r="C192" s="139"/>
      <c r="D192" s="139"/>
      <c r="E192" s="139"/>
      <c r="F192" s="139"/>
      <c r="G192" s="139"/>
      <c r="H192" s="139"/>
      <c r="I192" s="139"/>
      <c r="J192" s="139"/>
      <c r="K192" s="139"/>
      <c r="L192" s="140"/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39"/>
      <c r="AA192" s="139"/>
      <c r="AB192" s="139"/>
      <c r="AC192" s="139"/>
      <c r="AD192" s="139"/>
      <c r="AE192" s="139"/>
      <c r="AF192" s="139"/>
      <c r="AG192" s="139"/>
      <c r="AH192" s="139"/>
      <c r="AI192" s="139"/>
    </row>
    <row r="193" spans="1:35">
      <c r="A193" s="97"/>
      <c r="B193" s="141"/>
      <c r="C193" s="141"/>
      <c r="D193" s="142"/>
      <c r="E193" s="97"/>
      <c r="F193" s="119"/>
      <c r="G193" s="143"/>
      <c r="H193" s="144"/>
      <c r="I193" s="144"/>
      <c r="J193" s="144"/>
      <c r="K193" s="144"/>
      <c r="L193" s="144"/>
      <c r="M193" s="144"/>
      <c r="N193" s="144"/>
      <c r="O193" s="144"/>
      <c r="P193" s="144"/>
      <c r="Q193" s="144"/>
      <c r="R193" s="144"/>
      <c r="S193" s="144"/>
      <c r="T193" s="144"/>
      <c r="U193" s="144"/>
      <c r="V193" s="144"/>
      <c r="W193" s="144"/>
      <c r="X193" s="144"/>
      <c r="Y193" s="144"/>
      <c r="Z193" s="144"/>
      <c r="AA193" s="144"/>
      <c r="AB193" s="144"/>
      <c r="AC193" s="144"/>
      <c r="AD193" s="144"/>
      <c r="AE193" s="144"/>
      <c r="AF193" s="144"/>
      <c r="AG193" s="144"/>
      <c r="AH193" s="144"/>
      <c r="AI193" s="144"/>
    </row>
    <row r="194" spans="1:35" ht="15.75" thickBot="1">
      <c r="A194" s="97"/>
      <c r="B194" s="141"/>
      <c r="C194" s="119"/>
      <c r="D194" s="145"/>
      <c r="E194" s="97"/>
      <c r="F194" s="146"/>
      <c r="G194" s="141"/>
      <c r="H194" s="147"/>
      <c r="I194" s="147"/>
      <c r="J194" s="147"/>
      <c r="K194" s="147"/>
      <c r="L194" s="148"/>
      <c r="M194" s="147"/>
      <c r="N194" s="147"/>
      <c r="O194" s="147"/>
      <c r="P194" s="147"/>
      <c r="Q194" s="147"/>
      <c r="R194" s="147"/>
      <c r="S194" s="147"/>
      <c r="T194" s="147"/>
      <c r="U194" s="147"/>
      <c r="V194" s="147"/>
      <c r="W194" s="147"/>
      <c r="X194" s="147"/>
      <c r="Y194" s="147"/>
      <c r="Z194" s="147"/>
      <c r="AA194" s="147"/>
      <c r="AB194" s="147"/>
      <c r="AC194" s="147"/>
      <c r="AD194" s="147"/>
      <c r="AE194" s="147"/>
      <c r="AF194" s="147"/>
      <c r="AG194" s="147"/>
      <c r="AH194" s="147"/>
      <c r="AI194" s="147"/>
    </row>
    <row r="195" spans="1:35" ht="15.75" thickTop="1">
      <c r="A195" s="97"/>
      <c r="B195" s="97"/>
      <c r="C195" s="97"/>
      <c r="D195" s="97"/>
      <c r="E195" s="97"/>
      <c r="F195" s="149"/>
      <c r="G195" s="150"/>
      <c r="H195" s="150"/>
      <c r="I195" s="150"/>
      <c r="J195" s="150"/>
      <c r="K195" s="150"/>
      <c r="L195" s="150"/>
      <c r="M195" s="150"/>
      <c r="N195" s="150"/>
      <c r="O195" s="150"/>
      <c r="P195" s="150"/>
      <c r="Q195" s="150"/>
      <c r="R195" s="150"/>
      <c r="S195" s="150"/>
      <c r="T195" s="150"/>
      <c r="U195" s="150"/>
      <c r="V195" s="150"/>
      <c r="W195" s="150"/>
      <c r="X195" s="150"/>
      <c r="Y195" s="150"/>
      <c r="Z195" s="150"/>
      <c r="AA195" s="150"/>
      <c r="AB195" s="150"/>
      <c r="AC195" s="150"/>
      <c r="AD195" s="150"/>
      <c r="AE195" s="150"/>
      <c r="AF195" s="150"/>
      <c r="AG195" s="150"/>
      <c r="AH195" s="150"/>
      <c r="AI195" s="150"/>
    </row>
    <row r="196" spans="1:35">
      <c r="A196" s="97"/>
      <c r="B196" s="372"/>
      <c r="C196" s="372"/>
      <c r="D196" s="372"/>
      <c r="E196" s="97"/>
      <c r="F196" s="112"/>
      <c r="G196" s="151"/>
      <c r="H196" s="151"/>
      <c r="I196" s="151"/>
      <c r="J196" s="151"/>
      <c r="K196" s="151"/>
      <c r="L196" s="151"/>
      <c r="M196" s="151"/>
      <c r="N196" s="151"/>
      <c r="O196" s="151"/>
      <c r="P196" s="151"/>
      <c r="Q196" s="151"/>
      <c r="R196" s="151"/>
      <c r="S196" s="165"/>
      <c r="T196" s="165"/>
      <c r="U196" s="165"/>
      <c r="V196" s="165"/>
      <c r="W196" s="165"/>
      <c r="X196" s="165"/>
      <c r="Y196" s="165"/>
      <c r="Z196" s="165"/>
      <c r="AA196" s="165"/>
      <c r="AB196" s="165"/>
      <c r="AC196" s="165"/>
      <c r="AD196" s="165"/>
      <c r="AE196" s="165"/>
      <c r="AF196" s="165"/>
      <c r="AG196" s="165"/>
      <c r="AH196" s="165"/>
      <c r="AI196" s="165"/>
    </row>
    <row r="197" spans="1:35" ht="15.75" thickBot="1">
      <c r="A197" s="97"/>
      <c r="B197" s="372"/>
      <c r="C197" s="372"/>
      <c r="D197" s="372"/>
      <c r="E197" s="97"/>
      <c r="F197" s="112"/>
      <c r="G197" s="152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  <c r="AH197" s="153"/>
      <c r="AI197" s="153"/>
    </row>
    <row r="198" spans="1:35" ht="15.75" thickTop="1">
      <c r="A198" s="97"/>
      <c r="B198" s="372"/>
      <c r="C198" s="372"/>
      <c r="D198" s="372"/>
      <c r="E198" s="97"/>
      <c r="F198" s="141"/>
      <c r="G198" s="154"/>
      <c r="H198" s="154"/>
      <c r="I198" s="154"/>
      <c r="J198" s="154"/>
      <c r="K198" s="154"/>
      <c r="L198" s="154"/>
      <c r="M198" s="154"/>
      <c r="N198" s="154"/>
      <c r="O198" s="154"/>
      <c r="P198" s="154"/>
      <c r="Q198" s="154"/>
      <c r="R198" s="154"/>
      <c r="S198" s="154"/>
      <c r="T198" s="154"/>
      <c r="U198" s="154"/>
      <c r="V198" s="154"/>
      <c r="W198" s="154"/>
      <c r="X198" s="154"/>
      <c r="Y198" s="154"/>
      <c r="Z198" s="154"/>
      <c r="AA198" s="154"/>
      <c r="AB198" s="154"/>
      <c r="AC198" s="154"/>
      <c r="AD198" s="154"/>
      <c r="AE198" s="154"/>
      <c r="AF198" s="154"/>
      <c r="AG198" s="154"/>
      <c r="AH198" s="154"/>
      <c r="AI198" s="154"/>
    </row>
    <row r="199" spans="1:35" ht="15.75" thickBot="1">
      <c r="A199" s="97"/>
      <c r="B199" s="372"/>
      <c r="C199" s="372"/>
      <c r="D199" s="372"/>
      <c r="E199" s="97"/>
      <c r="F199" s="155"/>
      <c r="G199" s="156"/>
      <c r="H199" s="156"/>
      <c r="I199" s="156"/>
      <c r="J199" s="156"/>
      <c r="K199" s="156"/>
      <c r="L199" s="157"/>
      <c r="M199" s="156"/>
      <c r="N199" s="156"/>
      <c r="O199" s="156"/>
      <c r="P199" s="156"/>
      <c r="Q199" s="156"/>
      <c r="R199" s="156"/>
      <c r="S199" s="156"/>
      <c r="T199" s="156"/>
      <c r="U199" s="156"/>
      <c r="V199" s="156"/>
      <c r="W199" s="156"/>
      <c r="X199" s="156"/>
      <c r="Y199" s="156"/>
      <c r="Z199" s="156"/>
      <c r="AA199" s="156"/>
      <c r="AB199" s="156"/>
      <c r="AC199" s="156"/>
      <c r="AD199" s="156"/>
      <c r="AE199" s="156"/>
      <c r="AF199" s="156"/>
      <c r="AG199" s="156"/>
      <c r="AH199" s="156"/>
      <c r="AI199" s="156"/>
    </row>
    <row r="200" spans="1:35">
      <c r="A200" s="97"/>
      <c r="B200" s="372"/>
      <c r="C200" s="372"/>
      <c r="D200" s="372"/>
      <c r="E200" s="97"/>
      <c r="F200" s="158"/>
      <c r="G200" s="159"/>
      <c r="H200" s="159"/>
      <c r="I200" s="159"/>
      <c r="J200" s="159"/>
      <c r="K200" s="159"/>
      <c r="L200" s="160"/>
      <c r="M200" s="160"/>
      <c r="N200" s="159"/>
      <c r="O200" s="159"/>
      <c r="P200" s="159"/>
      <c r="Q200" s="159"/>
      <c r="R200" s="159"/>
      <c r="S200" s="159"/>
      <c r="T200" s="159"/>
      <c r="U200" s="159"/>
      <c r="V200" s="159"/>
      <c r="W200" s="159"/>
      <c r="X200" s="159"/>
      <c r="Y200" s="159"/>
      <c r="Z200" s="159"/>
      <c r="AA200" s="159"/>
      <c r="AB200" s="159"/>
      <c r="AC200" s="159"/>
      <c r="AD200" s="159"/>
      <c r="AE200" s="159"/>
      <c r="AF200" s="159"/>
      <c r="AG200" s="159"/>
      <c r="AH200" s="159"/>
      <c r="AI200" s="159"/>
    </row>
    <row r="201" spans="1:35">
      <c r="A201" s="97"/>
      <c r="B201" s="372"/>
      <c r="C201" s="372"/>
      <c r="D201" s="372"/>
      <c r="E201" s="97"/>
      <c r="F201" s="161"/>
      <c r="G201" s="162"/>
      <c r="H201" s="162"/>
      <c r="I201" s="162"/>
      <c r="J201" s="162"/>
      <c r="K201" s="162"/>
      <c r="L201" s="162"/>
      <c r="M201" s="162"/>
      <c r="N201" s="162"/>
      <c r="O201" s="162"/>
      <c r="P201" s="162"/>
      <c r="Q201" s="162"/>
      <c r="R201" s="162"/>
      <c r="S201" s="162"/>
      <c r="T201" s="162"/>
      <c r="U201" s="162"/>
      <c r="V201" s="162"/>
      <c r="W201" s="162"/>
      <c r="X201" s="162"/>
      <c r="Y201" s="162"/>
      <c r="Z201" s="162"/>
      <c r="AA201" s="162"/>
      <c r="AB201" s="162"/>
      <c r="AC201" s="162"/>
      <c r="AD201" s="162"/>
      <c r="AE201" s="162"/>
      <c r="AF201" s="162"/>
      <c r="AG201" s="162"/>
      <c r="AH201" s="162"/>
      <c r="AI201" s="162"/>
    </row>
    <row r="202" spans="1:35">
      <c r="A202" s="97"/>
      <c r="B202" s="372"/>
      <c r="C202" s="372"/>
      <c r="D202" s="372"/>
      <c r="E202" s="97"/>
      <c r="F202" s="161"/>
      <c r="G202" s="132"/>
      <c r="H202" s="132"/>
      <c r="I202" s="132"/>
      <c r="J202" s="132"/>
      <c r="K202" s="132"/>
      <c r="L202" s="133"/>
      <c r="M202" s="133"/>
      <c r="N202" s="132"/>
      <c r="O202" s="132"/>
      <c r="P202" s="132"/>
      <c r="Q202" s="132"/>
      <c r="R202" s="132"/>
      <c r="S202" s="132"/>
      <c r="T202" s="132"/>
      <c r="U202" s="132"/>
      <c r="V202" s="132"/>
      <c r="W202" s="132"/>
      <c r="X202" s="132"/>
      <c r="Y202" s="132"/>
      <c r="Z202" s="132"/>
      <c r="AA202" s="132"/>
      <c r="AB202" s="132"/>
      <c r="AC202" s="132"/>
      <c r="AD202" s="132"/>
      <c r="AE202" s="132"/>
      <c r="AF202" s="132"/>
      <c r="AG202" s="132"/>
      <c r="AH202" s="132"/>
      <c r="AI202" s="132"/>
    </row>
    <row r="203" spans="1:35">
      <c r="A203" s="97"/>
      <c r="B203" s="372"/>
      <c r="C203" s="372"/>
      <c r="D203" s="372"/>
      <c r="E203" s="97"/>
      <c r="F203" s="161"/>
      <c r="G203" s="132"/>
      <c r="H203" s="132"/>
      <c r="I203" s="132"/>
      <c r="J203" s="132"/>
      <c r="K203" s="132"/>
      <c r="L203" s="133"/>
      <c r="M203" s="133"/>
      <c r="N203" s="132"/>
      <c r="O203" s="132"/>
      <c r="P203" s="132"/>
      <c r="Q203" s="132"/>
      <c r="R203" s="132"/>
      <c r="S203" s="132"/>
      <c r="T203" s="132"/>
      <c r="U203" s="132"/>
      <c r="V203" s="132"/>
      <c r="W203" s="132"/>
      <c r="X203" s="132"/>
      <c r="Y203" s="132"/>
      <c r="Z203" s="132"/>
      <c r="AA203" s="132"/>
      <c r="AB203" s="132"/>
      <c r="AC203" s="132"/>
      <c r="AD203" s="132"/>
      <c r="AE203" s="132"/>
      <c r="AF203" s="132"/>
      <c r="AG203" s="132"/>
      <c r="AH203" s="132"/>
      <c r="AI203" s="132"/>
    </row>
    <row r="204" spans="1:35">
      <c r="A204" s="97"/>
      <c r="B204" s="372"/>
      <c r="C204" s="372"/>
      <c r="D204" s="372"/>
      <c r="E204" s="97"/>
      <c r="F204" s="161"/>
      <c r="G204" s="132"/>
      <c r="H204" s="132"/>
      <c r="I204" s="132"/>
      <c r="J204" s="132"/>
      <c r="K204" s="132"/>
      <c r="L204" s="133"/>
      <c r="M204" s="133"/>
      <c r="N204" s="132"/>
      <c r="O204" s="132"/>
      <c r="P204" s="132"/>
      <c r="Q204" s="132"/>
      <c r="R204" s="132"/>
      <c r="S204" s="132"/>
      <c r="T204" s="132"/>
      <c r="U204" s="132"/>
      <c r="V204" s="132"/>
      <c r="W204" s="132"/>
      <c r="X204" s="132"/>
      <c r="Y204" s="132"/>
      <c r="Z204" s="132"/>
      <c r="AA204" s="132"/>
      <c r="AB204" s="132"/>
      <c r="AC204" s="132"/>
      <c r="AD204" s="132"/>
      <c r="AE204" s="132"/>
      <c r="AF204" s="132"/>
      <c r="AG204" s="132"/>
      <c r="AH204" s="132"/>
      <c r="AI204" s="132"/>
    </row>
    <row r="205" spans="1:35" ht="15.75" thickBot="1">
      <c r="A205" s="97"/>
      <c r="B205" s="372"/>
      <c r="C205" s="372"/>
      <c r="D205" s="372"/>
      <c r="E205" s="97"/>
      <c r="F205" s="163"/>
      <c r="G205" s="129"/>
      <c r="H205" s="129"/>
      <c r="I205" s="129"/>
      <c r="J205" s="129"/>
      <c r="K205" s="129"/>
      <c r="L205" s="164"/>
      <c r="M205" s="129"/>
      <c r="N205" s="129"/>
      <c r="O205" s="129"/>
      <c r="P205" s="129"/>
      <c r="Q205" s="129"/>
      <c r="R205" s="129"/>
      <c r="S205" s="129"/>
      <c r="T205" s="129"/>
      <c r="U205" s="129"/>
      <c r="V205" s="129"/>
      <c r="W205" s="129"/>
      <c r="X205" s="129"/>
      <c r="Y205" s="129"/>
      <c r="Z205" s="129"/>
      <c r="AA205" s="129"/>
      <c r="AB205" s="129"/>
      <c r="AC205" s="129"/>
      <c r="AD205" s="129"/>
      <c r="AE205" s="129"/>
      <c r="AF205" s="129"/>
      <c r="AG205" s="129"/>
      <c r="AH205" s="129"/>
      <c r="AI205" s="129"/>
    </row>
    <row r="206" spans="1:35" ht="15.75" thickTop="1">
      <c r="A206" s="100"/>
      <c r="B206" s="100"/>
      <c r="C206" s="100"/>
      <c r="D206" s="100"/>
      <c r="E206" s="100"/>
      <c r="F206" s="100"/>
      <c r="G206" s="100"/>
      <c r="H206" s="100"/>
      <c r="I206" s="100"/>
      <c r="J206" s="100"/>
      <c r="K206" s="100"/>
      <c r="L206" s="100"/>
      <c r="M206" s="166"/>
      <c r="N206" s="166"/>
      <c r="O206" s="166"/>
      <c r="P206" s="166"/>
      <c r="Q206" s="100"/>
      <c r="R206" s="166"/>
      <c r="S206" s="166"/>
      <c r="T206" s="100"/>
      <c r="U206" s="166"/>
      <c r="V206" s="102"/>
      <c r="W206" s="102"/>
      <c r="X206" s="102"/>
      <c r="Y206" s="102"/>
      <c r="Z206" s="102"/>
      <c r="AA206" s="102"/>
      <c r="AB206" s="102"/>
      <c r="AC206" s="102"/>
      <c r="AD206" s="102"/>
      <c r="AE206" s="102"/>
      <c r="AF206" s="102"/>
      <c r="AG206" s="102"/>
      <c r="AH206" s="102"/>
      <c r="AI206" s="102"/>
    </row>
    <row r="207" spans="1:35">
      <c r="A207" s="97"/>
      <c r="B207" s="97"/>
      <c r="C207" s="97"/>
      <c r="D207" s="97"/>
      <c r="E207" s="97"/>
      <c r="F207" s="100"/>
      <c r="G207" s="97"/>
      <c r="H207" s="97"/>
      <c r="I207" s="97"/>
      <c r="J207" s="97"/>
      <c r="K207" s="97"/>
      <c r="L207" s="97"/>
      <c r="M207" s="167"/>
      <c r="N207" s="167"/>
      <c r="O207" s="167"/>
      <c r="P207" s="167"/>
      <c r="Q207" s="97"/>
      <c r="R207" s="167"/>
      <c r="S207" s="167"/>
      <c r="T207" s="97"/>
      <c r="U207" s="167"/>
      <c r="V207" s="98"/>
      <c r="W207" s="98"/>
      <c r="X207" s="98"/>
      <c r="Y207" s="98"/>
      <c r="Z207" s="98"/>
      <c r="AA207" s="98"/>
      <c r="AB207" s="98"/>
      <c r="AC207" s="98"/>
      <c r="AD207" s="98"/>
      <c r="AE207" s="98"/>
      <c r="AF207" s="98"/>
      <c r="AG207" s="98"/>
      <c r="AH207" s="98"/>
      <c r="AI207" s="98"/>
    </row>
    <row r="208" spans="1:35">
      <c r="A208" s="97"/>
      <c r="B208" s="116"/>
      <c r="C208" s="97"/>
      <c r="D208" s="117"/>
      <c r="E208" s="118"/>
      <c r="F208" s="119"/>
      <c r="G208" s="120"/>
      <c r="H208" s="97"/>
      <c r="I208" s="97"/>
      <c r="J208" s="97"/>
      <c r="K208" s="97"/>
      <c r="L208" s="97"/>
      <c r="M208" s="97"/>
      <c r="N208" s="97"/>
      <c r="O208" s="97"/>
      <c r="P208" s="97"/>
      <c r="Q208" s="97"/>
      <c r="R208" s="97"/>
      <c r="S208" s="97"/>
      <c r="T208" s="97"/>
      <c r="U208" s="97"/>
      <c r="V208" s="98"/>
      <c r="W208" s="98"/>
      <c r="X208" s="98"/>
      <c r="Y208" s="98"/>
      <c r="Z208" s="98"/>
      <c r="AA208" s="98"/>
      <c r="AB208" s="98"/>
      <c r="AC208" s="98"/>
      <c r="AD208" s="98"/>
      <c r="AE208" s="98"/>
      <c r="AF208" s="98"/>
      <c r="AG208" s="98"/>
      <c r="AH208" s="98"/>
      <c r="AI208" s="98"/>
    </row>
    <row r="209" spans="1:39">
      <c r="A209" s="97"/>
      <c r="B209" s="168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  <c r="T209" s="113"/>
      <c r="U209" s="113"/>
      <c r="V209" s="113"/>
      <c r="W209" s="113"/>
      <c r="X209" s="113"/>
      <c r="Y209" s="113"/>
      <c r="Z209" s="113"/>
      <c r="AA209" s="113"/>
      <c r="AB209" s="113"/>
      <c r="AC209" s="113"/>
      <c r="AD209" s="113"/>
      <c r="AE209" s="113"/>
      <c r="AF209" s="113"/>
      <c r="AG209" s="113"/>
      <c r="AH209" s="113"/>
      <c r="AI209" s="113"/>
      <c r="AJ209"/>
      <c r="AK209"/>
      <c r="AL209"/>
      <c r="AM209"/>
    </row>
    <row r="210" spans="1:39" ht="15.75" thickBot="1">
      <c r="A210" s="97"/>
      <c r="B210" s="121"/>
      <c r="C210" s="122"/>
      <c r="D210" s="122"/>
      <c r="E210" s="122"/>
      <c r="F210" s="123"/>
      <c r="G210" s="123"/>
      <c r="H210" s="123"/>
      <c r="I210" s="123"/>
      <c r="J210" s="123"/>
      <c r="K210" s="123"/>
      <c r="L210" s="123"/>
      <c r="M210" s="123"/>
      <c r="N210" s="123"/>
      <c r="O210" s="123"/>
      <c r="P210" s="123"/>
      <c r="Q210" s="123"/>
      <c r="R210" s="123"/>
      <c r="S210" s="123"/>
      <c r="T210" s="123"/>
      <c r="U210" s="123"/>
      <c r="V210" s="123"/>
      <c r="W210" s="123"/>
      <c r="X210" s="123"/>
      <c r="Y210" s="123"/>
      <c r="Z210" s="123"/>
      <c r="AA210" s="123"/>
      <c r="AB210" s="123"/>
      <c r="AC210" s="123"/>
      <c r="AD210" s="123"/>
      <c r="AE210" s="123"/>
      <c r="AF210" s="123"/>
      <c r="AG210" s="123"/>
      <c r="AH210" s="123"/>
      <c r="AI210" s="123"/>
    </row>
    <row r="211" spans="1:39">
      <c r="A211" s="97"/>
      <c r="B211" s="124"/>
      <c r="C211" s="125"/>
      <c r="D211" s="125"/>
      <c r="E211" s="125"/>
      <c r="F211" s="125"/>
      <c r="G211" s="125"/>
      <c r="H211" s="125"/>
      <c r="I211" s="125"/>
      <c r="J211" s="125"/>
      <c r="K211" s="126"/>
      <c r="L211" s="127"/>
      <c r="M211" s="127"/>
      <c r="N211" s="126"/>
      <c r="O211" s="126"/>
      <c r="P211" s="126"/>
      <c r="Q211" s="126"/>
      <c r="R211" s="126"/>
      <c r="S211" s="126"/>
      <c r="T211" s="126"/>
      <c r="U211" s="126"/>
      <c r="V211" s="126"/>
      <c r="W211" s="126"/>
      <c r="X211" s="126"/>
      <c r="Y211" s="126"/>
      <c r="Z211" s="126"/>
      <c r="AA211" s="126"/>
      <c r="AB211" s="126"/>
      <c r="AC211" s="126"/>
      <c r="AD211" s="126"/>
      <c r="AE211" s="126"/>
      <c r="AF211" s="126"/>
      <c r="AG211" s="126"/>
      <c r="AH211" s="126"/>
      <c r="AI211" s="126"/>
    </row>
    <row r="212" spans="1:39" ht="15.75" thickBot="1">
      <c r="A212" s="97"/>
      <c r="B212" s="128"/>
      <c r="C212" s="129"/>
      <c r="D212" s="129"/>
      <c r="E212" s="129"/>
      <c r="F212" s="129"/>
      <c r="G212" s="129"/>
      <c r="H212" s="129"/>
      <c r="I212" s="129"/>
      <c r="J212" s="129"/>
      <c r="K212" s="130"/>
      <c r="L212" s="130"/>
      <c r="M212" s="130"/>
      <c r="N212" s="130"/>
      <c r="O212" s="130"/>
      <c r="P212" s="130"/>
      <c r="Q212" s="130"/>
      <c r="R212" s="130"/>
      <c r="S212" s="130"/>
      <c r="T212" s="130"/>
      <c r="U212" s="130"/>
      <c r="V212" s="130"/>
      <c r="W212" s="130"/>
      <c r="X212" s="130"/>
      <c r="Y212" s="130"/>
      <c r="Z212" s="130"/>
      <c r="AA212" s="130"/>
      <c r="AB212" s="130"/>
      <c r="AC212" s="130"/>
      <c r="AD212" s="130"/>
      <c r="AE212" s="130"/>
      <c r="AF212" s="130"/>
      <c r="AG212" s="130"/>
      <c r="AH212" s="130"/>
      <c r="AI212" s="130"/>
    </row>
    <row r="213" spans="1:39" ht="15.75" thickTop="1">
      <c r="A213" s="97"/>
      <c r="B213" s="131"/>
      <c r="C213" s="132"/>
      <c r="D213" s="132"/>
      <c r="E213" s="132"/>
      <c r="F213" s="132"/>
      <c r="G213" s="132"/>
      <c r="H213" s="132"/>
      <c r="I213" s="132"/>
      <c r="J213" s="132"/>
      <c r="K213" s="132"/>
      <c r="L213" s="133"/>
      <c r="M213" s="133"/>
      <c r="N213" s="132"/>
      <c r="O213" s="132"/>
      <c r="P213" s="132"/>
      <c r="Q213" s="132"/>
      <c r="R213" s="132"/>
      <c r="S213" s="132"/>
      <c r="T213" s="132"/>
      <c r="U213" s="132"/>
      <c r="V213" s="132"/>
      <c r="W213" s="132"/>
      <c r="X213" s="132"/>
      <c r="Y213" s="132"/>
      <c r="Z213" s="132"/>
      <c r="AA213" s="132"/>
      <c r="AB213" s="132"/>
      <c r="AC213" s="132"/>
      <c r="AD213" s="132"/>
      <c r="AE213" s="132"/>
      <c r="AF213" s="132"/>
      <c r="AG213" s="132"/>
      <c r="AH213" s="132"/>
      <c r="AI213" s="132"/>
    </row>
    <row r="214" spans="1:39" ht="15.75" thickBot="1">
      <c r="A214" s="97"/>
      <c r="B214" s="128"/>
      <c r="C214" s="134"/>
      <c r="D214" s="134"/>
      <c r="E214" s="134"/>
      <c r="F214" s="134"/>
      <c r="G214" s="130"/>
      <c r="H214" s="130"/>
      <c r="I214" s="130"/>
      <c r="J214" s="130"/>
      <c r="K214" s="130"/>
      <c r="L214" s="130"/>
      <c r="M214" s="130"/>
      <c r="N214" s="130"/>
      <c r="O214" s="130"/>
      <c r="P214" s="130"/>
      <c r="Q214" s="130"/>
      <c r="R214" s="130"/>
      <c r="S214" s="130"/>
      <c r="T214" s="130"/>
      <c r="U214" s="130"/>
      <c r="V214" s="130"/>
      <c r="W214" s="130"/>
      <c r="X214" s="130"/>
      <c r="Y214" s="130"/>
      <c r="Z214" s="130"/>
      <c r="AA214" s="130"/>
      <c r="AB214" s="130"/>
      <c r="AC214" s="130"/>
      <c r="AD214" s="130"/>
      <c r="AE214" s="130"/>
      <c r="AF214" s="130"/>
      <c r="AG214" s="130"/>
      <c r="AH214" s="130"/>
      <c r="AI214" s="130"/>
    </row>
    <row r="215" spans="1:39" ht="15.75" thickTop="1">
      <c r="A215" s="97"/>
      <c r="B215" s="135"/>
      <c r="C215" s="136"/>
      <c r="D215" s="136"/>
      <c r="E215" s="136"/>
      <c r="F215" s="136"/>
      <c r="G215" s="136"/>
      <c r="H215" s="136"/>
      <c r="I215" s="136"/>
      <c r="J215" s="136"/>
      <c r="K215" s="136"/>
      <c r="L215" s="137"/>
      <c r="M215" s="137"/>
      <c r="N215" s="136"/>
      <c r="O215" s="136"/>
      <c r="P215" s="136"/>
      <c r="Q215" s="136"/>
      <c r="R215" s="136"/>
      <c r="S215" s="136"/>
      <c r="T215" s="136"/>
      <c r="U215" s="136"/>
      <c r="V215" s="136"/>
      <c r="W215" s="136"/>
      <c r="X215" s="136"/>
      <c r="Y215" s="136"/>
      <c r="Z215" s="136"/>
      <c r="AA215" s="136"/>
      <c r="AB215" s="136"/>
      <c r="AC215" s="136"/>
      <c r="AD215" s="136"/>
      <c r="AE215" s="136"/>
      <c r="AF215" s="136"/>
      <c r="AG215" s="136"/>
      <c r="AH215" s="136"/>
      <c r="AI215" s="136"/>
    </row>
    <row r="216" spans="1:39" ht="15.75" thickBot="1">
      <c r="A216" s="97"/>
      <c r="B216" s="128"/>
      <c r="C216" s="130"/>
      <c r="D216" s="130"/>
      <c r="E216" s="130"/>
      <c r="F216" s="130"/>
      <c r="G216" s="130"/>
      <c r="H216" s="130"/>
      <c r="I216" s="130"/>
      <c r="J216" s="130"/>
      <c r="K216" s="130"/>
      <c r="L216" s="130"/>
      <c r="M216" s="130"/>
      <c r="N216" s="130"/>
      <c r="O216" s="130"/>
      <c r="P216" s="130"/>
      <c r="Q216" s="130"/>
      <c r="R216" s="130"/>
      <c r="S216" s="130"/>
      <c r="T216" s="130"/>
      <c r="U216" s="130"/>
      <c r="V216" s="130"/>
      <c r="W216" s="130"/>
      <c r="X216" s="130"/>
      <c r="Y216" s="130"/>
      <c r="Z216" s="130"/>
      <c r="AA216" s="130"/>
      <c r="AB216" s="130"/>
      <c r="AC216" s="130"/>
      <c r="AD216" s="130"/>
      <c r="AE216" s="130"/>
      <c r="AF216" s="130"/>
      <c r="AG216" s="130"/>
      <c r="AH216" s="130"/>
      <c r="AI216" s="130"/>
    </row>
    <row r="217" spans="1:39" ht="15.75" thickTop="1">
      <c r="A217" s="97"/>
      <c r="B217" s="97"/>
      <c r="C217" s="97"/>
      <c r="D217" s="97"/>
      <c r="E217" s="97"/>
      <c r="F217" s="97"/>
      <c r="G217" s="97"/>
      <c r="H217" s="97"/>
      <c r="I217" s="97"/>
      <c r="J217" s="97"/>
      <c r="K217" s="97"/>
      <c r="L217" s="97"/>
      <c r="M217" s="97"/>
      <c r="N217" s="97"/>
      <c r="O217" s="97"/>
      <c r="P217" s="97"/>
      <c r="Q217" s="97"/>
      <c r="R217" s="97"/>
      <c r="S217" s="97"/>
      <c r="T217" s="97"/>
      <c r="U217" s="97"/>
      <c r="V217" s="97"/>
      <c r="W217" s="97"/>
      <c r="X217" s="97"/>
      <c r="Y217" s="97"/>
      <c r="Z217" s="97"/>
      <c r="AA217" s="97"/>
      <c r="AB217" s="97"/>
      <c r="AC217" s="97"/>
      <c r="AD217" s="97"/>
      <c r="AE217" s="97"/>
      <c r="AF217" s="97"/>
      <c r="AG217" s="97"/>
      <c r="AH217" s="97"/>
      <c r="AI217" s="97"/>
    </row>
    <row r="218" spans="1:39" ht="15.75" thickBot="1">
      <c r="A218" s="97"/>
      <c r="B218" s="138"/>
      <c r="C218" s="139"/>
      <c r="D218" s="139"/>
      <c r="E218" s="139"/>
      <c r="F218" s="139"/>
      <c r="G218" s="139"/>
      <c r="H218" s="139"/>
      <c r="I218" s="139"/>
      <c r="J218" s="139"/>
      <c r="K218" s="139"/>
      <c r="L218" s="140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</row>
    <row r="219" spans="1:39">
      <c r="A219" s="97"/>
      <c r="B219" s="141"/>
      <c r="C219" s="141"/>
      <c r="D219" s="142"/>
      <c r="E219" s="97"/>
      <c r="F219" s="119"/>
      <c r="G219" s="143"/>
      <c r="H219" s="144"/>
      <c r="I219" s="144"/>
      <c r="J219" s="144"/>
      <c r="K219" s="144"/>
      <c r="L219" s="144"/>
      <c r="M219" s="144"/>
      <c r="N219" s="144"/>
      <c r="O219" s="144"/>
      <c r="P219" s="144"/>
      <c r="Q219" s="144"/>
      <c r="R219" s="144"/>
      <c r="S219" s="144"/>
      <c r="T219" s="144"/>
      <c r="U219" s="144"/>
      <c r="V219" s="144"/>
      <c r="W219" s="144"/>
      <c r="X219" s="144"/>
      <c r="Y219" s="144"/>
      <c r="Z219" s="144"/>
      <c r="AA219" s="144"/>
      <c r="AB219" s="144"/>
      <c r="AC219" s="144"/>
      <c r="AD219" s="144"/>
      <c r="AE219" s="144"/>
      <c r="AF219" s="144"/>
      <c r="AG219" s="144"/>
      <c r="AH219" s="144"/>
      <c r="AI219" s="144"/>
    </row>
    <row r="220" spans="1:39" ht="15.75" thickBot="1">
      <c r="A220" s="97"/>
      <c r="B220" s="141"/>
      <c r="C220" s="119"/>
      <c r="D220" s="145"/>
      <c r="E220" s="97"/>
      <c r="F220" s="146"/>
      <c r="G220" s="141"/>
      <c r="H220" s="147"/>
      <c r="I220" s="147"/>
      <c r="J220" s="147"/>
      <c r="K220" s="147"/>
      <c r="L220" s="148"/>
      <c r="M220" s="147"/>
      <c r="N220" s="147"/>
      <c r="O220" s="147"/>
      <c r="P220" s="147"/>
      <c r="Q220" s="147"/>
      <c r="R220" s="147"/>
      <c r="S220" s="147"/>
      <c r="T220" s="147"/>
      <c r="U220" s="147"/>
      <c r="V220" s="147"/>
      <c r="W220" s="147"/>
      <c r="X220" s="147"/>
      <c r="Y220" s="147"/>
      <c r="Z220" s="147"/>
      <c r="AA220" s="147"/>
      <c r="AB220" s="147"/>
      <c r="AC220" s="147"/>
      <c r="AD220" s="147"/>
      <c r="AE220" s="147"/>
      <c r="AF220" s="147"/>
      <c r="AG220" s="147"/>
      <c r="AH220" s="147"/>
      <c r="AI220" s="147"/>
    </row>
    <row r="221" spans="1:39" ht="15.75" thickTop="1">
      <c r="A221" s="97"/>
      <c r="B221" s="97"/>
      <c r="C221" s="97"/>
      <c r="D221" s="97"/>
      <c r="E221" s="97"/>
      <c r="F221" s="149"/>
      <c r="G221" s="150"/>
      <c r="H221" s="150"/>
      <c r="I221" s="150"/>
      <c r="J221" s="150"/>
      <c r="K221" s="150"/>
      <c r="L221" s="150"/>
      <c r="M221" s="150"/>
      <c r="N221" s="150"/>
      <c r="O221" s="150"/>
      <c r="P221" s="150"/>
      <c r="Q221" s="150"/>
      <c r="R221" s="150"/>
      <c r="S221" s="150"/>
      <c r="T221" s="150"/>
      <c r="U221" s="150"/>
      <c r="V221" s="150"/>
      <c r="W221" s="150"/>
      <c r="X221" s="150"/>
      <c r="Y221" s="150"/>
      <c r="Z221" s="150"/>
      <c r="AA221" s="150"/>
      <c r="AB221" s="150"/>
      <c r="AC221" s="150"/>
      <c r="AD221" s="150"/>
      <c r="AE221" s="150"/>
      <c r="AF221" s="150"/>
      <c r="AG221" s="150"/>
      <c r="AH221" s="150"/>
      <c r="AI221" s="150"/>
    </row>
    <row r="222" spans="1:39">
      <c r="A222" s="97"/>
      <c r="B222" s="372"/>
      <c r="C222" s="372"/>
      <c r="D222" s="372"/>
      <c r="E222" s="97"/>
      <c r="F222" s="112"/>
      <c r="G222" s="151"/>
      <c r="H222" s="151"/>
      <c r="I222" s="151"/>
      <c r="J222" s="151"/>
      <c r="K222" s="151"/>
      <c r="L222" s="151"/>
      <c r="M222" s="151"/>
      <c r="N222" s="151"/>
      <c r="O222" s="151"/>
      <c r="P222" s="151"/>
      <c r="Q222" s="151"/>
      <c r="R222" s="151"/>
      <c r="S222" s="165"/>
      <c r="T222" s="165"/>
      <c r="U222" s="165"/>
      <c r="V222" s="165"/>
      <c r="W222" s="165"/>
      <c r="X222" s="165"/>
      <c r="Y222" s="165"/>
      <c r="Z222" s="165"/>
      <c r="AA222" s="165"/>
      <c r="AB222" s="165"/>
      <c r="AC222" s="165"/>
      <c r="AD222" s="165"/>
      <c r="AE222" s="165"/>
      <c r="AF222" s="165"/>
      <c r="AG222" s="165"/>
      <c r="AH222" s="165"/>
      <c r="AI222" s="165"/>
    </row>
    <row r="223" spans="1:39" ht="15.75" thickBot="1">
      <c r="A223" s="97"/>
      <c r="B223" s="372"/>
      <c r="C223" s="372"/>
      <c r="D223" s="372"/>
      <c r="E223" s="97"/>
      <c r="F223" s="112"/>
      <c r="G223" s="152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  <c r="AH223" s="153"/>
      <c r="AI223" s="153"/>
    </row>
    <row r="224" spans="1:39" ht="15.75" thickTop="1">
      <c r="A224" s="97"/>
      <c r="B224" s="372"/>
      <c r="C224" s="372"/>
      <c r="D224" s="372"/>
      <c r="E224" s="97"/>
      <c r="F224" s="141"/>
      <c r="G224" s="154"/>
      <c r="H224" s="154"/>
      <c r="I224" s="154"/>
      <c r="J224" s="154"/>
      <c r="K224" s="154"/>
      <c r="L224" s="154"/>
      <c r="M224" s="154"/>
      <c r="N224" s="154"/>
      <c r="O224" s="154"/>
      <c r="P224" s="154"/>
      <c r="Q224" s="154"/>
      <c r="R224" s="154"/>
      <c r="S224" s="154"/>
      <c r="T224" s="154"/>
      <c r="U224" s="154"/>
      <c r="V224" s="154"/>
      <c r="W224" s="154"/>
      <c r="X224" s="154"/>
      <c r="Y224" s="154"/>
      <c r="Z224" s="154"/>
      <c r="AA224" s="154"/>
      <c r="AB224" s="154"/>
      <c r="AC224" s="154"/>
      <c r="AD224" s="154"/>
      <c r="AE224" s="154"/>
      <c r="AF224" s="154"/>
      <c r="AG224" s="154"/>
      <c r="AH224" s="154"/>
      <c r="AI224" s="154"/>
    </row>
    <row r="225" spans="1:39" ht="15.75" thickBot="1">
      <c r="A225" s="97"/>
      <c r="B225" s="372"/>
      <c r="C225" s="372"/>
      <c r="D225" s="372"/>
      <c r="E225" s="97"/>
      <c r="F225" s="155"/>
      <c r="G225" s="156"/>
      <c r="H225" s="156"/>
      <c r="I225" s="156"/>
      <c r="J225" s="156"/>
      <c r="K225" s="156"/>
      <c r="L225" s="157"/>
      <c r="M225" s="156"/>
      <c r="N225" s="156"/>
      <c r="O225" s="156"/>
      <c r="P225" s="156"/>
      <c r="Q225" s="156"/>
      <c r="R225" s="156"/>
      <c r="S225" s="156"/>
      <c r="T225" s="156"/>
      <c r="U225" s="156"/>
      <c r="V225" s="156"/>
      <c r="W225" s="156"/>
      <c r="X225" s="156"/>
      <c r="Y225" s="156"/>
      <c r="Z225" s="156"/>
      <c r="AA225" s="156"/>
      <c r="AB225" s="156"/>
      <c r="AC225" s="156"/>
      <c r="AD225" s="156"/>
      <c r="AE225" s="156"/>
      <c r="AF225" s="156"/>
      <c r="AG225" s="156"/>
      <c r="AH225" s="156"/>
      <c r="AI225" s="156"/>
    </row>
    <row r="226" spans="1:39">
      <c r="A226" s="97"/>
      <c r="B226" s="372"/>
      <c r="C226" s="372"/>
      <c r="D226" s="372"/>
      <c r="E226" s="97"/>
      <c r="F226" s="158"/>
      <c r="G226" s="159"/>
      <c r="H226" s="159"/>
      <c r="I226" s="159"/>
      <c r="J226" s="159"/>
      <c r="K226" s="159"/>
      <c r="L226" s="160"/>
      <c r="M226" s="160"/>
      <c r="N226" s="159"/>
      <c r="O226" s="159"/>
      <c r="P226" s="159"/>
      <c r="Q226" s="159"/>
      <c r="R226" s="159"/>
      <c r="S226" s="159"/>
      <c r="T226" s="159"/>
      <c r="U226" s="159"/>
      <c r="V226" s="159"/>
      <c r="W226" s="159"/>
      <c r="X226" s="159"/>
      <c r="Y226" s="159"/>
      <c r="Z226" s="159"/>
      <c r="AA226" s="159"/>
      <c r="AB226" s="159"/>
      <c r="AC226" s="159"/>
      <c r="AD226" s="159"/>
      <c r="AE226" s="159"/>
      <c r="AF226" s="159"/>
      <c r="AG226" s="159"/>
      <c r="AH226" s="159"/>
      <c r="AI226" s="159"/>
    </row>
    <row r="227" spans="1:39">
      <c r="A227" s="97"/>
      <c r="B227" s="372"/>
      <c r="C227" s="372"/>
      <c r="D227" s="372"/>
      <c r="E227" s="97"/>
      <c r="F227" s="161"/>
      <c r="G227" s="162"/>
      <c r="H227" s="162"/>
      <c r="I227" s="162"/>
      <c r="J227" s="162"/>
      <c r="K227" s="162"/>
      <c r="L227" s="162"/>
      <c r="M227" s="162"/>
      <c r="N227" s="162"/>
      <c r="O227" s="162"/>
      <c r="P227" s="162"/>
      <c r="Q227" s="162"/>
      <c r="R227" s="162"/>
      <c r="S227" s="162"/>
      <c r="T227" s="162"/>
      <c r="U227" s="162"/>
      <c r="V227" s="162"/>
      <c r="W227" s="162"/>
      <c r="X227" s="162"/>
      <c r="Y227" s="162"/>
      <c r="Z227" s="162"/>
      <c r="AA227" s="162"/>
      <c r="AB227" s="162"/>
      <c r="AC227" s="162"/>
      <c r="AD227" s="162"/>
      <c r="AE227" s="162"/>
      <c r="AF227" s="162"/>
      <c r="AG227" s="162"/>
      <c r="AH227" s="162"/>
      <c r="AI227" s="162"/>
    </row>
    <row r="228" spans="1:39">
      <c r="A228" s="97"/>
      <c r="B228" s="372"/>
      <c r="C228" s="372"/>
      <c r="D228" s="372"/>
      <c r="E228" s="97"/>
      <c r="F228" s="161"/>
      <c r="G228" s="132"/>
      <c r="H228" s="132"/>
      <c r="I228" s="132"/>
      <c r="J228" s="132"/>
      <c r="K228" s="132"/>
      <c r="L228" s="133"/>
      <c r="M228" s="133"/>
      <c r="N228" s="132"/>
      <c r="O228" s="132"/>
      <c r="P228" s="132"/>
      <c r="Q228" s="132"/>
      <c r="R228" s="132"/>
      <c r="S228" s="132"/>
      <c r="T228" s="132"/>
      <c r="U228" s="132"/>
      <c r="V228" s="132"/>
      <c r="W228" s="132"/>
      <c r="X228" s="132"/>
      <c r="Y228" s="132"/>
      <c r="Z228" s="132"/>
      <c r="AA228" s="132"/>
      <c r="AB228" s="132"/>
      <c r="AC228" s="132"/>
      <c r="AD228" s="132"/>
      <c r="AE228" s="132"/>
      <c r="AF228" s="132"/>
      <c r="AG228" s="132"/>
      <c r="AH228" s="132"/>
      <c r="AI228" s="132"/>
    </row>
    <row r="229" spans="1:39">
      <c r="A229" s="97"/>
      <c r="B229" s="372"/>
      <c r="C229" s="372"/>
      <c r="D229" s="372"/>
      <c r="E229" s="97"/>
      <c r="F229" s="161"/>
      <c r="G229" s="132"/>
      <c r="H229" s="132"/>
      <c r="I229" s="132"/>
      <c r="J229" s="132"/>
      <c r="K229" s="132"/>
      <c r="L229" s="133"/>
      <c r="M229" s="133"/>
      <c r="N229" s="132"/>
      <c r="O229" s="132"/>
      <c r="P229" s="132"/>
      <c r="Q229" s="132"/>
      <c r="R229" s="132"/>
      <c r="S229" s="132"/>
      <c r="T229" s="132"/>
      <c r="U229" s="132"/>
      <c r="V229" s="132"/>
      <c r="W229" s="132"/>
      <c r="X229" s="132"/>
      <c r="Y229" s="132"/>
      <c r="Z229" s="132"/>
      <c r="AA229" s="132"/>
      <c r="AB229" s="132"/>
      <c r="AC229" s="132"/>
      <c r="AD229" s="132"/>
      <c r="AE229" s="132"/>
      <c r="AF229" s="132"/>
      <c r="AG229" s="132"/>
      <c r="AH229" s="132"/>
      <c r="AI229" s="132"/>
    </row>
    <row r="230" spans="1:39">
      <c r="A230" s="97"/>
      <c r="B230" s="372"/>
      <c r="C230" s="372"/>
      <c r="D230" s="372"/>
      <c r="E230" s="97"/>
      <c r="F230" s="161"/>
      <c r="G230" s="132"/>
      <c r="H230" s="132"/>
      <c r="I230" s="132"/>
      <c r="J230" s="132"/>
      <c r="K230" s="132"/>
      <c r="L230" s="133"/>
      <c r="M230" s="133"/>
      <c r="N230" s="132"/>
      <c r="O230" s="132"/>
      <c r="P230" s="132"/>
      <c r="Q230" s="132"/>
      <c r="R230" s="132"/>
      <c r="S230" s="132"/>
      <c r="T230" s="132"/>
      <c r="U230" s="132"/>
      <c r="V230" s="132"/>
      <c r="W230" s="132"/>
      <c r="X230" s="132"/>
      <c r="Y230" s="132"/>
      <c r="Z230" s="132"/>
      <c r="AA230" s="132"/>
      <c r="AB230" s="132"/>
      <c r="AC230" s="132"/>
      <c r="AD230" s="132"/>
      <c r="AE230" s="132"/>
      <c r="AF230" s="132"/>
      <c r="AG230" s="132"/>
      <c r="AH230" s="132"/>
      <c r="AI230" s="132"/>
    </row>
    <row r="231" spans="1:39" ht="15.75" thickBot="1">
      <c r="A231" s="97"/>
      <c r="B231" s="372"/>
      <c r="C231" s="372"/>
      <c r="D231" s="372"/>
      <c r="E231" s="97"/>
      <c r="F231" s="163"/>
      <c r="G231" s="129"/>
      <c r="H231" s="129"/>
      <c r="I231" s="129"/>
      <c r="J231" s="129"/>
      <c r="K231" s="129"/>
      <c r="L231" s="164"/>
      <c r="M231" s="129"/>
      <c r="N231" s="129"/>
      <c r="O231" s="129"/>
      <c r="P231" s="129"/>
      <c r="Q231" s="129"/>
      <c r="R231" s="129"/>
      <c r="S231" s="129"/>
      <c r="T231" s="129"/>
      <c r="U231" s="129"/>
      <c r="V231" s="129"/>
      <c r="W231" s="129"/>
      <c r="X231" s="129"/>
      <c r="Y231" s="129"/>
      <c r="Z231" s="129"/>
      <c r="AA231" s="129"/>
      <c r="AB231" s="129"/>
      <c r="AC231" s="129"/>
      <c r="AD231" s="129"/>
      <c r="AE231" s="129"/>
      <c r="AF231" s="129"/>
      <c r="AG231" s="129"/>
      <c r="AH231" s="129"/>
      <c r="AI231" s="129"/>
    </row>
    <row r="232" spans="1:39" ht="15.75" thickTop="1">
      <c r="A232" s="100"/>
      <c r="B232" s="100"/>
      <c r="C232" s="100"/>
      <c r="D232" s="100"/>
      <c r="E232" s="100"/>
      <c r="F232" s="100"/>
      <c r="G232" s="100"/>
      <c r="H232" s="100"/>
      <c r="I232" s="100"/>
      <c r="J232" s="100"/>
      <c r="K232" s="100"/>
      <c r="L232" s="100"/>
      <c r="M232" s="166"/>
      <c r="N232" s="166"/>
      <c r="O232" s="166"/>
      <c r="P232" s="166"/>
      <c r="Q232" s="100"/>
      <c r="R232" s="166"/>
      <c r="S232" s="166"/>
      <c r="T232" s="100"/>
      <c r="U232" s="166"/>
      <c r="V232" s="102"/>
      <c r="W232" s="102"/>
      <c r="X232" s="102"/>
      <c r="Y232" s="102"/>
      <c r="Z232" s="102"/>
      <c r="AA232" s="102"/>
      <c r="AB232" s="102"/>
      <c r="AC232" s="102"/>
      <c r="AD232" s="102"/>
      <c r="AE232" s="102"/>
      <c r="AF232" s="102"/>
      <c r="AG232" s="102"/>
      <c r="AH232" s="102"/>
      <c r="AI232" s="102"/>
    </row>
    <row r="233" spans="1:39">
      <c r="A233" s="97"/>
      <c r="B233" s="97"/>
      <c r="C233" s="97"/>
      <c r="D233" s="97"/>
      <c r="E233" s="97"/>
      <c r="F233" s="100"/>
      <c r="G233" s="97"/>
      <c r="H233" s="97"/>
      <c r="I233" s="97"/>
      <c r="J233" s="97"/>
      <c r="K233" s="97"/>
      <c r="L233" s="97"/>
      <c r="M233" s="167"/>
      <c r="N233" s="167"/>
      <c r="O233" s="167"/>
      <c r="P233" s="167"/>
      <c r="Q233" s="97"/>
      <c r="R233" s="167"/>
      <c r="S233" s="167"/>
      <c r="T233" s="97"/>
      <c r="U233" s="167"/>
      <c r="V233" s="98"/>
      <c r="W233" s="98"/>
      <c r="X233" s="98"/>
      <c r="Y233" s="98"/>
      <c r="Z233" s="98"/>
      <c r="AA233" s="98"/>
      <c r="AB233" s="98"/>
      <c r="AC233" s="98"/>
      <c r="AD233" s="98"/>
      <c r="AE233" s="98"/>
      <c r="AF233" s="98"/>
      <c r="AG233" s="98"/>
      <c r="AH233" s="98"/>
      <c r="AI233" s="98"/>
    </row>
    <row r="234" spans="1:39">
      <c r="A234" s="97"/>
      <c r="B234" s="116"/>
      <c r="C234" s="97"/>
      <c r="D234" s="117"/>
      <c r="E234" s="118"/>
      <c r="F234" s="119"/>
      <c r="G234" s="120"/>
      <c r="H234" s="97"/>
      <c r="I234" s="97"/>
      <c r="J234" s="97"/>
      <c r="K234" s="97"/>
      <c r="L234" s="97"/>
      <c r="M234" s="97"/>
      <c r="N234" s="97"/>
      <c r="O234" s="97"/>
      <c r="P234" s="97"/>
      <c r="Q234" s="97"/>
      <c r="R234" s="97"/>
      <c r="S234" s="97"/>
      <c r="T234" s="97"/>
      <c r="U234" s="97"/>
      <c r="V234" s="98"/>
      <c r="W234" s="98"/>
      <c r="X234" s="98"/>
      <c r="Y234" s="98"/>
      <c r="Z234" s="98"/>
      <c r="AA234" s="98"/>
      <c r="AB234" s="98"/>
      <c r="AC234" s="98"/>
      <c r="AD234" s="98"/>
      <c r="AE234" s="98"/>
      <c r="AF234" s="98"/>
      <c r="AG234" s="98"/>
      <c r="AH234" s="98"/>
      <c r="AI234" s="98"/>
    </row>
    <row r="235" spans="1:39">
      <c r="A235" s="97"/>
      <c r="B235" s="168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  <c r="T235" s="113"/>
      <c r="U235" s="113"/>
      <c r="V235" s="113"/>
      <c r="W235" s="113"/>
      <c r="X235" s="113"/>
      <c r="Y235" s="113"/>
      <c r="Z235" s="113"/>
      <c r="AA235" s="113"/>
      <c r="AB235" s="113"/>
      <c r="AC235" s="113"/>
      <c r="AD235" s="113"/>
      <c r="AE235" s="113"/>
      <c r="AF235" s="113"/>
      <c r="AG235" s="113"/>
      <c r="AH235" s="113"/>
      <c r="AI235" s="113"/>
      <c r="AJ235"/>
      <c r="AK235"/>
      <c r="AL235"/>
      <c r="AM235"/>
    </row>
    <row r="236" spans="1:39" ht="15.75" thickBot="1">
      <c r="A236" s="97"/>
      <c r="B236" s="121"/>
      <c r="C236" s="122"/>
      <c r="D236" s="122"/>
      <c r="E236" s="122"/>
      <c r="F236" s="123"/>
      <c r="G236" s="123"/>
      <c r="H236" s="123"/>
      <c r="I236" s="123"/>
      <c r="J236" s="123"/>
      <c r="K236" s="123"/>
      <c r="L236" s="123"/>
      <c r="M236" s="123"/>
      <c r="N236" s="123"/>
      <c r="O236" s="123"/>
      <c r="P236" s="123"/>
      <c r="Q236" s="123"/>
      <c r="R236" s="123"/>
      <c r="S236" s="123"/>
      <c r="T236" s="123"/>
      <c r="U236" s="123"/>
      <c r="V236" s="123"/>
      <c r="W236" s="123"/>
      <c r="X236" s="123"/>
      <c r="Y236" s="123"/>
      <c r="Z236" s="123"/>
      <c r="AA236" s="123"/>
      <c r="AB236" s="123"/>
      <c r="AC236" s="123"/>
      <c r="AD236" s="123"/>
      <c r="AE236" s="123"/>
      <c r="AF236" s="123"/>
      <c r="AG236" s="123"/>
      <c r="AH236" s="123"/>
      <c r="AI236" s="123"/>
    </row>
    <row r="237" spans="1:39">
      <c r="A237" s="97"/>
      <c r="B237" s="124"/>
      <c r="C237" s="125"/>
      <c r="D237" s="125"/>
      <c r="E237" s="125"/>
      <c r="F237" s="125"/>
      <c r="G237" s="125"/>
      <c r="H237" s="125"/>
      <c r="I237" s="125"/>
      <c r="J237" s="125"/>
      <c r="K237" s="126"/>
      <c r="L237" s="127"/>
      <c r="M237" s="127"/>
      <c r="N237" s="126"/>
      <c r="O237" s="126"/>
      <c r="P237" s="126"/>
      <c r="Q237" s="126"/>
      <c r="R237" s="126"/>
      <c r="S237" s="126"/>
      <c r="T237" s="126"/>
      <c r="U237" s="126"/>
      <c r="V237" s="126"/>
      <c r="W237" s="126"/>
      <c r="X237" s="126"/>
      <c r="Y237" s="126"/>
      <c r="Z237" s="126"/>
      <c r="AA237" s="126"/>
      <c r="AB237" s="126"/>
      <c r="AC237" s="126"/>
      <c r="AD237" s="126"/>
      <c r="AE237" s="126"/>
      <c r="AF237" s="126"/>
      <c r="AG237" s="126"/>
      <c r="AH237" s="126"/>
      <c r="AI237" s="126"/>
    </row>
    <row r="238" spans="1:39" ht="15.75" thickBot="1">
      <c r="A238" s="97"/>
      <c r="B238" s="128"/>
      <c r="C238" s="129"/>
      <c r="D238" s="129"/>
      <c r="E238" s="129"/>
      <c r="F238" s="129"/>
      <c r="G238" s="129"/>
      <c r="H238" s="129"/>
      <c r="I238" s="129"/>
      <c r="J238" s="129"/>
      <c r="K238" s="130"/>
      <c r="L238" s="130"/>
      <c r="M238" s="130"/>
      <c r="N238" s="130"/>
      <c r="O238" s="130"/>
      <c r="P238" s="130"/>
      <c r="Q238" s="130"/>
      <c r="R238" s="130"/>
      <c r="S238" s="130"/>
      <c r="T238" s="130"/>
      <c r="U238" s="130"/>
      <c r="V238" s="130"/>
      <c r="W238" s="130"/>
      <c r="X238" s="130"/>
      <c r="Y238" s="130"/>
      <c r="Z238" s="130"/>
      <c r="AA238" s="130"/>
      <c r="AB238" s="130"/>
      <c r="AC238" s="130"/>
      <c r="AD238" s="130"/>
      <c r="AE238" s="130"/>
      <c r="AF238" s="130"/>
      <c r="AG238" s="130"/>
      <c r="AH238" s="130"/>
      <c r="AI238" s="130"/>
    </row>
    <row r="239" spans="1:39" ht="15.75" thickTop="1">
      <c r="A239" s="97"/>
      <c r="B239" s="131"/>
      <c r="C239" s="132"/>
      <c r="D239" s="132"/>
      <c r="E239" s="132"/>
      <c r="F239" s="132"/>
      <c r="G239" s="132"/>
      <c r="H239" s="132"/>
      <c r="I239" s="132"/>
      <c r="J239" s="132"/>
      <c r="K239" s="132"/>
      <c r="L239" s="133"/>
      <c r="M239" s="133"/>
      <c r="N239" s="132"/>
      <c r="O239" s="132"/>
      <c r="P239" s="132"/>
      <c r="Q239" s="132"/>
      <c r="R239" s="132"/>
      <c r="S239" s="132"/>
      <c r="T239" s="132"/>
      <c r="U239" s="132"/>
      <c r="V239" s="132"/>
      <c r="W239" s="132"/>
      <c r="X239" s="132"/>
      <c r="Y239" s="132"/>
      <c r="Z239" s="132"/>
      <c r="AA239" s="132"/>
      <c r="AB239" s="132"/>
      <c r="AC239" s="132"/>
      <c r="AD239" s="132"/>
      <c r="AE239" s="132"/>
      <c r="AF239" s="132"/>
      <c r="AG239" s="132"/>
      <c r="AH239" s="132"/>
      <c r="AI239" s="132"/>
    </row>
    <row r="240" spans="1:39" ht="15.75" thickBot="1">
      <c r="A240" s="97"/>
      <c r="B240" s="128"/>
      <c r="C240" s="134"/>
      <c r="D240" s="134"/>
      <c r="E240" s="134"/>
      <c r="F240" s="134"/>
      <c r="G240" s="130"/>
      <c r="H240" s="130"/>
      <c r="I240" s="130"/>
      <c r="J240" s="130"/>
      <c r="K240" s="130"/>
      <c r="L240" s="130"/>
      <c r="M240" s="130"/>
      <c r="N240" s="130"/>
      <c r="O240" s="130"/>
      <c r="P240" s="130"/>
      <c r="Q240" s="130"/>
      <c r="R240" s="130"/>
      <c r="S240" s="130"/>
      <c r="T240" s="130"/>
      <c r="U240" s="130"/>
      <c r="V240" s="130"/>
      <c r="W240" s="130"/>
      <c r="X240" s="130"/>
      <c r="Y240" s="130"/>
      <c r="Z240" s="130"/>
      <c r="AA240" s="130"/>
      <c r="AB240" s="130"/>
      <c r="AC240" s="130"/>
      <c r="AD240" s="130"/>
      <c r="AE240" s="130"/>
      <c r="AF240" s="130"/>
      <c r="AG240" s="130"/>
      <c r="AH240" s="130"/>
      <c r="AI240" s="130"/>
    </row>
    <row r="241" spans="1:35" ht="15.75" thickTop="1">
      <c r="A241" s="97"/>
      <c r="B241" s="135"/>
      <c r="C241" s="136"/>
      <c r="D241" s="136"/>
      <c r="E241" s="136"/>
      <c r="F241" s="136"/>
      <c r="G241" s="136"/>
      <c r="H241" s="136"/>
      <c r="I241" s="136"/>
      <c r="J241" s="136"/>
      <c r="K241" s="136"/>
      <c r="L241" s="137"/>
      <c r="M241" s="137"/>
      <c r="N241" s="136"/>
      <c r="O241" s="136"/>
      <c r="P241" s="136"/>
      <c r="Q241" s="136"/>
      <c r="R241" s="136"/>
      <c r="S241" s="136"/>
      <c r="T241" s="136"/>
      <c r="U241" s="136"/>
      <c r="V241" s="136"/>
      <c r="W241" s="136"/>
      <c r="X241" s="136"/>
      <c r="Y241" s="136"/>
      <c r="Z241" s="136"/>
      <c r="AA241" s="136"/>
      <c r="AB241" s="136"/>
      <c r="AC241" s="136"/>
      <c r="AD241" s="136"/>
      <c r="AE241" s="136"/>
      <c r="AF241" s="136"/>
      <c r="AG241" s="136"/>
      <c r="AH241" s="136"/>
      <c r="AI241" s="136"/>
    </row>
    <row r="242" spans="1:35" ht="15.75" thickBot="1">
      <c r="A242" s="97"/>
      <c r="B242" s="128"/>
      <c r="C242" s="130"/>
      <c r="D242" s="130"/>
      <c r="E242" s="130"/>
      <c r="F242" s="130"/>
      <c r="G242" s="130"/>
      <c r="H242" s="130"/>
      <c r="I242" s="130"/>
      <c r="J242" s="130"/>
      <c r="K242" s="130"/>
      <c r="L242" s="130"/>
      <c r="M242" s="130"/>
      <c r="N242" s="130"/>
      <c r="O242" s="130"/>
      <c r="P242" s="130"/>
      <c r="Q242" s="130"/>
      <c r="R242" s="130"/>
      <c r="S242" s="130"/>
      <c r="T242" s="130"/>
      <c r="U242" s="130"/>
      <c r="V242" s="130"/>
      <c r="W242" s="130"/>
      <c r="X242" s="130"/>
      <c r="Y242" s="130"/>
      <c r="Z242" s="130"/>
      <c r="AA242" s="130"/>
      <c r="AB242" s="130"/>
      <c r="AC242" s="130"/>
      <c r="AD242" s="130"/>
      <c r="AE242" s="130"/>
      <c r="AF242" s="130"/>
      <c r="AG242" s="130"/>
      <c r="AH242" s="130"/>
      <c r="AI242" s="130"/>
    </row>
    <row r="243" spans="1:35" ht="15.75" thickTop="1">
      <c r="A243" s="97"/>
      <c r="B243" s="97"/>
      <c r="C243" s="97"/>
      <c r="D243" s="97"/>
      <c r="E243" s="97"/>
      <c r="F243" s="97"/>
      <c r="G243" s="97"/>
      <c r="H243" s="97"/>
      <c r="I243" s="97"/>
      <c r="J243" s="97"/>
      <c r="K243" s="97"/>
      <c r="L243" s="97"/>
      <c r="M243" s="97"/>
      <c r="N243" s="97"/>
      <c r="O243" s="97"/>
      <c r="P243" s="97"/>
      <c r="Q243" s="97"/>
      <c r="R243" s="97"/>
      <c r="S243" s="97"/>
      <c r="T243" s="97"/>
      <c r="U243" s="97"/>
      <c r="V243" s="97"/>
      <c r="W243" s="97"/>
      <c r="X243" s="97"/>
      <c r="Y243" s="97"/>
      <c r="Z243" s="97"/>
      <c r="AA243" s="97"/>
      <c r="AB243" s="97"/>
      <c r="AC243" s="97"/>
      <c r="AD243" s="97"/>
      <c r="AE243" s="97"/>
      <c r="AF243" s="97"/>
      <c r="AG243" s="97"/>
      <c r="AH243" s="97"/>
      <c r="AI243" s="97"/>
    </row>
    <row r="244" spans="1:35" ht="15.75" thickBot="1">
      <c r="A244" s="97"/>
      <c r="B244" s="138"/>
      <c r="C244" s="139"/>
      <c r="D244" s="139"/>
      <c r="E244" s="139"/>
      <c r="F244" s="139"/>
      <c r="G244" s="139"/>
      <c r="H244" s="139"/>
      <c r="I244" s="139"/>
      <c r="J244" s="139"/>
      <c r="K244" s="139"/>
      <c r="L244" s="140"/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/>
      <c r="Y244" s="139"/>
      <c r="Z244" s="139"/>
      <c r="AA244" s="139"/>
      <c r="AB244" s="139"/>
      <c r="AC244" s="139"/>
      <c r="AD244" s="139"/>
      <c r="AE244" s="139"/>
      <c r="AF244" s="139"/>
      <c r="AG244" s="139"/>
      <c r="AH244" s="139"/>
      <c r="AI244" s="139"/>
    </row>
    <row r="245" spans="1:35">
      <c r="A245" s="97"/>
      <c r="B245" s="141"/>
      <c r="C245" s="141"/>
      <c r="D245" s="142"/>
      <c r="E245" s="97"/>
      <c r="F245" s="119"/>
      <c r="G245" s="143"/>
      <c r="H245" s="144"/>
      <c r="I245" s="144"/>
      <c r="J245" s="144"/>
      <c r="K245" s="144"/>
      <c r="L245" s="144"/>
      <c r="M245" s="144"/>
      <c r="N245" s="144"/>
      <c r="O245" s="144"/>
      <c r="P245" s="144"/>
      <c r="Q245" s="144"/>
      <c r="R245" s="144"/>
      <c r="S245" s="144"/>
      <c r="T245" s="144"/>
      <c r="U245" s="144"/>
      <c r="V245" s="144"/>
      <c r="W245" s="144"/>
      <c r="X245" s="144"/>
      <c r="Y245" s="144"/>
      <c r="Z245" s="144"/>
      <c r="AA245" s="144"/>
      <c r="AB245" s="144"/>
      <c r="AC245" s="144"/>
      <c r="AD245" s="144"/>
      <c r="AE245" s="144"/>
      <c r="AF245" s="144"/>
      <c r="AG245" s="144"/>
      <c r="AH245" s="144"/>
      <c r="AI245" s="144"/>
    </row>
    <row r="246" spans="1:35" ht="15.75" thickBot="1">
      <c r="A246" s="97"/>
      <c r="B246" s="141"/>
      <c r="C246" s="119"/>
      <c r="D246" s="145"/>
      <c r="E246" s="97"/>
      <c r="F246" s="146"/>
      <c r="G246" s="141"/>
      <c r="H246" s="147"/>
      <c r="I246" s="147"/>
      <c r="J246" s="147"/>
      <c r="K246" s="147"/>
      <c r="L246" s="148"/>
      <c r="M246" s="147"/>
      <c r="N246" s="147"/>
      <c r="O246" s="147"/>
      <c r="P246" s="147"/>
      <c r="Q246" s="147"/>
      <c r="R246" s="147"/>
      <c r="S246" s="147"/>
      <c r="T246" s="147"/>
      <c r="U246" s="147"/>
      <c r="V246" s="147"/>
      <c r="W246" s="147"/>
      <c r="X246" s="147"/>
      <c r="Y246" s="147"/>
      <c r="Z246" s="147"/>
      <c r="AA246" s="147"/>
      <c r="AB246" s="147"/>
      <c r="AC246" s="147"/>
      <c r="AD246" s="147"/>
      <c r="AE246" s="147"/>
      <c r="AF246" s="147"/>
      <c r="AG246" s="147"/>
      <c r="AH246" s="147"/>
      <c r="AI246" s="147"/>
    </row>
    <row r="247" spans="1:35" ht="15.75" thickTop="1">
      <c r="A247" s="97"/>
      <c r="B247" s="97"/>
      <c r="C247" s="97"/>
      <c r="D247" s="97"/>
      <c r="E247" s="97"/>
      <c r="F247" s="149"/>
      <c r="G247" s="150"/>
      <c r="H247" s="150"/>
      <c r="I247" s="150"/>
      <c r="J247" s="150"/>
      <c r="K247" s="150"/>
      <c r="L247" s="150"/>
      <c r="M247" s="150"/>
      <c r="N247" s="150"/>
      <c r="O247" s="150"/>
      <c r="P247" s="150"/>
      <c r="Q247" s="150"/>
      <c r="R247" s="150"/>
      <c r="S247" s="150"/>
      <c r="T247" s="150"/>
      <c r="U247" s="150"/>
      <c r="V247" s="150"/>
      <c r="W247" s="150"/>
      <c r="X247" s="150"/>
      <c r="Y247" s="150"/>
      <c r="Z247" s="150"/>
      <c r="AA247" s="150"/>
      <c r="AB247" s="150"/>
      <c r="AC247" s="150"/>
      <c r="AD247" s="150"/>
      <c r="AE247" s="150"/>
      <c r="AF247" s="150"/>
      <c r="AG247" s="150"/>
      <c r="AH247" s="150"/>
      <c r="AI247" s="150"/>
    </row>
    <row r="248" spans="1:35">
      <c r="A248" s="97"/>
      <c r="B248" s="372"/>
      <c r="C248" s="372"/>
      <c r="D248" s="372"/>
      <c r="E248" s="97"/>
      <c r="F248" s="112"/>
      <c r="G248" s="151"/>
      <c r="H248" s="151"/>
      <c r="I248" s="151"/>
      <c r="J248" s="151"/>
      <c r="K248" s="151"/>
      <c r="L248" s="151"/>
      <c r="M248" s="151"/>
      <c r="N248" s="151"/>
      <c r="O248" s="151"/>
      <c r="P248" s="151"/>
      <c r="Q248" s="151"/>
      <c r="R248" s="151"/>
      <c r="S248" s="165"/>
      <c r="T248" s="165"/>
      <c r="U248" s="165"/>
      <c r="V248" s="165"/>
      <c r="W248" s="165"/>
      <c r="X248" s="165"/>
      <c r="Y248" s="165"/>
      <c r="Z248" s="165"/>
      <c r="AA248" s="165"/>
      <c r="AB248" s="165"/>
      <c r="AC248" s="165"/>
      <c r="AD248" s="165"/>
      <c r="AE248" s="165"/>
      <c r="AF248" s="165"/>
      <c r="AG248" s="165"/>
      <c r="AH248" s="165"/>
      <c r="AI248" s="165"/>
    </row>
    <row r="249" spans="1:35" ht="15.75" thickBot="1">
      <c r="A249" s="97"/>
      <c r="B249" s="372"/>
      <c r="C249" s="372"/>
      <c r="D249" s="372"/>
      <c r="E249" s="97"/>
      <c r="F249" s="112"/>
      <c r="G249" s="152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  <c r="AH249" s="153"/>
      <c r="AI249" s="153"/>
    </row>
    <row r="250" spans="1:35" ht="15.75" thickTop="1">
      <c r="A250" s="97"/>
      <c r="B250" s="372"/>
      <c r="C250" s="372"/>
      <c r="D250" s="372"/>
      <c r="E250" s="97"/>
      <c r="F250" s="141"/>
      <c r="G250" s="154"/>
      <c r="H250" s="154"/>
      <c r="I250" s="154"/>
      <c r="J250" s="154"/>
      <c r="K250" s="154"/>
      <c r="L250" s="154"/>
      <c r="M250" s="154"/>
      <c r="N250" s="154"/>
      <c r="O250" s="154"/>
      <c r="P250" s="154"/>
      <c r="Q250" s="154"/>
      <c r="R250" s="154"/>
      <c r="S250" s="154"/>
      <c r="T250" s="154"/>
      <c r="U250" s="154"/>
      <c r="V250" s="154"/>
      <c r="W250" s="154"/>
      <c r="X250" s="154"/>
      <c r="Y250" s="154"/>
      <c r="Z250" s="154"/>
      <c r="AA250" s="154"/>
      <c r="AB250" s="154"/>
      <c r="AC250" s="154"/>
      <c r="AD250" s="154"/>
      <c r="AE250" s="154"/>
      <c r="AF250" s="154"/>
      <c r="AG250" s="154"/>
      <c r="AH250" s="154"/>
      <c r="AI250" s="154"/>
    </row>
    <row r="251" spans="1:35" ht="15.75" thickBot="1">
      <c r="A251" s="97"/>
      <c r="B251" s="372"/>
      <c r="C251" s="372"/>
      <c r="D251" s="372"/>
      <c r="E251" s="97"/>
      <c r="F251" s="155"/>
      <c r="G251" s="156"/>
      <c r="H251" s="156"/>
      <c r="I251" s="156"/>
      <c r="J251" s="156"/>
      <c r="K251" s="156"/>
      <c r="L251" s="157"/>
      <c r="M251" s="156"/>
      <c r="N251" s="156"/>
      <c r="O251" s="156"/>
      <c r="P251" s="156"/>
      <c r="Q251" s="156"/>
      <c r="R251" s="156"/>
      <c r="S251" s="156"/>
      <c r="T251" s="156"/>
      <c r="U251" s="156"/>
      <c r="V251" s="156"/>
      <c r="W251" s="156"/>
      <c r="X251" s="156"/>
      <c r="Y251" s="156"/>
      <c r="Z251" s="156"/>
      <c r="AA251" s="156"/>
      <c r="AB251" s="156"/>
      <c r="AC251" s="156"/>
      <c r="AD251" s="156"/>
      <c r="AE251" s="156"/>
      <c r="AF251" s="156"/>
      <c r="AG251" s="156"/>
      <c r="AH251" s="156"/>
      <c r="AI251" s="156"/>
    </row>
    <row r="252" spans="1:35">
      <c r="A252" s="97"/>
      <c r="B252" s="372"/>
      <c r="C252" s="372"/>
      <c r="D252" s="372"/>
      <c r="E252" s="97"/>
      <c r="F252" s="158"/>
      <c r="G252" s="159"/>
      <c r="H252" s="159"/>
      <c r="I252" s="159"/>
      <c r="J252" s="159"/>
      <c r="K252" s="159"/>
      <c r="L252" s="160"/>
      <c r="M252" s="160"/>
      <c r="N252" s="159"/>
      <c r="O252" s="159"/>
      <c r="P252" s="159"/>
      <c r="Q252" s="159"/>
      <c r="R252" s="159"/>
      <c r="S252" s="159"/>
      <c r="T252" s="159"/>
      <c r="U252" s="159"/>
      <c r="V252" s="159"/>
      <c r="W252" s="159"/>
      <c r="X252" s="159"/>
      <c r="Y252" s="159"/>
      <c r="Z252" s="159"/>
      <c r="AA252" s="159"/>
      <c r="AB252" s="159"/>
      <c r="AC252" s="159"/>
      <c r="AD252" s="159"/>
      <c r="AE252" s="159"/>
      <c r="AF252" s="159"/>
      <c r="AG252" s="159"/>
      <c r="AH252" s="159"/>
      <c r="AI252" s="159"/>
    </row>
    <row r="253" spans="1:35">
      <c r="A253" s="97"/>
      <c r="B253" s="372"/>
      <c r="C253" s="372"/>
      <c r="D253" s="372"/>
      <c r="E253" s="97"/>
      <c r="F253" s="161"/>
      <c r="G253" s="162"/>
      <c r="H253" s="162"/>
      <c r="I253" s="162"/>
      <c r="J253" s="162"/>
      <c r="K253" s="162"/>
      <c r="L253" s="162"/>
      <c r="M253" s="162"/>
      <c r="N253" s="162"/>
      <c r="O253" s="162"/>
      <c r="P253" s="162"/>
      <c r="Q253" s="162"/>
      <c r="R253" s="162"/>
      <c r="S253" s="162"/>
      <c r="T253" s="162"/>
      <c r="U253" s="162"/>
      <c r="V253" s="162"/>
      <c r="W253" s="162"/>
      <c r="X253" s="162"/>
      <c r="Y253" s="162"/>
      <c r="Z253" s="162"/>
      <c r="AA253" s="162"/>
      <c r="AB253" s="162"/>
      <c r="AC253" s="162"/>
      <c r="AD253" s="162"/>
      <c r="AE253" s="162"/>
      <c r="AF253" s="162"/>
      <c r="AG253" s="162"/>
      <c r="AH253" s="162"/>
      <c r="AI253" s="162"/>
    </row>
    <row r="254" spans="1:35">
      <c r="A254" s="97"/>
      <c r="B254" s="372"/>
      <c r="C254" s="372"/>
      <c r="D254" s="372"/>
      <c r="E254" s="97"/>
      <c r="F254" s="161"/>
      <c r="G254" s="132"/>
      <c r="H254" s="132"/>
      <c r="I254" s="132"/>
      <c r="J254" s="132"/>
      <c r="K254" s="132"/>
      <c r="L254" s="133"/>
      <c r="M254" s="133"/>
      <c r="N254" s="132"/>
      <c r="O254" s="132"/>
      <c r="P254" s="132"/>
      <c r="Q254" s="132"/>
      <c r="R254" s="132"/>
      <c r="S254" s="132"/>
      <c r="T254" s="132"/>
      <c r="U254" s="132"/>
      <c r="V254" s="132"/>
      <c r="W254" s="132"/>
      <c r="X254" s="132"/>
      <c r="Y254" s="132"/>
      <c r="Z254" s="132"/>
      <c r="AA254" s="132"/>
      <c r="AB254" s="132"/>
      <c r="AC254" s="132"/>
      <c r="AD254" s="132"/>
      <c r="AE254" s="132"/>
      <c r="AF254" s="132"/>
      <c r="AG254" s="132"/>
      <c r="AH254" s="132"/>
      <c r="AI254" s="132"/>
    </row>
    <row r="255" spans="1:35">
      <c r="A255" s="97"/>
      <c r="B255" s="372"/>
      <c r="C255" s="372"/>
      <c r="D255" s="372"/>
      <c r="E255" s="97"/>
      <c r="F255" s="161"/>
      <c r="G255" s="132"/>
      <c r="H255" s="132"/>
      <c r="I255" s="132"/>
      <c r="J255" s="132"/>
      <c r="K255" s="132"/>
      <c r="L255" s="133"/>
      <c r="M255" s="133"/>
      <c r="N255" s="132"/>
      <c r="O255" s="132"/>
      <c r="P255" s="132"/>
      <c r="Q255" s="132"/>
      <c r="R255" s="132"/>
      <c r="S255" s="132"/>
      <c r="T255" s="132"/>
      <c r="U255" s="132"/>
      <c r="V255" s="132"/>
      <c r="W255" s="132"/>
      <c r="X255" s="132"/>
      <c r="Y255" s="132"/>
      <c r="Z255" s="132"/>
      <c r="AA255" s="132"/>
      <c r="AB255" s="132"/>
      <c r="AC255" s="132"/>
      <c r="AD255" s="132"/>
      <c r="AE255" s="132"/>
      <c r="AF255" s="132"/>
      <c r="AG255" s="132"/>
      <c r="AH255" s="132"/>
      <c r="AI255" s="132"/>
    </row>
    <row r="256" spans="1:35">
      <c r="A256" s="97"/>
      <c r="B256" s="372"/>
      <c r="C256" s="372"/>
      <c r="D256" s="372"/>
      <c r="E256" s="97"/>
      <c r="F256" s="161"/>
      <c r="G256" s="132"/>
      <c r="H256" s="132"/>
      <c r="I256" s="132"/>
      <c r="J256" s="132"/>
      <c r="K256" s="132"/>
      <c r="L256" s="133"/>
      <c r="M256" s="133"/>
      <c r="N256" s="132"/>
      <c r="O256" s="132"/>
      <c r="P256" s="132"/>
      <c r="Q256" s="132"/>
      <c r="R256" s="132"/>
      <c r="S256" s="132"/>
      <c r="T256" s="132"/>
      <c r="U256" s="132"/>
      <c r="V256" s="132"/>
      <c r="W256" s="132"/>
      <c r="X256" s="132"/>
      <c r="Y256" s="132"/>
      <c r="Z256" s="132"/>
      <c r="AA256" s="132"/>
      <c r="AB256" s="132"/>
      <c r="AC256" s="132"/>
      <c r="AD256" s="132"/>
      <c r="AE256" s="132"/>
      <c r="AF256" s="132"/>
      <c r="AG256" s="132"/>
      <c r="AH256" s="132"/>
      <c r="AI256" s="132"/>
    </row>
    <row r="257" spans="1:39" ht="15.75" thickBot="1">
      <c r="A257" s="97"/>
      <c r="B257" s="372"/>
      <c r="C257" s="372"/>
      <c r="D257" s="372"/>
      <c r="E257" s="97"/>
      <c r="F257" s="163"/>
      <c r="G257" s="129"/>
      <c r="H257" s="129"/>
      <c r="I257" s="129"/>
      <c r="J257" s="129"/>
      <c r="K257" s="129"/>
      <c r="L257" s="164"/>
      <c r="M257" s="129"/>
      <c r="N257" s="129"/>
      <c r="O257" s="129"/>
      <c r="P257" s="129"/>
      <c r="Q257" s="129"/>
      <c r="R257" s="129"/>
      <c r="S257" s="129"/>
      <c r="T257" s="129"/>
      <c r="U257" s="129"/>
      <c r="V257" s="129"/>
      <c r="W257" s="129"/>
      <c r="X257" s="129"/>
      <c r="Y257" s="129"/>
      <c r="Z257" s="129"/>
      <c r="AA257" s="129"/>
      <c r="AB257" s="129"/>
      <c r="AC257" s="129"/>
      <c r="AD257" s="129"/>
      <c r="AE257" s="129"/>
      <c r="AF257" s="129"/>
      <c r="AG257" s="129"/>
      <c r="AH257" s="129"/>
      <c r="AI257" s="129"/>
    </row>
    <row r="258" spans="1:39" ht="15.75" thickTop="1">
      <c r="A258" s="100"/>
      <c r="B258" s="100"/>
      <c r="C258" s="100"/>
      <c r="D258" s="100"/>
      <c r="E258" s="100"/>
      <c r="F258" s="100"/>
      <c r="G258" s="100"/>
      <c r="H258" s="100"/>
      <c r="I258" s="100"/>
      <c r="J258" s="100"/>
      <c r="K258" s="100"/>
      <c r="L258" s="100"/>
      <c r="M258" s="166"/>
      <c r="N258" s="166"/>
      <c r="O258" s="166"/>
      <c r="P258" s="166"/>
      <c r="Q258" s="100"/>
      <c r="R258" s="166"/>
      <c r="S258" s="166"/>
      <c r="T258" s="100"/>
      <c r="U258" s="166"/>
      <c r="V258" s="102"/>
      <c r="W258" s="102"/>
      <c r="X258" s="102"/>
      <c r="Y258" s="102"/>
      <c r="Z258" s="102"/>
      <c r="AA258" s="102"/>
      <c r="AB258" s="102"/>
      <c r="AC258" s="102"/>
      <c r="AD258" s="102"/>
      <c r="AE258" s="102"/>
      <c r="AF258" s="102"/>
      <c r="AG258" s="102"/>
      <c r="AH258" s="102"/>
      <c r="AI258" s="102"/>
    </row>
    <row r="259" spans="1:39">
      <c r="A259" s="97"/>
      <c r="B259" s="97"/>
      <c r="C259" s="97"/>
      <c r="D259" s="97"/>
      <c r="E259" s="97"/>
      <c r="F259" s="100"/>
      <c r="G259" s="97"/>
      <c r="H259" s="97"/>
      <c r="I259" s="97"/>
      <c r="J259" s="97"/>
      <c r="K259" s="97"/>
      <c r="L259" s="97"/>
      <c r="M259" s="167"/>
      <c r="N259" s="167"/>
      <c r="O259" s="167"/>
      <c r="P259" s="167"/>
      <c r="Q259" s="97"/>
      <c r="R259" s="167"/>
      <c r="S259" s="167"/>
      <c r="T259" s="97"/>
      <c r="U259" s="167"/>
      <c r="V259" s="98"/>
      <c r="W259" s="98"/>
      <c r="X259" s="98"/>
      <c r="Y259" s="98"/>
      <c r="Z259" s="98"/>
      <c r="AA259" s="98"/>
      <c r="AB259" s="98"/>
      <c r="AC259" s="98"/>
      <c r="AD259" s="98"/>
      <c r="AE259" s="98"/>
      <c r="AF259" s="98"/>
      <c r="AG259" s="98"/>
      <c r="AH259" s="98"/>
      <c r="AI259" s="98"/>
    </row>
    <row r="260" spans="1:39">
      <c r="A260" s="97"/>
      <c r="B260" s="116"/>
      <c r="C260" s="97"/>
      <c r="D260" s="117"/>
      <c r="E260" s="118"/>
      <c r="F260" s="119"/>
      <c r="G260" s="120"/>
      <c r="H260" s="97"/>
      <c r="I260" s="97"/>
      <c r="J260" s="97"/>
      <c r="K260" s="97"/>
      <c r="L260" s="97"/>
      <c r="M260" s="97"/>
      <c r="N260" s="97"/>
      <c r="O260" s="97"/>
      <c r="P260" s="97"/>
      <c r="Q260" s="97"/>
      <c r="R260" s="97"/>
      <c r="S260" s="97"/>
      <c r="T260" s="97"/>
      <c r="U260" s="97"/>
      <c r="V260" s="98"/>
      <c r="W260" s="98"/>
      <c r="X260" s="98"/>
      <c r="Y260" s="98"/>
      <c r="Z260" s="98"/>
      <c r="AA260" s="98"/>
      <c r="AB260" s="98"/>
      <c r="AC260" s="98"/>
      <c r="AD260" s="98"/>
      <c r="AE260" s="98"/>
      <c r="AF260" s="98"/>
      <c r="AG260" s="98"/>
      <c r="AH260" s="98"/>
      <c r="AI260" s="98"/>
    </row>
    <row r="261" spans="1:39">
      <c r="A261" s="97"/>
      <c r="B261" s="168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  <c r="T261" s="113"/>
      <c r="U261" s="113"/>
      <c r="V261" s="113"/>
      <c r="W261" s="113"/>
      <c r="X261" s="113"/>
      <c r="Y261" s="113"/>
      <c r="Z261" s="113"/>
      <c r="AA261" s="113"/>
      <c r="AB261" s="113"/>
      <c r="AC261" s="113"/>
      <c r="AD261" s="113"/>
      <c r="AE261" s="113"/>
      <c r="AF261" s="113"/>
      <c r="AG261" s="113"/>
      <c r="AH261" s="113"/>
      <c r="AI261" s="113"/>
      <c r="AJ261"/>
      <c r="AK261"/>
      <c r="AL261"/>
      <c r="AM261"/>
    </row>
    <row r="262" spans="1:39" ht="15.75" thickBot="1">
      <c r="A262" s="97"/>
      <c r="B262" s="121"/>
      <c r="C262" s="122"/>
      <c r="D262" s="122"/>
      <c r="E262" s="122"/>
      <c r="F262" s="123"/>
      <c r="G262" s="123"/>
      <c r="H262" s="123"/>
      <c r="I262" s="123"/>
      <c r="J262" s="123"/>
      <c r="K262" s="123"/>
      <c r="L262" s="123"/>
      <c r="M262" s="123"/>
      <c r="N262" s="123"/>
      <c r="O262" s="123"/>
      <c r="P262" s="123"/>
      <c r="Q262" s="123"/>
      <c r="R262" s="123"/>
      <c r="S262" s="123"/>
      <c r="T262" s="123"/>
      <c r="U262" s="123"/>
      <c r="V262" s="123"/>
      <c r="W262" s="123"/>
      <c r="X262" s="123"/>
      <c r="Y262" s="123"/>
      <c r="Z262" s="123"/>
      <c r="AA262" s="123"/>
      <c r="AB262" s="123"/>
      <c r="AC262" s="123"/>
      <c r="AD262" s="123"/>
      <c r="AE262" s="123"/>
      <c r="AF262" s="123"/>
      <c r="AG262" s="123"/>
      <c r="AH262" s="123"/>
      <c r="AI262" s="123"/>
    </row>
    <row r="263" spans="1:39">
      <c r="A263" s="97"/>
      <c r="B263" s="124"/>
      <c r="C263" s="125"/>
      <c r="D263" s="125"/>
      <c r="E263" s="125"/>
      <c r="F263" s="125"/>
      <c r="G263" s="125"/>
      <c r="H263" s="125"/>
      <c r="I263" s="125"/>
      <c r="J263" s="125"/>
      <c r="K263" s="126"/>
      <c r="L263" s="127"/>
      <c r="M263" s="127"/>
      <c r="N263" s="126"/>
      <c r="O263" s="126"/>
      <c r="P263" s="126"/>
      <c r="Q263" s="126"/>
      <c r="R263" s="126"/>
      <c r="S263" s="126"/>
      <c r="T263" s="126"/>
      <c r="U263" s="126"/>
      <c r="V263" s="126"/>
      <c r="W263" s="126"/>
      <c r="X263" s="126"/>
      <c r="Y263" s="126"/>
      <c r="Z263" s="126"/>
      <c r="AA263" s="126"/>
      <c r="AB263" s="126"/>
      <c r="AC263" s="126"/>
      <c r="AD263" s="126"/>
      <c r="AE263" s="126"/>
      <c r="AF263" s="126"/>
      <c r="AG263" s="126"/>
      <c r="AH263" s="126"/>
      <c r="AI263" s="126"/>
    </row>
    <row r="264" spans="1:39" ht="15.75" thickBot="1">
      <c r="A264" s="97"/>
      <c r="B264" s="128"/>
      <c r="C264" s="129"/>
      <c r="D264" s="129"/>
      <c r="E264" s="129"/>
      <c r="F264" s="129"/>
      <c r="G264" s="129"/>
      <c r="H264" s="129"/>
      <c r="I264" s="129"/>
      <c r="J264" s="129"/>
      <c r="K264" s="130"/>
      <c r="L264" s="130"/>
      <c r="M264" s="130"/>
      <c r="N264" s="130"/>
      <c r="O264" s="130"/>
      <c r="P264" s="130"/>
      <c r="Q264" s="130"/>
      <c r="R264" s="130"/>
      <c r="S264" s="130"/>
      <c r="T264" s="130"/>
      <c r="U264" s="130"/>
      <c r="V264" s="130"/>
      <c r="W264" s="130"/>
      <c r="X264" s="130"/>
      <c r="Y264" s="130"/>
      <c r="Z264" s="130"/>
      <c r="AA264" s="130"/>
      <c r="AB264" s="130"/>
      <c r="AC264" s="130"/>
      <c r="AD264" s="130"/>
      <c r="AE264" s="130"/>
      <c r="AF264" s="130"/>
      <c r="AG264" s="130"/>
      <c r="AH264" s="130"/>
      <c r="AI264" s="130"/>
    </row>
    <row r="265" spans="1:39" ht="15.75" thickTop="1">
      <c r="A265" s="97"/>
      <c r="B265" s="131"/>
      <c r="C265" s="132"/>
      <c r="D265" s="132"/>
      <c r="E265" s="132"/>
      <c r="F265" s="132"/>
      <c r="G265" s="132"/>
      <c r="H265" s="132"/>
      <c r="I265" s="132"/>
      <c r="J265" s="132"/>
      <c r="K265" s="132"/>
      <c r="L265" s="133"/>
      <c r="M265" s="133"/>
      <c r="N265" s="132"/>
      <c r="O265" s="132"/>
      <c r="P265" s="132"/>
      <c r="Q265" s="132"/>
      <c r="R265" s="132"/>
      <c r="S265" s="132"/>
      <c r="T265" s="132"/>
      <c r="U265" s="132"/>
      <c r="V265" s="132"/>
      <c r="W265" s="132"/>
      <c r="X265" s="132"/>
      <c r="Y265" s="132"/>
      <c r="Z265" s="132"/>
      <c r="AA265" s="132"/>
      <c r="AB265" s="132"/>
      <c r="AC265" s="132"/>
      <c r="AD265" s="132"/>
      <c r="AE265" s="132"/>
      <c r="AF265" s="132"/>
      <c r="AG265" s="132"/>
      <c r="AH265" s="132"/>
      <c r="AI265" s="132"/>
    </row>
    <row r="266" spans="1:39" ht="15.75" thickBot="1">
      <c r="A266" s="97"/>
      <c r="B266" s="128"/>
      <c r="C266" s="134"/>
      <c r="D266" s="134"/>
      <c r="E266" s="134"/>
      <c r="F266" s="134"/>
      <c r="G266" s="130"/>
      <c r="H266" s="130"/>
      <c r="I266" s="130"/>
      <c r="J266" s="130"/>
      <c r="K266" s="130"/>
      <c r="L266" s="130"/>
      <c r="M266" s="130"/>
      <c r="N266" s="130"/>
      <c r="O266" s="130"/>
      <c r="P266" s="130"/>
      <c r="Q266" s="130"/>
      <c r="R266" s="130"/>
      <c r="S266" s="130"/>
      <c r="T266" s="130"/>
      <c r="U266" s="130"/>
      <c r="V266" s="130"/>
      <c r="W266" s="130"/>
      <c r="X266" s="130"/>
      <c r="Y266" s="130"/>
      <c r="Z266" s="130"/>
      <c r="AA266" s="130"/>
      <c r="AB266" s="130"/>
      <c r="AC266" s="130"/>
      <c r="AD266" s="130"/>
      <c r="AE266" s="130"/>
      <c r="AF266" s="130"/>
      <c r="AG266" s="130"/>
      <c r="AH266" s="130"/>
      <c r="AI266" s="130"/>
    </row>
    <row r="267" spans="1:39" ht="15.75" thickTop="1">
      <c r="A267" s="97"/>
      <c r="B267" s="135"/>
      <c r="C267" s="136"/>
      <c r="D267" s="136"/>
      <c r="E267" s="136"/>
      <c r="F267" s="136"/>
      <c r="G267" s="136"/>
      <c r="H267" s="136"/>
      <c r="I267" s="136"/>
      <c r="J267" s="136"/>
      <c r="K267" s="136"/>
      <c r="L267" s="137"/>
      <c r="M267" s="137"/>
      <c r="N267" s="136"/>
      <c r="O267" s="136"/>
      <c r="P267" s="136"/>
      <c r="Q267" s="136"/>
      <c r="R267" s="136"/>
      <c r="S267" s="136"/>
      <c r="T267" s="136"/>
      <c r="U267" s="136"/>
      <c r="V267" s="136"/>
      <c r="W267" s="136"/>
      <c r="X267" s="136"/>
      <c r="Y267" s="136"/>
      <c r="Z267" s="136"/>
      <c r="AA267" s="136"/>
      <c r="AB267" s="136"/>
      <c r="AC267" s="136"/>
      <c r="AD267" s="136"/>
      <c r="AE267" s="136"/>
      <c r="AF267" s="136"/>
      <c r="AG267" s="136"/>
      <c r="AH267" s="136"/>
      <c r="AI267" s="136"/>
    </row>
    <row r="268" spans="1:39" ht="15.75" thickBot="1">
      <c r="A268" s="97"/>
      <c r="B268" s="128"/>
      <c r="C268" s="130"/>
      <c r="D268" s="130"/>
      <c r="E268" s="130"/>
      <c r="F268" s="130"/>
      <c r="G268" s="130"/>
      <c r="H268" s="130"/>
      <c r="I268" s="130"/>
      <c r="J268" s="130"/>
      <c r="K268" s="130"/>
      <c r="L268" s="130"/>
      <c r="M268" s="130"/>
      <c r="N268" s="130"/>
      <c r="O268" s="130"/>
      <c r="P268" s="130"/>
      <c r="Q268" s="130"/>
      <c r="R268" s="130"/>
      <c r="S268" s="130"/>
      <c r="T268" s="130"/>
      <c r="U268" s="130"/>
      <c r="V268" s="130"/>
      <c r="W268" s="130"/>
      <c r="X268" s="130"/>
      <c r="Y268" s="130"/>
      <c r="Z268" s="130"/>
      <c r="AA268" s="130"/>
      <c r="AB268" s="130"/>
      <c r="AC268" s="130"/>
      <c r="AD268" s="130"/>
      <c r="AE268" s="130"/>
      <c r="AF268" s="130"/>
      <c r="AG268" s="130"/>
      <c r="AH268" s="130"/>
      <c r="AI268" s="130"/>
    </row>
    <row r="269" spans="1:39" ht="15.75" thickTop="1">
      <c r="A269" s="97"/>
      <c r="B269" s="97"/>
      <c r="C269" s="97"/>
      <c r="D269" s="97"/>
      <c r="E269" s="97"/>
      <c r="F269" s="97"/>
      <c r="G269" s="97"/>
      <c r="H269" s="97"/>
      <c r="I269" s="97"/>
      <c r="J269" s="97"/>
      <c r="K269" s="97"/>
      <c r="L269" s="97"/>
      <c r="M269" s="97"/>
      <c r="N269" s="97"/>
      <c r="O269" s="97"/>
      <c r="P269" s="97"/>
      <c r="Q269" s="97"/>
      <c r="R269" s="97"/>
      <c r="S269" s="97"/>
      <c r="T269" s="97"/>
      <c r="U269" s="97"/>
      <c r="V269" s="97"/>
      <c r="W269" s="97"/>
      <c r="X269" s="97"/>
      <c r="Y269" s="97"/>
      <c r="Z269" s="97"/>
      <c r="AA269" s="97"/>
      <c r="AB269" s="97"/>
      <c r="AC269" s="97"/>
      <c r="AD269" s="97"/>
      <c r="AE269" s="97"/>
      <c r="AF269" s="97"/>
      <c r="AG269" s="97"/>
      <c r="AH269" s="97"/>
      <c r="AI269" s="97"/>
    </row>
    <row r="270" spans="1:39" ht="15.75" thickBot="1">
      <c r="A270" s="97"/>
      <c r="B270" s="138"/>
      <c r="C270" s="139"/>
      <c r="D270" s="139"/>
      <c r="E270" s="139"/>
      <c r="F270" s="139"/>
      <c r="G270" s="139"/>
      <c r="H270" s="139"/>
      <c r="I270" s="139"/>
      <c r="J270" s="139"/>
      <c r="K270" s="139"/>
      <c r="L270" s="140"/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39"/>
      <c r="AA270" s="139"/>
      <c r="AB270" s="139"/>
      <c r="AC270" s="139"/>
      <c r="AD270" s="139"/>
      <c r="AE270" s="139"/>
      <c r="AF270" s="139"/>
      <c r="AG270" s="139"/>
      <c r="AH270" s="139"/>
      <c r="AI270" s="139"/>
    </row>
    <row r="271" spans="1:39">
      <c r="A271" s="97"/>
      <c r="B271" s="141"/>
      <c r="C271" s="141"/>
      <c r="D271" s="142"/>
      <c r="E271" s="97"/>
      <c r="F271" s="119"/>
      <c r="G271" s="143"/>
      <c r="H271" s="144"/>
      <c r="I271" s="144"/>
      <c r="J271" s="144"/>
      <c r="K271" s="144"/>
      <c r="L271" s="144"/>
      <c r="M271" s="144"/>
      <c r="N271" s="144"/>
      <c r="O271" s="144"/>
      <c r="P271" s="144"/>
      <c r="Q271" s="144"/>
      <c r="R271" s="144"/>
      <c r="S271" s="144"/>
      <c r="T271" s="144"/>
      <c r="U271" s="144"/>
      <c r="V271" s="144"/>
      <c r="W271" s="144"/>
      <c r="X271" s="144"/>
      <c r="Y271" s="144"/>
      <c r="Z271" s="144"/>
      <c r="AA271" s="144"/>
      <c r="AB271" s="144"/>
      <c r="AC271" s="144"/>
      <c r="AD271" s="144"/>
      <c r="AE271" s="144"/>
      <c r="AF271" s="144"/>
      <c r="AG271" s="144"/>
      <c r="AH271" s="144"/>
      <c r="AI271" s="144"/>
    </row>
    <row r="272" spans="1:39" ht="15.75" thickBot="1">
      <c r="A272" s="97"/>
      <c r="B272" s="141"/>
      <c r="C272" s="119"/>
      <c r="D272" s="145"/>
      <c r="E272" s="97"/>
      <c r="F272" s="146"/>
      <c r="G272" s="141"/>
      <c r="H272" s="147"/>
      <c r="I272" s="147"/>
      <c r="J272" s="147"/>
      <c r="K272" s="147"/>
      <c r="L272" s="148"/>
      <c r="M272" s="147"/>
      <c r="N272" s="147"/>
      <c r="O272" s="147"/>
      <c r="P272" s="147"/>
      <c r="Q272" s="147"/>
      <c r="R272" s="147"/>
      <c r="S272" s="147"/>
      <c r="T272" s="147"/>
      <c r="U272" s="147"/>
      <c r="V272" s="147"/>
      <c r="W272" s="147"/>
      <c r="X272" s="147"/>
      <c r="Y272" s="147"/>
      <c r="Z272" s="147"/>
      <c r="AA272" s="147"/>
      <c r="AB272" s="147"/>
      <c r="AC272" s="147"/>
      <c r="AD272" s="147"/>
      <c r="AE272" s="147"/>
      <c r="AF272" s="147"/>
      <c r="AG272" s="147"/>
      <c r="AH272" s="147"/>
      <c r="AI272" s="147"/>
    </row>
    <row r="273" spans="1:39" ht="15.75" thickTop="1">
      <c r="A273" s="97"/>
      <c r="B273" s="97"/>
      <c r="C273" s="97"/>
      <c r="D273" s="97"/>
      <c r="E273" s="97"/>
      <c r="F273" s="149"/>
      <c r="G273" s="150"/>
      <c r="H273" s="150"/>
      <c r="I273" s="150"/>
      <c r="J273" s="150"/>
      <c r="K273" s="150"/>
      <c r="L273" s="150"/>
      <c r="M273" s="150"/>
      <c r="N273" s="150"/>
      <c r="O273" s="150"/>
      <c r="P273" s="150"/>
      <c r="Q273" s="150"/>
      <c r="R273" s="150"/>
      <c r="S273" s="150"/>
      <c r="T273" s="150"/>
      <c r="U273" s="150"/>
      <c r="V273" s="150"/>
      <c r="W273" s="150"/>
      <c r="X273" s="150"/>
      <c r="Y273" s="150"/>
      <c r="Z273" s="150"/>
      <c r="AA273" s="150"/>
      <c r="AB273" s="150"/>
      <c r="AC273" s="150"/>
      <c r="AD273" s="150"/>
      <c r="AE273" s="150"/>
      <c r="AF273" s="150"/>
      <c r="AG273" s="150"/>
      <c r="AH273" s="150"/>
      <c r="AI273" s="150"/>
    </row>
    <row r="274" spans="1:39">
      <c r="A274" s="97"/>
      <c r="B274" s="372"/>
      <c r="C274" s="372"/>
      <c r="D274" s="372"/>
      <c r="E274" s="97"/>
      <c r="F274" s="112"/>
      <c r="G274" s="151"/>
      <c r="H274" s="151"/>
      <c r="I274" s="151"/>
      <c r="J274" s="151"/>
      <c r="K274" s="151"/>
      <c r="L274" s="151"/>
      <c r="M274" s="151"/>
      <c r="N274" s="151"/>
      <c r="O274" s="151"/>
      <c r="P274" s="151"/>
      <c r="Q274" s="151"/>
      <c r="R274" s="151"/>
      <c r="S274" s="165"/>
      <c r="T274" s="165"/>
      <c r="U274" s="165"/>
      <c r="V274" s="165"/>
      <c r="W274" s="165"/>
      <c r="X274" s="165"/>
      <c r="Y274" s="165"/>
      <c r="Z274" s="165"/>
      <c r="AA274" s="165"/>
      <c r="AB274" s="165"/>
      <c r="AC274" s="165"/>
      <c r="AD274" s="165"/>
      <c r="AE274" s="165"/>
      <c r="AF274" s="165"/>
      <c r="AG274" s="165"/>
      <c r="AH274" s="165"/>
      <c r="AI274" s="165"/>
    </row>
    <row r="275" spans="1:39" ht="15.75" thickBot="1">
      <c r="A275" s="97"/>
      <c r="B275" s="372"/>
      <c r="C275" s="372"/>
      <c r="D275" s="372"/>
      <c r="E275" s="97"/>
      <c r="F275" s="112"/>
      <c r="G275" s="152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  <c r="AH275" s="153"/>
      <c r="AI275" s="153"/>
    </row>
    <row r="276" spans="1:39" ht="15.75" thickTop="1">
      <c r="A276" s="97"/>
      <c r="B276" s="372"/>
      <c r="C276" s="372"/>
      <c r="D276" s="372"/>
      <c r="E276" s="97"/>
      <c r="F276" s="141"/>
      <c r="G276" s="154"/>
      <c r="H276" s="154"/>
      <c r="I276" s="154"/>
      <c r="J276" s="154"/>
      <c r="K276" s="154"/>
      <c r="L276" s="154"/>
      <c r="M276" s="154"/>
      <c r="N276" s="154"/>
      <c r="O276" s="154"/>
      <c r="P276" s="154"/>
      <c r="Q276" s="154"/>
      <c r="R276" s="154"/>
      <c r="S276" s="154"/>
      <c r="T276" s="154"/>
      <c r="U276" s="154"/>
      <c r="V276" s="154"/>
      <c r="W276" s="154"/>
      <c r="X276" s="154"/>
      <c r="Y276" s="154"/>
      <c r="Z276" s="154"/>
      <c r="AA276" s="154"/>
      <c r="AB276" s="154"/>
      <c r="AC276" s="154"/>
      <c r="AD276" s="154"/>
      <c r="AE276" s="154"/>
      <c r="AF276" s="154"/>
      <c r="AG276" s="154"/>
      <c r="AH276" s="154"/>
      <c r="AI276" s="154"/>
    </row>
    <row r="277" spans="1:39" ht="15.75" thickBot="1">
      <c r="A277" s="97"/>
      <c r="B277" s="372"/>
      <c r="C277" s="372"/>
      <c r="D277" s="372"/>
      <c r="E277" s="97"/>
      <c r="F277" s="155"/>
      <c r="G277" s="156"/>
      <c r="H277" s="156"/>
      <c r="I277" s="156"/>
      <c r="J277" s="156"/>
      <c r="K277" s="156"/>
      <c r="L277" s="157"/>
      <c r="M277" s="156"/>
      <c r="N277" s="156"/>
      <c r="O277" s="156"/>
      <c r="P277" s="156"/>
      <c r="Q277" s="156"/>
      <c r="R277" s="156"/>
      <c r="S277" s="156"/>
      <c r="T277" s="156"/>
      <c r="U277" s="156"/>
      <c r="V277" s="156"/>
      <c r="W277" s="156"/>
      <c r="X277" s="156"/>
      <c r="Y277" s="156"/>
      <c r="Z277" s="156"/>
      <c r="AA277" s="156"/>
      <c r="AB277" s="156"/>
      <c r="AC277" s="156"/>
      <c r="AD277" s="156"/>
      <c r="AE277" s="156"/>
      <c r="AF277" s="156"/>
      <c r="AG277" s="156"/>
      <c r="AH277" s="156"/>
      <c r="AI277" s="156"/>
    </row>
    <row r="278" spans="1:39">
      <c r="A278" s="97"/>
      <c r="B278" s="372"/>
      <c r="C278" s="372"/>
      <c r="D278" s="372"/>
      <c r="E278" s="97"/>
      <c r="F278" s="158"/>
      <c r="G278" s="159"/>
      <c r="H278" s="159"/>
      <c r="I278" s="159"/>
      <c r="J278" s="159"/>
      <c r="K278" s="159"/>
      <c r="L278" s="160"/>
      <c r="M278" s="160"/>
      <c r="N278" s="159"/>
      <c r="O278" s="159"/>
      <c r="P278" s="159"/>
      <c r="Q278" s="159"/>
      <c r="R278" s="159"/>
      <c r="S278" s="159"/>
      <c r="T278" s="159"/>
      <c r="U278" s="159"/>
      <c r="V278" s="159"/>
      <c r="W278" s="159"/>
      <c r="X278" s="159"/>
      <c r="Y278" s="159"/>
      <c r="Z278" s="159"/>
      <c r="AA278" s="159"/>
      <c r="AB278" s="159"/>
      <c r="AC278" s="159"/>
      <c r="AD278" s="159"/>
      <c r="AE278" s="159"/>
      <c r="AF278" s="159"/>
      <c r="AG278" s="159"/>
      <c r="AH278" s="159"/>
      <c r="AI278" s="159"/>
    </row>
    <row r="279" spans="1:39">
      <c r="A279" s="97"/>
      <c r="B279" s="372"/>
      <c r="C279" s="372"/>
      <c r="D279" s="372"/>
      <c r="E279" s="97"/>
      <c r="F279" s="161"/>
      <c r="G279" s="162"/>
      <c r="H279" s="162"/>
      <c r="I279" s="162"/>
      <c r="J279" s="162"/>
      <c r="K279" s="162"/>
      <c r="L279" s="162"/>
      <c r="M279" s="162"/>
      <c r="N279" s="162"/>
      <c r="O279" s="162"/>
      <c r="P279" s="162"/>
      <c r="Q279" s="162"/>
      <c r="R279" s="162"/>
      <c r="S279" s="162"/>
      <c r="T279" s="162"/>
      <c r="U279" s="162"/>
      <c r="V279" s="162"/>
      <c r="W279" s="162"/>
      <c r="X279" s="162"/>
      <c r="Y279" s="162"/>
      <c r="Z279" s="162"/>
      <c r="AA279" s="162"/>
      <c r="AB279" s="162"/>
      <c r="AC279" s="162"/>
      <c r="AD279" s="162"/>
      <c r="AE279" s="162"/>
      <c r="AF279" s="162"/>
      <c r="AG279" s="162"/>
      <c r="AH279" s="162"/>
      <c r="AI279" s="162"/>
    </row>
    <row r="280" spans="1:39">
      <c r="A280" s="97"/>
      <c r="B280" s="372"/>
      <c r="C280" s="372"/>
      <c r="D280" s="372"/>
      <c r="E280" s="97"/>
      <c r="F280" s="161"/>
      <c r="G280" s="132"/>
      <c r="H280" s="132"/>
      <c r="I280" s="132"/>
      <c r="J280" s="132"/>
      <c r="K280" s="132"/>
      <c r="L280" s="133"/>
      <c r="M280" s="133"/>
      <c r="N280" s="132"/>
      <c r="O280" s="132"/>
      <c r="P280" s="132"/>
      <c r="Q280" s="132"/>
      <c r="R280" s="132"/>
      <c r="S280" s="132"/>
      <c r="T280" s="132"/>
      <c r="U280" s="132"/>
      <c r="V280" s="132"/>
      <c r="W280" s="132"/>
      <c r="X280" s="132"/>
      <c r="Y280" s="132"/>
      <c r="Z280" s="132"/>
      <c r="AA280" s="132"/>
      <c r="AB280" s="132"/>
      <c r="AC280" s="132"/>
      <c r="AD280" s="132"/>
      <c r="AE280" s="132"/>
      <c r="AF280" s="132"/>
      <c r="AG280" s="132"/>
      <c r="AH280" s="132"/>
      <c r="AI280" s="132"/>
    </row>
    <row r="281" spans="1:39">
      <c r="A281" s="97"/>
      <c r="B281" s="372"/>
      <c r="C281" s="372"/>
      <c r="D281" s="372"/>
      <c r="E281" s="97"/>
      <c r="F281" s="161"/>
      <c r="G281" s="132"/>
      <c r="H281" s="132"/>
      <c r="I281" s="132"/>
      <c r="J281" s="132"/>
      <c r="K281" s="132"/>
      <c r="L281" s="133"/>
      <c r="M281" s="133"/>
      <c r="N281" s="132"/>
      <c r="O281" s="132"/>
      <c r="P281" s="132"/>
      <c r="Q281" s="132"/>
      <c r="R281" s="132"/>
      <c r="S281" s="132"/>
      <c r="T281" s="132"/>
      <c r="U281" s="132"/>
      <c r="V281" s="132"/>
      <c r="W281" s="132"/>
      <c r="X281" s="132"/>
      <c r="Y281" s="132"/>
      <c r="Z281" s="132"/>
      <c r="AA281" s="132"/>
      <c r="AB281" s="132"/>
      <c r="AC281" s="132"/>
      <c r="AD281" s="132"/>
      <c r="AE281" s="132"/>
      <c r="AF281" s="132"/>
      <c r="AG281" s="132"/>
      <c r="AH281" s="132"/>
      <c r="AI281" s="132"/>
    </row>
    <row r="282" spans="1:39">
      <c r="A282" s="97"/>
      <c r="B282" s="372"/>
      <c r="C282" s="372"/>
      <c r="D282" s="372"/>
      <c r="E282" s="97"/>
      <c r="F282" s="161"/>
      <c r="G282" s="132"/>
      <c r="H282" s="132"/>
      <c r="I282" s="132"/>
      <c r="J282" s="132"/>
      <c r="K282" s="132"/>
      <c r="L282" s="133"/>
      <c r="M282" s="133"/>
      <c r="N282" s="132"/>
      <c r="O282" s="132"/>
      <c r="P282" s="132"/>
      <c r="Q282" s="132"/>
      <c r="R282" s="132"/>
      <c r="S282" s="132"/>
      <c r="T282" s="132"/>
      <c r="U282" s="132"/>
      <c r="V282" s="132"/>
      <c r="W282" s="132"/>
      <c r="X282" s="132"/>
      <c r="Y282" s="132"/>
      <c r="Z282" s="132"/>
      <c r="AA282" s="132"/>
      <c r="AB282" s="132"/>
      <c r="AC282" s="132"/>
      <c r="AD282" s="132"/>
      <c r="AE282" s="132"/>
      <c r="AF282" s="132"/>
      <c r="AG282" s="132"/>
      <c r="AH282" s="132"/>
      <c r="AI282" s="132"/>
    </row>
    <row r="283" spans="1:39" ht="15.75" thickBot="1">
      <c r="A283" s="97"/>
      <c r="B283" s="372"/>
      <c r="C283" s="372"/>
      <c r="D283" s="372"/>
      <c r="E283" s="97"/>
      <c r="F283" s="163"/>
      <c r="G283" s="129"/>
      <c r="H283" s="129"/>
      <c r="I283" s="129"/>
      <c r="J283" s="129"/>
      <c r="K283" s="129"/>
      <c r="L283" s="164"/>
      <c r="M283" s="129"/>
      <c r="N283" s="129"/>
      <c r="O283" s="129"/>
      <c r="P283" s="129"/>
      <c r="Q283" s="129"/>
      <c r="R283" s="129"/>
      <c r="S283" s="129"/>
      <c r="T283" s="129"/>
      <c r="U283" s="129"/>
      <c r="V283" s="129"/>
      <c r="W283" s="129"/>
      <c r="X283" s="129"/>
      <c r="Y283" s="129"/>
      <c r="Z283" s="129"/>
      <c r="AA283" s="129"/>
      <c r="AB283" s="129"/>
      <c r="AC283" s="129"/>
      <c r="AD283" s="129"/>
      <c r="AE283" s="129"/>
      <c r="AF283" s="129"/>
      <c r="AG283" s="129"/>
      <c r="AH283" s="129"/>
      <c r="AI283" s="129"/>
    </row>
    <row r="284" spans="1:39" ht="15.75" thickTop="1">
      <c r="A284" s="100"/>
      <c r="B284" s="100"/>
      <c r="C284" s="100"/>
      <c r="D284" s="100"/>
      <c r="E284" s="100"/>
      <c r="F284" s="100"/>
      <c r="G284" s="100"/>
      <c r="H284" s="100"/>
      <c r="I284" s="100"/>
      <c r="J284" s="100"/>
      <c r="K284" s="100"/>
      <c r="L284" s="100"/>
      <c r="M284" s="166"/>
      <c r="N284" s="166"/>
      <c r="O284" s="166"/>
      <c r="P284" s="166"/>
      <c r="Q284" s="100"/>
      <c r="R284" s="166"/>
      <c r="S284" s="166"/>
      <c r="T284" s="100"/>
      <c r="U284" s="166"/>
      <c r="V284" s="102"/>
      <c r="W284" s="102"/>
      <c r="X284" s="102"/>
      <c r="Y284" s="102"/>
      <c r="Z284" s="102"/>
      <c r="AA284" s="102"/>
      <c r="AB284" s="102"/>
      <c r="AC284" s="102"/>
      <c r="AD284" s="102"/>
      <c r="AE284" s="102"/>
      <c r="AF284" s="102"/>
      <c r="AG284" s="102"/>
      <c r="AH284" s="102"/>
      <c r="AI284" s="102"/>
    </row>
    <row r="285" spans="1:39">
      <c r="A285" s="97"/>
      <c r="B285" s="97"/>
      <c r="C285" s="97"/>
      <c r="D285" s="97"/>
      <c r="E285" s="97"/>
      <c r="F285" s="100"/>
      <c r="G285" s="97"/>
      <c r="H285" s="97"/>
      <c r="I285" s="97"/>
      <c r="J285" s="97"/>
      <c r="K285" s="97"/>
      <c r="L285" s="97"/>
      <c r="M285" s="167"/>
      <c r="N285" s="167"/>
      <c r="O285" s="167"/>
      <c r="P285" s="167"/>
      <c r="Q285" s="97"/>
      <c r="R285" s="167"/>
      <c r="S285" s="167"/>
      <c r="T285" s="97"/>
      <c r="U285" s="167"/>
      <c r="V285" s="98"/>
      <c r="W285" s="98"/>
      <c r="X285" s="98"/>
      <c r="Y285" s="98"/>
      <c r="Z285" s="98"/>
      <c r="AA285" s="98"/>
      <c r="AB285" s="98"/>
      <c r="AC285" s="98"/>
      <c r="AD285" s="98"/>
      <c r="AE285" s="98"/>
      <c r="AF285" s="98"/>
      <c r="AG285" s="98"/>
      <c r="AH285" s="98"/>
      <c r="AI285" s="98"/>
    </row>
    <row r="286" spans="1:39">
      <c r="A286" s="97"/>
      <c r="B286" s="116"/>
      <c r="C286" s="97"/>
      <c r="D286" s="117"/>
      <c r="E286" s="118"/>
      <c r="F286" s="119"/>
      <c r="G286" s="120"/>
      <c r="H286" s="97"/>
      <c r="I286" s="97"/>
      <c r="J286" s="97"/>
      <c r="K286" s="97"/>
      <c r="L286" s="97"/>
      <c r="M286" s="97"/>
      <c r="N286" s="97"/>
      <c r="O286" s="97"/>
      <c r="P286" s="97"/>
      <c r="Q286" s="97"/>
      <c r="R286" s="97"/>
      <c r="S286" s="97"/>
      <c r="T286" s="97"/>
      <c r="U286" s="97"/>
      <c r="V286" s="98"/>
      <c r="W286" s="98"/>
      <c r="X286" s="98"/>
      <c r="Y286" s="98"/>
      <c r="Z286" s="98"/>
      <c r="AA286" s="98"/>
      <c r="AB286" s="98"/>
      <c r="AC286" s="98"/>
      <c r="AD286" s="98"/>
      <c r="AE286" s="98"/>
      <c r="AF286" s="98"/>
      <c r="AG286" s="98"/>
      <c r="AH286" s="98"/>
      <c r="AI286" s="98"/>
    </row>
    <row r="287" spans="1:39">
      <c r="A287" s="97"/>
      <c r="B287" s="168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  <c r="T287" s="113"/>
      <c r="U287" s="113"/>
      <c r="V287" s="113"/>
      <c r="W287" s="113"/>
      <c r="X287" s="113"/>
      <c r="Y287" s="113"/>
      <c r="Z287" s="113"/>
      <c r="AA287" s="113"/>
      <c r="AB287" s="113"/>
      <c r="AC287" s="113"/>
      <c r="AD287" s="113"/>
      <c r="AE287" s="113"/>
      <c r="AF287" s="113"/>
      <c r="AG287" s="113"/>
      <c r="AH287" s="113"/>
      <c r="AI287" s="113"/>
      <c r="AJ287"/>
      <c r="AK287"/>
      <c r="AL287"/>
      <c r="AM287"/>
    </row>
    <row r="288" spans="1:39" ht="15.75" thickBot="1">
      <c r="A288" s="97"/>
      <c r="B288" s="121"/>
      <c r="C288" s="122"/>
      <c r="D288" s="122"/>
      <c r="E288" s="122"/>
      <c r="F288" s="123"/>
      <c r="G288" s="123"/>
      <c r="H288" s="123"/>
      <c r="I288" s="123"/>
      <c r="J288" s="123"/>
      <c r="K288" s="123"/>
      <c r="L288" s="123"/>
      <c r="M288" s="123"/>
      <c r="N288" s="123"/>
      <c r="O288" s="123"/>
      <c r="P288" s="123"/>
      <c r="Q288" s="123"/>
      <c r="R288" s="123"/>
      <c r="S288" s="123"/>
      <c r="T288" s="123"/>
      <c r="U288" s="123"/>
      <c r="V288" s="123"/>
      <c r="W288" s="123"/>
      <c r="X288" s="123"/>
      <c r="Y288" s="123"/>
      <c r="Z288" s="123"/>
      <c r="AA288" s="123"/>
      <c r="AB288" s="123"/>
      <c r="AC288" s="123"/>
      <c r="AD288" s="123"/>
      <c r="AE288" s="123"/>
      <c r="AF288" s="123"/>
      <c r="AG288" s="123"/>
      <c r="AH288" s="123"/>
      <c r="AI288" s="123"/>
    </row>
    <row r="289" spans="1:35">
      <c r="A289" s="97"/>
      <c r="B289" s="124"/>
      <c r="C289" s="125"/>
      <c r="D289" s="125"/>
      <c r="E289" s="125"/>
      <c r="F289" s="125"/>
      <c r="G289" s="125"/>
      <c r="H289" s="125"/>
      <c r="I289" s="125"/>
      <c r="J289" s="125"/>
      <c r="K289" s="126"/>
      <c r="L289" s="127"/>
      <c r="M289" s="127"/>
      <c r="N289" s="126"/>
      <c r="O289" s="126"/>
      <c r="P289" s="126"/>
      <c r="Q289" s="126"/>
      <c r="R289" s="126"/>
      <c r="S289" s="126"/>
      <c r="T289" s="126"/>
      <c r="U289" s="126"/>
      <c r="V289" s="126"/>
      <c r="W289" s="126"/>
      <c r="X289" s="126"/>
      <c r="Y289" s="126"/>
      <c r="Z289" s="126"/>
      <c r="AA289" s="126"/>
      <c r="AB289" s="126"/>
      <c r="AC289" s="126"/>
      <c r="AD289" s="126"/>
      <c r="AE289" s="126"/>
      <c r="AF289" s="126"/>
      <c r="AG289" s="126"/>
      <c r="AH289" s="126"/>
      <c r="AI289" s="126"/>
    </row>
    <row r="290" spans="1:35" ht="15.75" thickBot="1">
      <c r="A290" s="97"/>
      <c r="B290" s="128"/>
      <c r="C290" s="129"/>
      <c r="D290" s="129"/>
      <c r="E290" s="129"/>
      <c r="F290" s="129"/>
      <c r="G290" s="129"/>
      <c r="H290" s="129"/>
      <c r="I290" s="129"/>
      <c r="J290" s="129"/>
      <c r="K290" s="130"/>
      <c r="L290" s="130"/>
      <c r="M290" s="130"/>
      <c r="N290" s="130"/>
      <c r="O290" s="130"/>
      <c r="P290" s="130"/>
      <c r="Q290" s="130"/>
      <c r="R290" s="130"/>
      <c r="S290" s="130"/>
      <c r="T290" s="130"/>
      <c r="U290" s="130"/>
      <c r="V290" s="130"/>
      <c r="W290" s="130"/>
      <c r="X290" s="130"/>
      <c r="Y290" s="130"/>
      <c r="Z290" s="130"/>
      <c r="AA290" s="130"/>
      <c r="AB290" s="130"/>
      <c r="AC290" s="130"/>
      <c r="AD290" s="130"/>
      <c r="AE290" s="130"/>
      <c r="AF290" s="130"/>
      <c r="AG290" s="130"/>
      <c r="AH290" s="130"/>
      <c r="AI290" s="130"/>
    </row>
    <row r="291" spans="1:35" ht="15.75" thickTop="1">
      <c r="A291" s="97"/>
      <c r="B291" s="131"/>
      <c r="C291" s="132"/>
      <c r="D291" s="132"/>
      <c r="E291" s="132"/>
      <c r="F291" s="132"/>
      <c r="G291" s="132"/>
      <c r="H291" s="132"/>
      <c r="I291" s="132"/>
      <c r="J291" s="132"/>
      <c r="K291" s="132"/>
      <c r="L291" s="133"/>
      <c r="M291" s="133"/>
      <c r="N291" s="132"/>
      <c r="O291" s="132"/>
      <c r="P291" s="132"/>
      <c r="Q291" s="132"/>
      <c r="R291" s="132"/>
      <c r="S291" s="132"/>
      <c r="T291" s="132"/>
      <c r="U291" s="132"/>
      <c r="V291" s="132"/>
      <c r="W291" s="132"/>
      <c r="X291" s="132"/>
      <c r="Y291" s="132"/>
      <c r="Z291" s="132"/>
      <c r="AA291" s="132"/>
      <c r="AB291" s="132"/>
      <c r="AC291" s="132"/>
      <c r="AD291" s="132"/>
      <c r="AE291" s="132"/>
      <c r="AF291" s="132"/>
      <c r="AG291" s="132"/>
      <c r="AH291" s="132"/>
      <c r="AI291" s="132"/>
    </row>
    <row r="292" spans="1:35" ht="15.75" thickBot="1">
      <c r="A292" s="97"/>
      <c r="B292" s="128"/>
      <c r="C292" s="134"/>
      <c r="D292" s="134"/>
      <c r="E292" s="134"/>
      <c r="F292" s="134"/>
      <c r="G292" s="130"/>
      <c r="H292" s="130"/>
      <c r="I292" s="130"/>
      <c r="J292" s="130"/>
      <c r="K292" s="130"/>
      <c r="L292" s="130"/>
      <c r="M292" s="130"/>
      <c r="N292" s="130"/>
      <c r="O292" s="130"/>
      <c r="P292" s="130"/>
      <c r="Q292" s="130"/>
      <c r="R292" s="130"/>
      <c r="S292" s="130"/>
      <c r="T292" s="130"/>
      <c r="U292" s="130"/>
      <c r="V292" s="130"/>
      <c r="W292" s="130"/>
      <c r="X292" s="130"/>
      <c r="Y292" s="130"/>
      <c r="Z292" s="130"/>
      <c r="AA292" s="130"/>
      <c r="AB292" s="130"/>
      <c r="AC292" s="130"/>
      <c r="AD292" s="130"/>
      <c r="AE292" s="130"/>
      <c r="AF292" s="130"/>
      <c r="AG292" s="130"/>
      <c r="AH292" s="130"/>
      <c r="AI292" s="130"/>
    </row>
    <row r="293" spans="1:35" ht="15.75" thickTop="1">
      <c r="A293" s="97"/>
      <c r="B293" s="135"/>
      <c r="C293" s="136"/>
      <c r="D293" s="136"/>
      <c r="E293" s="136"/>
      <c r="F293" s="136"/>
      <c r="G293" s="136"/>
      <c r="H293" s="136"/>
      <c r="I293" s="136"/>
      <c r="J293" s="136"/>
      <c r="K293" s="136"/>
      <c r="L293" s="137"/>
      <c r="M293" s="137"/>
      <c r="N293" s="136"/>
      <c r="O293" s="136"/>
      <c r="P293" s="136"/>
      <c r="Q293" s="136"/>
      <c r="R293" s="136"/>
      <c r="S293" s="136"/>
      <c r="T293" s="136"/>
      <c r="U293" s="136"/>
      <c r="V293" s="136"/>
      <c r="W293" s="136"/>
      <c r="X293" s="136"/>
      <c r="Y293" s="136"/>
      <c r="Z293" s="136"/>
      <c r="AA293" s="136"/>
      <c r="AB293" s="136"/>
      <c r="AC293" s="136"/>
      <c r="AD293" s="136"/>
      <c r="AE293" s="136"/>
      <c r="AF293" s="136"/>
      <c r="AG293" s="136"/>
      <c r="AH293" s="136"/>
      <c r="AI293" s="136"/>
    </row>
    <row r="294" spans="1:35" ht="15.75" thickBot="1">
      <c r="A294" s="97"/>
      <c r="B294" s="128"/>
      <c r="C294" s="130"/>
      <c r="D294" s="130"/>
      <c r="E294" s="130"/>
      <c r="F294" s="130"/>
      <c r="G294" s="130"/>
      <c r="H294" s="130"/>
      <c r="I294" s="130"/>
      <c r="J294" s="130"/>
      <c r="K294" s="130"/>
      <c r="L294" s="130"/>
      <c r="M294" s="130"/>
      <c r="N294" s="130"/>
      <c r="O294" s="130"/>
      <c r="P294" s="130"/>
      <c r="Q294" s="130"/>
      <c r="R294" s="130"/>
      <c r="S294" s="130"/>
      <c r="T294" s="130"/>
      <c r="U294" s="130"/>
      <c r="V294" s="130"/>
      <c r="W294" s="130"/>
      <c r="X294" s="130"/>
      <c r="Y294" s="130"/>
      <c r="Z294" s="130"/>
      <c r="AA294" s="130"/>
      <c r="AB294" s="130"/>
      <c r="AC294" s="130"/>
      <c r="AD294" s="130"/>
      <c r="AE294" s="130"/>
      <c r="AF294" s="130"/>
      <c r="AG294" s="130"/>
      <c r="AH294" s="130"/>
      <c r="AI294" s="130"/>
    </row>
    <row r="295" spans="1:35" ht="15.75" thickTop="1">
      <c r="A295" s="97"/>
      <c r="B295" s="97"/>
      <c r="C295" s="97"/>
      <c r="D295" s="97"/>
      <c r="E295" s="97"/>
      <c r="F295" s="97"/>
      <c r="G295" s="97"/>
      <c r="H295" s="97"/>
      <c r="I295" s="97"/>
      <c r="J295" s="97"/>
      <c r="K295" s="97"/>
      <c r="L295" s="97"/>
      <c r="M295" s="97"/>
      <c r="N295" s="97"/>
      <c r="O295" s="97"/>
      <c r="P295" s="97"/>
      <c r="Q295" s="97"/>
      <c r="R295" s="97"/>
      <c r="S295" s="97"/>
      <c r="T295" s="97"/>
      <c r="U295" s="97"/>
      <c r="V295" s="97"/>
      <c r="W295" s="97"/>
      <c r="X295" s="97"/>
      <c r="Y295" s="97"/>
      <c r="Z295" s="97"/>
      <c r="AA295" s="97"/>
      <c r="AB295" s="97"/>
      <c r="AC295" s="97"/>
      <c r="AD295" s="97"/>
      <c r="AE295" s="97"/>
      <c r="AF295" s="97"/>
      <c r="AG295" s="97"/>
      <c r="AH295" s="97"/>
      <c r="AI295" s="97"/>
    </row>
    <row r="296" spans="1:35" ht="15.75" thickBot="1">
      <c r="A296" s="97"/>
      <c r="B296" s="138"/>
      <c r="C296" s="139"/>
      <c r="D296" s="139"/>
      <c r="E296" s="139"/>
      <c r="F296" s="139"/>
      <c r="G296" s="139"/>
      <c r="H296" s="139"/>
      <c r="I296" s="139"/>
      <c r="J296" s="139"/>
      <c r="K296" s="139"/>
      <c r="L296" s="140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39"/>
      <c r="AA296" s="139"/>
      <c r="AB296" s="139"/>
      <c r="AC296" s="139"/>
      <c r="AD296" s="139"/>
      <c r="AE296" s="139"/>
      <c r="AF296" s="139"/>
      <c r="AG296" s="139"/>
      <c r="AH296" s="139"/>
      <c r="AI296" s="139"/>
    </row>
    <row r="297" spans="1:35">
      <c r="A297" s="97"/>
      <c r="B297" s="141"/>
      <c r="C297" s="141"/>
      <c r="D297" s="142"/>
      <c r="E297" s="97"/>
      <c r="F297" s="119"/>
      <c r="G297" s="143"/>
      <c r="H297" s="144"/>
      <c r="I297" s="144"/>
      <c r="J297" s="144"/>
      <c r="K297" s="144"/>
      <c r="L297" s="144"/>
      <c r="M297" s="144"/>
      <c r="N297" s="144"/>
      <c r="O297" s="144"/>
      <c r="P297" s="144"/>
      <c r="Q297" s="144"/>
      <c r="R297" s="144"/>
      <c r="S297" s="144"/>
      <c r="T297" s="144"/>
      <c r="U297" s="144"/>
      <c r="V297" s="144"/>
      <c r="W297" s="144"/>
      <c r="X297" s="144"/>
      <c r="Y297" s="144"/>
      <c r="Z297" s="144"/>
      <c r="AA297" s="144"/>
      <c r="AB297" s="144"/>
      <c r="AC297" s="144"/>
      <c r="AD297" s="144"/>
      <c r="AE297" s="144"/>
      <c r="AF297" s="144"/>
      <c r="AG297" s="144"/>
      <c r="AH297" s="144"/>
      <c r="AI297" s="144"/>
    </row>
    <row r="298" spans="1:35" ht="15.75" thickBot="1">
      <c r="A298" s="97"/>
      <c r="B298" s="141"/>
      <c r="C298" s="119"/>
      <c r="D298" s="145"/>
      <c r="E298" s="97"/>
      <c r="F298" s="146"/>
      <c r="G298" s="141"/>
      <c r="H298" s="147"/>
      <c r="I298" s="147"/>
      <c r="J298" s="147"/>
      <c r="K298" s="147"/>
      <c r="L298" s="148"/>
      <c r="M298" s="147"/>
      <c r="N298" s="147"/>
      <c r="O298" s="147"/>
      <c r="P298" s="147"/>
      <c r="Q298" s="147"/>
      <c r="R298" s="147"/>
      <c r="S298" s="147"/>
      <c r="T298" s="147"/>
      <c r="U298" s="147"/>
      <c r="V298" s="147"/>
      <c r="W298" s="147"/>
      <c r="X298" s="147"/>
      <c r="Y298" s="147"/>
      <c r="Z298" s="147"/>
      <c r="AA298" s="147"/>
      <c r="AB298" s="147"/>
      <c r="AC298" s="147"/>
      <c r="AD298" s="147"/>
      <c r="AE298" s="147"/>
      <c r="AF298" s="147"/>
      <c r="AG298" s="147"/>
      <c r="AH298" s="147"/>
      <c r="AI298" s="147"/>
    </row>
    <row r="299" spans="1:35" ht="15.75" thickTop="1">
      <c r="A299" s="97"/>
      <c r="B299" s="97"/>
      <c r="C299" s="97"/>
      <c r="D299" s="97"/>
      <c r="E299" s="97"/>
      <c r="F299" s="149"/>
      <c r="G299" s="150"/>
      <c r="H299" s="150"/>
      <c r="I299" s="150"/>
      <c r="J299" s="150"/>
      <c r="K299" s="150"/>
      <c r="L299" s="150"/>
      <c r="M299" s="150"/>
      <c r="N299" s="150"/>
      <c r="O299" s="150"/>
      <c r="P299" s="150"/>
      <c r="Q299" s="150"/>
      <c r="R299" s="150"/>
      <c r="S299" s="150"/>
      <c r="T299" s="150"/>
      <c r="U299" s="150"/>
      <c r="V299" s="150"/>
      <c r="W299" s="150"/>
      <c r="X299" s="150"/>
      <c r="Y299" s="150"/>
      <c r="Z299" s="150"/>
      <c r="AA299" s="150"/>
      <c r="AB299" s="150"/>
      <c r="AC299" s="150"/>
      <c r="AD299" s="150"/>
      <c r="AE299" s="150"/>
      <c r="AF299" s="150"/>
      <c r="AG299" s="150"/>
      <c r="AH299" s="150"/>
      <c r="AI299" s="150"/>
    </row>
    <row r="300" spans="1:35">
      <c r="A300" s="97"/>
      <c r="B300" s="372"/>
      <c r="C300" s="372"/>
      <c r="D300" s="372"/>
      <c r="E300" s="97"/>
      <c r="F300" s="112"/>
      <c r="G300" s="151"/>
      <c r="H300" s="151"/>
      <c r="I300" s="151"/>
      <c r="J300" s="151"/>
      <c r="K300" s="151"/>
      <c r="L300" s="151"/>
      <c r="M300" s="151"/>
      <c r="N300" s="151"/>
      <c r="O300" s="151"/>
      <c r="P300" s="151"/>
      <c r="Q300" s="151"/>
      <c r="R300" s="151"/>
      <c r="S300" s="165"/>
      <c r="T300" s="165"/>
      <c r="U300" s="165"/>
      <c r="V300" s="165"/>
      <c r="W300" s="165"/>
      <c r="X300" s="165"/>
      <c r="Y300" s="165"/>
      <c r="Z300" s="165"/>
      <c r="AA300" s="165"/>
      <c r="AB300" s="165"/>
      <c r="AC300" s="165"/>
      <c r="AD300" s="165"/>
      <c r="AE300" s="165"/>
      <c r="AF300" s="165"/>
      <c r="AG300" s="165"/>
      <c r="AH300" s="165"/>
      <c r="AI300" s="165"/>
    </row>
    <row r="301" spans="1:35" ht="15.75" thickBot="1">
      <c r="A301" s="97"/>
      <c r="B301" s="372"/>
      <c r="C301" s="372"/>
      <c r="D301" s="372"/>
      <c r="E301" s="97"/>
      <c r="F301" s="112"/>
      <c r="G301" s="152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  <c r="AH301" s="153"/>
      <c r="AI301" s="153"/>
    </row>
    <row r="302" spans="1:35" ht="15.75" thickTop="1">
      <c r="A302" s="97"/>
      <c r="B302" s="372"/>
      <c r="C302" s="372"/>
      <c r="D302" s="372"/>
      <c r="E302" s="97"/>
      <c r="F302" s="141"/>
      <c r="G302" s="154"/>
      <c r="H302" s="154"/>
      <c r="I302" s="154"/>
      <c r="J302" s="154"/>
      <c r="K302" s="154"/>
      <c r="L302" s="154"/>
      <c r="M302" s="154"/>
      <c r="N302" s="154"/>
      <c r="O302" s="154"/>
      <c r="P302" s="154"/>
      <c r="Q302" s="154"/>
      <c r="R302" s="154"/>
      <c r="S302" s="154"/>
      <c r="T302" s="154"/>
      <c r="U302" s="154"/>
      <c r="V302" s="154"/>
      <c r="W302" s="154"/>
      <c r="X302" s="154"/>
      <c r="Y302" s="154"/>
      <c r="Z302" s="154"/>
      <c r="AA302" s="154"/>
      <c r="AB302" s="154"/>
      <c r="AC302" s="154"/>
      <c r="AD302" s="154"/>
      <c r="AE302" s="154"/>
      <c r="AF302" s="154"/>
      <c r="AG302" s="154"/>
      <c r="AH302" s="154"/>
      <c r="AI302" s="154"/>
    </row>
    <row r="303" spans="1:35" ht="15.75" thickBot="1">
      <c r="A303" s="97"/>
      <c r="B303" s="372"/>
      <c r="C303" s="372"/>
      <c r="D303" s="372"/>
      <c r="E303" s="97"/>
      <c r="F303" s="155"/>
      <c r="G303" s="156"/>
      <c r="H303" s="156"/>
      <c r="I303" s="156"/>
      <c r="J303" s="156"/>
      <c r="K303" s="156"/>
      <c r="L303" s="157"/>
      <c r="M303" s="156"/>
      <c r="N303" s="156"/>
      <c r="O303" s="156"/>
      <c r="P303" s="156"/>
      <c r="Q303" s="156"/>
      <c r="R303" s="156"/>
      <c r="S303" s="156"/>
      <c r="T303" s="156"/>
      <c r="U303" s="156"/>
      <c r="V303" s="156"/>
      <c r="W303" s="156"/>
      <c r="X303" s="156"/>
      <c r="Y303" s="156"/>
      <c r="Z303" s="156"/>
      <c r="AA303" s="156"/>
      <c r="AB303" s="156"/>
      <c r="AC303" s="156"/>
      <c r="AD303" s="156"/>
      <c r="AE303" s="156"/>
      <c r="AF303" s="156"/>
      <c r="AG303" s="156"/>
      <c r="AH303" s="156"/>
      <c r="AI303" s="156"/>
    </row>
    <row r="304" spans="1:35">
      <c r="A304" s="97"/>
      <c r="B304" s="372"/>
      <c r="C304" s="372"/>
      <c r="D304" s="372"/>
      <c r="E304" s="97"/>
      <c r="F304" s="158"/>
      <c r="G304" s="159"/>
      <c r="H304" s="159"/>
      <c r="I304" s="159"/>
      <c r="J304" s="159"/>
      <c r="K304" s="159"/>
      <c r="L304" s="160"/>
      <c r="M304" s="160"/>
      <c r="N304" s="159"/>
      <c r="O304" s="159"/>
      <c r="P304" s="159"/>
      <c r="Q304" s="159"/>
      <c r="R304" s="159"/>
      <c r="S304" s="159"/>
      <c r="T304" s="159"/>
      <c r="U304" s="159"/>
      <c r="V304" s="159"/>
      <c r="W304" s="159"/>
      <c r="X304" s="159"/>
      <c r="Y304" s="159"/>
      <c r="Z304" s="159"/>
      <c r="AA304" s="159"/>
      <c r="AB304" s="159"/>
      <c r="AC304" s="159"/>
      <c r="AD304" s="159"/>
      <c r="AE304" s="159"/>
      <c r="AF304" s="159"/>
      <c r="AG304" s="159"/>
      <c r="AH304" s="159"/>
      <c r="AI304" s="159"/>
    </row>
    <row r="305" spans="1:39">
      <c r="A305" s="97"/>
      <c r="B305" s="372"/>
      <c r="C305" s="372"/>
      <c r="D305" s="372"/>
      <c r="E305" s="97"/>
      <c r="F305" s="161"/>
      <c r="G305" s="162"/>
      <c r="H305" s="162"/>
      <c r="I305" s="162"/>
      <c r="J305" s="162"/>
      <c r="K305" s="162"/>
      <c r="L305" s="162"/>
      <c r="M305" s="162"/>
      <c r="N305" s="162"/>
      <c r="O305" s="162"/>
      <c r="P305" s="162"/>
      <c r="Q305" s="162"/>
      <c r="R305" s="162"/>
      <c r="S305" s="162"/>
      <c r="T305" s="162"/>
      <c r="U305" s="162"/>
      <c r="V305" s="162"/>
      <c r="W305" s="162"/>
      <c r="X305" s="162"/>
      <c r="Y305" s="162"/>
      <c r="Z305" s="162"/>
      <c r="AA305" s="162"/>
      <c r="AB305" s="162"/>
      <c r="AC305" s="162"/>
      <c r="AD305" s="162"/>
      <c r="AE305" s="162"/>
      <c r="AF305" s="162"/>
      <c r="AG305" s="162"/>
      <c r="AH305" s="162"/>
      <c r="AI305" s="162"/>
    </row>
    <row r="306" spans="1:39">
      <c r="A306" s="97"/>
      <c r="B306" s="372"/>
      <c r="C306" s="372"/>
      <c r="D306" s="372"/>
      <c r="E306" s="97"/>
      <c r="F306" s="161"/>
      <c r="G306" s="132"/>
      <c r="H306" s="132"/>
      <c r="I306" s="132"/>
      <c r="J306" s="132"/>
      <c r="K306" s="132"/>
      <c r="L306" s="133"/>
      <c r="M306" s="133"/>
      <c r="N306" s="132"/>
      <c r="O306" s="132"/>
      <c r="P306" s="132"/>
      <c r="Q306" s="132"/>
      <c r="R306" s="132"/>
      <c r="S306" s="132"/>
      <c r="T306" s="132"/>
      <c r="U306" s="132"/>
      <c r="V306" s="132"/>
      <c r="W306" s="132"/>
      <c r="X306" s="132"/>
      <c r="Y306" s="132"/>
      <c r="Z306" s="132"/>
      <c r="AA306" s="132"/>
      <c r="AB306" s="132"/>
      <c r="AC306" s="132"/>
      <c r="AD306" s="132"/>
      <c r="AE306" s="132"/>
      <c r="AF306" s="132"/>
      <c r="AG306" s="132"/>
      <c r="AH306" s="132"/>
      <c r="AI306" s="132"/>
    </row>
    <row r="307" spans="1:39">
      <c r="A307" s="97"/>
      <c r="B307" s="372"/>
      <c r="C307" s="372"/>
      <c r="D307" s="372"/>
      <c r="E307" s="97"/>
      <c r="F307" s="161"/>
      <c r="G307" s="132"/>
      <c r="H307" s="132"/>
      <c r="I307" s="132"/>
      <c r="J307" s="132"/>
      <c r="K307" s="132"/>
      <c r="L307" s="133"/>
      <c r="M307" s="133"/>
      <c r="N307" s="132"/>
      <c r="O307" s="132"/>
      <c r="P307" s="132"/>
      <c r="Q307" s="132"/>
      <c r="R307" s="132"/>
      <c r="S307" s="132"/>
      <c r="T307" s="132"/>
      <c r="U307" s="132"/>
      <c r="V307" s="132"/>
      <c r="W307" s="132"/>
      <c r="X307" s="132"/>
      <c r="Y307" s="132"/>
      <c r="Z307" s="132"/>
      <c r="AA307" s="132"/>
      <c r="AB307" s="132"/>
      <c r="AC307" s="132"/>
      <c r="AD307" s="132"/>
      <c r="AE307" s="132"/>
      <c r="AF307" s="132"/>
      <c r="AG307" s="132"/>
      <c r="AH307" s="132"/>
      <c r="AI307" s="132"/>
    </row>
    <row r="308" spans="1:39">
      <c r="A308" s="97"/>
      <c r="B308" s="372"/>
      <c r="C308" s="372"/>
      <c r="D308" s="372"/>
      <c r="E308" s="97"/>
      <c r="F308" s="161"/>
      <c r="G308" s="132"/>
      <c r="H308" s="132"/>
      <c r="I308" s="132"/>
      <c r="J308" s="132"/>
      <c r="K308" s="132"/>
      <c r="L308" s="133"/>
      <c r="M308" s="133"/>
      <c r="N308" s="132"/>
      <c r="O308" s="132"/>
      <c r="P308" s="132"/>
      <c r="Q308" s="132"/>
      <c r="R308" s="132"/>
      <c r="S308" s="132"/>
      <c r="T308" s="132"/>
      <c r="U308" s="132"/>
      <c r="V308" s="132"/>
      <c r="W308" s="132"/>
      <c r="X308" s="132"/>
      <c r="Y308" s="132"/>
      <c r="Z308" s="132"/>
      <c r="AA308" s="132"/>
      <c r="AB308" s="132"/>
      <c r="AC308" s="132"/>
      <c r="AD308" s="132"/>
      <c r="AE308" s="132"/>
      <c r="AF308" s="132"/>
      <c r="AG308" s="132"/>
      <c r="AH308" s="132"/>
      <c r="AI308" s="132"/>
    </row>
    <row r="309" spans="1:39" ht="15.75" thickBot="1">
      <c r="A309" s="97"/>
      <c r="B309" s="372"/>
      <c r="C309" s="372"/>
      <c r="D309" s="372"/>
      <c r="E309" s="97"/>
      <c r="F309" s="163"/>
      <c r="G309" s="129"/>
      <c r="H309" s="129"/>
      <c r="I309" s="129"/>
      <c r="J309" s="129"/>
      <c r="K309" s="129"/>
      <c r="L309" s="164"/>
      <c r="M309" s="129"/>
      <c r="N309" s="129"/>
      <c r="O309" s="129"/>
      <c r="P309" s="129"/>
      <c r="Q309" s="129"/>
      <c r="R309" s="129"/>
      <c r="S309" s="129"/>
      <c r="T309" s="129"/>
      <c r="U309" s="129"/>
      <c r="V309" s="129"/>
      <c r="W309" s="129"/>
      <c r="X309" s="129"/>
      <c r="Y309" s="129"/>
      <c r="Z309" s="129"/>
      <c r="AA309" s="129"/>
      <c r="AB309" s="129"/>
      <c r="AC309" s="129"/>
      <c r="AD309" s="129"/>
      <c r="AE309" s="129"/>
      <c r="AF309" s="129"/>
      <c r="AG309" s="129"/>
      <c r="AH309" s="129"/>
      <c r="AI309" s="129"/>
    </row>
    <row r="310" spans="1:39" ht="15.75" thickTop="1">
      <c r="A310" s="100"/>
      <c r="B310" s="100"/>
      <c r="C310" s="100"/>
      <c r="D310" s="100"/>
      <c r="E310" s="100"/>
      <c r="F310" s="100"/>
      <c r="G310" s="100"/>
      <c r="H310" s="100"/>
      <c r="I310" s="100"/>
      <c r="J310" s="100"/>
      <c r="K310" s="100"/>
      <c r="L310" s="100"/>
      <c r="M310" s="166"/>
      <c r="N310" s="166"/>
      <c r="O310" s="166"/>
      <c r="P310" s="166"/>
      <c r="Q310" s="100"/>
      <c r="R310" s="166"/>
      <c r="S310" s="166"/>
      <c r="T310" s="100"/>
      <c r="U310" s="166"/>
      <c r="V310" s="102"/>
      <c r="W310" s="102"/>
      <c r="X310" s="102"/>
      <c r="Y310" s="102"/>
      <c r="Z310" s="102"/>
      <c r="AA310" s="102"/>
      <c r="AB310" s="102"/>
      <c r="AC310" s="102"/>
      <c r="AD310" s="102"/>
      <c r="AE310" s="102"/>
      <c r="AF310" s="102"/>
      <c r="AG310" s="102"/>
      <c r="AH310" s="102"/>
      <c r="AI310" s="102"/>
    </row>
    <row r="311" spans="1:39">
      <c r="A311" s="97"/>
      <c r="B311" s="97"/>
      <c r="C311" s="97"/>
      <c r="D311" s="97"/>
      <c r="E311" s="97"/>
      <c r="F311" s="100"/>
      <c r="G311" s="97"/>
      <c r="H311" s="97"/>
      <c r="I311" s="97"/>
      <c r="J311" s="97"/>
      <c r="K311" s="97"/>
      <c r="L311" s="97"/>
      <c r="M311" s="167"/>
      <c r="N311" s="167"/>
      <c r="O311" s="167"/>
      <c r="P311" s="167"/>
      <c r="Q311" s="97"/>
      <c r="R311" s="167"/>
      <c r="S311" s="167"/>
      <c r="T311" s="97"/>
      <c r="U311" s="167"/>
      <c r="V311" s="98"/>
      <c r="W311" s="98"/>
      <c r="X311" s="98"/>
      <c r="Y311" s="98"/>
      <c r="Z311" s="98"/>
      <c r="AA311" s="98"/>
      <c r="AB311" s="98"/>
      <c r="AC311" s="98"/>
      <c r="AD311" s="98"/>
      <c r="AE311" s="98"/>
      <c r="AF311" s="98"/>
      <c r="AG311" s="98"/>
      <c r="AH311" s="98"/>
      <c r="AI311" s="98"/>
    </row>
    <row r="312" spans="1:39">
      <c r="A312" s="97"/>
      <c r="B312" s="116"/>
      <c r="C312" s="97"/>
      <c r="D312" s="117"/>
      <c r="E312" s="118"/>
      <c r="F312" s="119"/>
      <c r="G312" s="120"/>
      <c r="H312" s="97"/>
      <c r="I312" s="97"/>
      <c r="J312" s="97"/>
      <c r="K312" s="97"/>
      <c r="L312" s="97"/>
      <c r="M312" s="97"/>
      <c r="N312" s="97"/>
      <c r="O312" s="97"/>
      <c r="P312" s="97"/>
      <c r="Q312" s="97"/>
      <c r="R312" s="97"/>
      <c r="S312" s="97"/>
      <c r="T312" s="97"/>
      <c r="U312" s="97"/>
      <c r="V312" s="98"/>
      <c r="W312" s="98"/>
      <c r="X312" s="98"/>
      <c r="Y312" s="98"/>
      <c r="Z312" s="98"/>
      <c r="AA312" s="98"/>
      <c r="AB312" s="98"/>
      <c r="AC312" s="98"/>
      <c r="AD312" s="98"/>
      <c r="AE312" s="98"/>
      <c r="AF312" s="98"/>
      <c r="AG312" s="98"/>
      <c r="AH312" s="98"/>
      <c r="AI312" s="98"/>
    </row>
    <row r="313" spans="1:39">
      <c r="A313" s="97"/>
      <c r="B313" s="168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  <c r="T313" s="113"/>
      <c r="U313" s="113"/>
      <c r="V313" s="113"/>
      <c r="W313" s="113"/>
      <c r="X313" s="113"/>
      <c r="Y313" s="113"/>
      <c r="Z313" s="113"/>
      <c r="AA313" s="113"/>
      <c r="AB313" s="113"/>
      <c r="AC313" s="113"/>
      <c r="AD313" s="113"/>
      <c r="AE313" s="113"/>
      <c r="AF313" s="113"/>
      <c r="AG313" s="113"/>
      <c r="AH313" s="113"/>
      <c r="AI313" s="113"/>
      <c r="AJ313"/>
      <c r="AK313"/>
      <c r="AL313"/>
      <c r="AM313"/>
    </row>
    <row r="314" spans="1:39" ht="15.75" thickBot="1">
      <c r="A314" s="97"/>
      <c r="B314" s="121"/>
      <c r="C314" s="122"/>
      <c r="D314" s="122"/>
      <c r="E314" s="122"/>
      <c r="F314" s="123"/>
      <c r="G314" s="123"/>
      <c r="H314" s="123"/>
      <c r="I314" s="123"/>
      <c r="J314" s="123"/>
      <c r="K314" s="123"/>
      <c r="L314" s="123"/>
      <c r="M314" s="123"/>
      <c r="N314" s="123"/>
      <c r="O314" s="123"/>
      <c r="P314" s="123"/>
      <c r="Q314" s="123"/>
      <c r="R314" s="123"/>
      <c r="S314" s="123"/>
      <c r="T314" s="123"/>
      <c r="U314" s="123"/>
      <c r="V314" s="123"/>
      <c r="W314" s="123"/>
      <c r="X314" s="123"/>
      <c r="Y314" s="123"/>
      <c r="Z314" s="123"/>
      <c r="AA314" s="123"/>
      <c r="AB314" s="123"/>
      <c r="AC314" s="123"/>
      <c r="AD314" s="123"/>
      <c r="AE314" s="123"/>
      <c r="AF314" s="123"/>
      <c r="AG314" s="123"/>
      <c r="AH314" s="123"/>
      <c r="AI314" s="123"/>
    </row>
    <row r="315" spans="1:39">
      <c r="A315" s="97"/>
      <c r="B315" s="124"/>
      <c r="C315" s="125"/>
      <c r="D315" s="125"/>
      <c r="E315" s="125"/>
      <c r="F315" s="125"/>
      <c r="G315" s="125"/>
      <c r="H315" s="125"/>
      <c r="I315" s="125"/>
      <c r="J315" s="125"/>
      <c r="K315" s="126"/>
      <c r="L315" s="127"/>
      <c r="M315" s="127"/>
      <c r="N315" s="126"/>
      <c r="O315" s="126"/>
      <c r="P315" s="126"/>
      <c r="Q315" s="126"/>
      <c r="R315" s="126"/>
      <c r="S315" s="126"/>
      <c r="T315" s="126"/>
      <c r="U315" s="126"/>
      <c r="V315" s="126"/>
      <c r="W315" s="126"/>
      <c r="X315" s="126"/>
      <c r="Y315" s="126"/>
      <c r="Z315" s="126"/>
      <c r="AA315" s="126"/>
      <c r="AB315" s="126"/>
      <c r="AC315" s="126"/>
      <c r="AD315" s="126"/>
      <c r="AE315" s="126"/>
      <c r="AF315" s="126"/>
      <c r="AG315" s="126"/>
      <c r="AH315" s="126"/>
      <c r="AI315" s="126"/>
    </row>
    <row r="316" spans="1:39" ht="15.75" thickBot="1">
      <c r="A316" s="97"/>
      <c r="B316" s="128"/>
      <c r="C316" s="129"/>
      <c r="D316" s="129"/>
      <c r="E316" s="129"/>
      <c r="F316" s="129"/>
      <c r="G316" s="129"/>
      <c r="H316" s="129"/>
      <c r="I316" s="129"/>
      <c r="J316" s="129"/>
      <c r="K316" s="130"/>
      <c r="L316" s="130"/>
      <c r="M316" s="130"/>
      <c r="N316" s="130"/>
      <c r="O316" s="130"/>
      <c r="P316" s="130"/>
      <c r="Q316" s="130"/>
      <c r="R316" s="130"/>
      <c r="S316" s="130"/>
      <c r="T316" s="130"/>
      <c r="U316" s="130"/>
      <c r="V316" s="130"/>
      <c r="W316" s="130"/>
      <c r="X316" s="130"/>
      <c r="Y316" s="130"/>
      <c r="Z316" s="130"/>
      <c r="AA316" s="130"/>
      <c r="AB316" s="130"/>
      <c r="AC316" s="130"/>
      <c r="AD316" s="130"/>
      <c r="AE316" s="130"/>
      <c r="AF316" s="130"/>
      <c r="AG316" s="130"/>
      <c r="AH316" s="130"/>
      <c r="AI316" s="130"/>
    </row>
    <row r="317" spans="1:39" ht="15.75" thickTop="1">
      <c r="A317" s="97"/>
      <c r="B317" s="131"/>
      <c r="C317" s="132"/>
      <c r="D317" s="132"/>
      <c r="E317" s="132"/>
      <c r="F317" s="132"/>
      <c r="G317" s="132"/>
      <c r="H317" s="132"/>
      <c r="I317" s="132"/>
      <c r="J317" s="132"/>
      <c r="K317" s="132"/>
      <c r="L317" s="133"/>
      <c r="M317" s="133"/>
      <c r="N317" s="132"/>
      <c r="O317" s="132"/>
      <c r="P317" s="132"/>
      <c r="Q317" s="132"/>
      <c r="R317" s="132"/>
      <c r="S317" s="132"/>
      <c r="T317" s="132"/>
      <c r="U317" s="132"/>
      <c r="V317" s="132"/>
      <c r="W317" s="132"/>
      <c r="X317" s="132"/>
      <c r="Y317" s="132"/>
      <c r="Z317" s="132"/>
      <c r="AA317" s="132"/>
      <c r="AB317" s="132"/>
      <c r="AC317" s="132"/>
      <c r="AD317" s="132"/>
      <c r="AE317" s="132"/>
      <c r="AF317" s="132"/>
      <c r="AG317" s="132"/>
      <c r="AH317" s="132"/>
      <c r="AI317" s="132"/>
    </row>
    <row r="318" spans="1:39" ht="15.75" thickBot="1">
      <c r="A318" s="97"/>
      <c r="B318" s="128"/>
      <c r="C318" s="134"/>
      <c r="D318" s="134"/>
      <c r="E318" s="134"/>
      <c r="F318" s="134"/>
      <c r="G318" s="130"/>
      <c r="H318" s="130"/>
      <c r="I318" s="130"/>
      <c r="J318" s="130"/>
      <c r="K318" s="130"/>
      <c r="L318" s="130"/>
      <c r="M318" s="130"/>
      <c r="N318" s="130"/>
      <c r="O318" s="130"/>
      <c r="P318" s="130"/>
      <c r="Q318" s="130"/>
      <c r="R318" s="130"/>
      <c r="S318" s="130"/>
      <c r="T318" s="130"/>
      <c r="U318" s="130"/>
      <c r="V318" s="130"/>
      <c r="W318" s="130"/>
      <c r="X318" s="130"/>
      <c r="Y318" s="130"/>
      <c r="Z318" s="130"/>
      <c r="AA318" s="130"/>
      <c r="AB318" s="130"/>
      <c r="AC318" s="130"/>
      <c r="AD318" s="130"/>
      <c r="AE318" s="130"/>
      <c r="AF318" s="130"/>
      <c r="AG318" s="130"/>
      <c r="AH318" s="130"/>
      <c r="AI318" s="130"/>
    </row>
    <row r="319" spans="1:39" ht="15.75" thickTop="1">
      <c r="A319" s="97"/>
      <c r="B319" s="135"/>
      <c r="C319" s="136"/>
      <c r="D319" s="136"/>
      <c r="E319" s="136"/>
      <c r="F319" s="136"/>
      <c r="G319" s="136"/>
      <c r="H319" s="136"/>
      <c r="I319" s="136"/>
      <c r="J319" s="136"/>
      <c r="K319" s="136"/>
      <c r="L319" s="137"/>
      <c r="M319" s="137"/>
      <c r="N319" s="136"/>
      <c r="O319" s="136"/>
      <c r="P319" s="136"/>
      <c r="Q319" s="136"/>
      <c r="R319" s="136"/>
      <c r="S319" s="136"/>
      <c r="T319" s="136"/>
      <c r="U319" s="136"/>
      <c r="V319" s="136"/>
      <c r="W319" s="136"/>
      <c r="X319" s="136"/>
      <c r="Y319" s="136"/>
      <c r="Z319" s="136"/>
      <c r="AA319" s="136"/>
      <c r="AB319" s="136"/>
      <c r="AC319" s="136"/>
      <c r="AD319" s="136"/>
      <c r="AE319" s="136"/>
      <c r="AF319" s="136"/>
      <c r="AG319" s="136"/>
      <c r="AH319" s="136"/>
      <c r="AI319" s="136"/>
    </row>
    <row r="320" spans="1:39" ht="15.75" thickBot="1">
      <c r="A320" s="97"/>
      <c r="B320" s="128"/>
      <c r="C320" s="130"/>
      <c r="D320" s="130"/>
      <c r="E320" s="130"/>
      <c r="F320" s="130"/>
      <c r="G320" s="130"/>
      <c r="H320" s="130"/>
      <c r="I320" s="130"/>
      <c r="J320" s="130"/>
      <c r="K320" s="130"/>
      <c r="L320" s="130"/>
      <c r="M320" s="130"/>
      <c r="N320" s="130"/>
      <c r="O320" s="130"/>
      <c r="P320" s="130"/>
      <c r="Q320" s="130"/>
      <c r="R320" s="130"/>
      <c r="S320" s="130"/>
      <c r="T320" s="130"/>
      <c r="U320" s="130"/>
      <c r="V320" s="130"/>
      <c r="W320" s="130"/>
      <c r="X320" s="130"/>
      <c r="Y320" s="130"/>
      <c r="Z320" s="130"/>
      <c r="AA320" s="130"/>
      <c r="AB320" s="130"/>
      <c r="AC320" s="130"/>
      <c r="AD320" s="130"/>
      <c r="AE320" s="130"/>
      <c r="AF320" s="130"/>
      <c r="AG320" s="130"/>
      <c r="AH320" s="130"/>
      <c r="AI320" s="130"/>
    </row>
    <row r="321" spans="1:35" ht="15.75" thickTop="1">
      <c r="A321" s="97"/>
      <c r="B321" s="97"/>
      <c r="C321" s="97"/>
      <c r="D321" s="97"/>
      <c r="E321" s="97"/>
      <c r="F321" s="97"/>
      <c r="G321" s="97"/>
      <c r="H321" s="97"/>
      <c r="I321" s="97"/>
      <c r="J321" s="97"/>
      <c r="K321" s="97"/>
      <c r="L321" s="97"/>
      <c r="M321" s="97"/>
      <c r="N321" s="97"/>
      <c r="O321" s="97"/>
      <c r="P321" s="97"/>
      <c r="Q321" s="97"/>
      <c r="R321" s="97"/>
      <c r="S321" s="97"/>
      <c r="T321" s="97"/>
      <c r="U321" s="97"/>
      <c r="V321" s="97"/>
      <c r="W321" s="97"/>
      <c r="X321" s="97"/>
      <c r="Y321" s="97"/>
      <c r="Z321" s="97"/>
      <c r="AA321" s="97"/>
      <c r="AB321" s="97"/>
      <c r="AC321" s="97"/>
      <c r="AD321" s="97"/>
      <c r="AE321" s="97"/>
      <c r="AF321" s="97"/>
      <c r="AG321" s="97"/>
      <c r="AH321" s="97"/>
      <c r="AI321" s="97"/>
    </row>
    <row r="322" spans="1:35" ht="15.75" thickBot="1">
      <c r="A322" s="97"/>
      <c r="B322" s="138"/>
      <c r="C322" s="139"/>
      <c r="D322" s="139"/>
      <c r="E322" s="139"/>
      <c r="F322" s="139"/>
      <c r="G322" s="139"/>
      <c r="H322" s="139"/>
      <c r="I322" s="139"/>
      <c r="J322" s="139"/>
      <c r="K322" s="139"/>
      <c r="L322" s="140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</row>
    <row r="323" spans="1:35">
      <c r="A323" s="97"/>
      <c r="B323" s="141"/>
      <c r="C323" s="141"/>
      <c r="D323" s="142"/>
      <c r="E323" s="97"/>
      <c r="F323" s="119"/>
      <c r="G323" s="143"/>
      <c r="H323" s="144"/>
      <c r="I323" s="144"/>
      <c r="J323" s="144"/>
      <c r="K323" s="144"/>
      <c r="L323" s="144"/>
      <c r="M323" s="144"/>
      <c r="N323" s="144"/>
      <c r="O323" s="144"/>
      <c r="P323" s="144"/>
      <c r="Q323" s="144"/>
      <c r="R323" s="144"/>
      <c r="S323" s="144"/>
      <c r="T323" s="144"/>
      <c r="U323" s="144"/>
      <c r="V323" s="144"/>
      <c r="W323" s="144"/>
      <c r="X323" s="144"/>
      <c r="Y323" s="144"/>
      <c r="Z323" s="144"/>
      <c r="AA323" s="144"/>
      <c r="AB323" s="144"/>
      <c r="AC323" s="144"/>
      <c r="AD323" s="144"/>
      <c r="AE323" s="144"/>
      <c r="AF323" s="144"/>
      <c r="AG323" s="144"/>
      <c r="AH323" s="144"/>
      <c r="AI323" s="144"/>
    </row>
    <row r="324" spans="1:35" ht="15.75" thickBot="1">
      <c r="A324" s="97"/>
      <c r="B324" s="141"/>
      <c r="C324" s="119"/>
      <c r="D324" s="145"/>
      <c r="E324" s="97"/>
      <c r="F324" s="146"/>
      <c r="G324" s="141"/>
      <c r="H324" s="147"/>
      <c r="I324" s="147"/>
      <c r="J324" s="147"/>
      <c r="K324" s="147"/>
      <c r="L324" s="148"/>
      <c r="M324" s="147"/>
      <c r="N324" s="147"/>
      <c r="O324" s="147"/>
      <c r="P324" s="147"/>
      <c r="Q324" s="147"/>
      <c r="R324" s="147"/>
      <c r="S324" s="147"/>
      <c r="T324" s="147"/>
      <c r="U324" s="147"/>
      <c r="V324" s="147"/>
      <c r="W324" s="147"/>
      <c r="X324" s="147"/>
      <c r="Y324" s="147"/>
      <c r="Z324" s="147"/>
      <c r="AA324" s="147"/>
      <c r="AB324" s="147"/>
      <c r="AC324" s="147"/>
      <c r="AD324" s="147"/>
      <c r="AE324" s="147"/>
      <c r="AF324" s="147"/>
      <c r="AG324" s="147"/>
      <c r="AH324" s="147"/>
      <c r="AI324" s="147"/>
    </row>
    <row r="325" spans="1:35" ht="15.75" thickTop="1">
      <c r="A325" s="97"/>
      <c r="B325" s="97"/>
      <c r="C325" s="97"/>
      <c r="D325" s="97"/>
      <c r="E325" s="97"/>
      <c r="F325" s="149"/>
      <c r="G325" s="150"/>
      <c r="H325" s="150"/>
      <c r="I325" s="150"/>
      <c r="J325" s="150"/>
      <c r="K325" s="150"/>
      <c r="L325" s="150"/>
      <c r="M325" s="150"/>
      <c r="N325" s="150"/>
      <c r="O325" s="150"/>
      <c r="P325" s="150"/>
      <c r="Q325" s="150"/>
      <c r="R325" s="150"/>
      <c r="S325" s="150"/>
      <c r="T325" s="150"/>
      <c r="U325" s="150"/>
      <c r="V325" s="150"/>
      <c r="W325" s="150"/>
      <c r="X325" s="150"/>
      <c r="Y325" s="150"/>
      <c r="Z325" s="150"/>
      <c r="AA325" s="150"/>
      <c r="AB325" s="150"/>
      <c r="AC325" s="150"/>
      <c r="AD325" s="150"/>
      <c r="AE325" s="150"/>
      <c r="AF325" s="150"/>
      <c r="AG325" s="150"/>
      <c r="AH325" s="150"/>
      <c r="AI325" s="150"/>
    </row>
    <row r="326" spans="1:35">
      <c r="A326" s="97"/>
      <c r="B326" s="372"/>
      <c r="C326" s="372"/>
      <c r="D326" s="372"/>
      <c r="E326" s="97"/>
      <c r="F326" s="112"/>
      <c r="G326" s="151"/>
      <c r="H326" s="151"/>
      <c r="I326" s="151"/>
      <c r="J326" s="151"/>
      <c r="K326" s="151"/>
      <c r="L326" s="151"/>
      <c r="M326" s="151"/>
      <c r="N326" s="151"/>
      <c r="O326" s="151"/>
      <c r="P326" s="151"/>
      <c r="Q326" s="151"/>
      <c r="R326" s="151"/>
      <c r="S326" s="165"/>
      <c r="T326" s="165"/>
      <c r="U326" s="165"/>
      <c r="V326" s="165"/>
      <c r="W326" s="165"/>
      <c r="X326" s="165"/>
      <c r="Y326" s="165"/>
      <c r="Z326" s="165"/>
      <c r="AA326" s="165"/>
      <c r="AB326" s="165"/>
      <c r="AC326" s="165"/>
      <c r="AD326" s="165"/>
      <c r="AE326" s="165"/>
      <c r="AF326" s="165"/>
      <c r="AG326" s="165"/>
      <c r="AH326" s="165"/>
      <c r="AI326" s="165"/>
    </row>
    <row r="327" spans="1:35" ht="15.75" thickBot="1">
      <c r="A327" s="97"/>
      <c r="B327" s="372"/>
      <c r="C327" s="372"/>
      <c r="D327" s="372"/>
      <c r="E327" s="97"/>
      <c r="F327" s="112"/>
      <c r="G327" s="152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  <c r="AH327" s="153"/>
      <c r="AI327" s="153"/>
    </row>
    <row r="328" spans="1:35" ht="15.75" thickTop="1">
      <c r="A328" s="97"/>
      <c r="B328" s="372"/>
      <c r="C328" s="372"/>
      <c r="D328" s="372"/>
      <c r="E328" s="97"/>
      <c r="F328" s="141"/>
      <c r="G328" s="154"/>
      <c r="H328" s="154"/>
      <c r="I328" s="154"/>
      <c r="J328" s="154"/>
      <c r="K328" s="154"/>
      <c r="L328" s="154"/>
      <c r="M328" s="154"/>
      <c r="N328" s="154"/>
      <c r="O328" s="154"/>
      <c r="P328" s="154"/>
      <c r="Q328" s="154"/>
      <c r="R328" s="154"/>
      <c r="S328" s="154"/>
      <c r="T328" s="154"/>
      <c r="U328" s="154"/>
      <c r="V328" s="154"/>
      <c r="W328" s="154"/>
      <c r="X328" s="154"/>
      <c r="Y328" s="154"/>
      <c r="Z328" s="154"/>
      <c r="AA328" s="154"/>
      <c r="AB328" s="154"/>
      <c r="AC328" s="154"/>
      <c r="AD328" s="154"/>
      <c r="AE328" s="154"/>
      <c r="AF328" s="154"/>
      <c r="AG328" s="154"/>
      <c r="AH328" s="154"/>
      <c r="AI328" s="154"/>
    </row>
    <row r="329" spans="1:35" ht="15.75" thickBot="1">
      <c r="A329" s="97"/>
      <c r="B329" s="372"/>
      <c r="C329" s="372"/>
      <c r="D329" s="372"/>
      <c r="E329" s="97"/>
      <c r="F329" s="155"/>
      <c r="G329" s="156"/>
      <c r="H329" s="156"/>
      <c r="I329" s="156"/>
      <c r="J329" s="156"/>
      <c r="K329" s="156"/>
      <c r="L329" s="157"/>
      <c r="M329" s="156"/>
      <c r="N329" s="156"/>
      <c r="O329" s="156"/>
      <c r="P329" s="156"/>
      <c r="Q329" s="156"/>
      <c r="R329" s="156"/>
      <c r="S329" s="156"/>
      <c r="T329" s="156"/>
      <c r="U329" s="156"/>
      <c r="V329" s="156"/>
      <c r="W329" s="156"/>
      <c r="X329" s="156"/>
      <c r="Y329" s="156"/>
      <c r="Z329" s="156"/>
      <c r="AA329" s="156"/>
      <c r="AB329" s="156"/>
      <c r="AC329" s="156"/>
      <c r="AD329" s="156"/>
      <c r="AE329" s="156"/>
      <c r="AF329" s="156"/>
      <c r="AG329" s="156"/>
      <c r="AH329" s="156"/>
      <c r="AI329" s="156"/>
    </row>
    <row r="330" spans="1:35">
      <c r="A330" s="97"/>
      <c r="B330" s="372"/>
      <c r="C330" s="372"/>
      <c r="D330" s="372"/>
      <c r="E330" s="97"/>
      <c r="F330" s="158"/>
      <c r="G330" s="159"/>
      <c r="H330" s="159"/>
      <c r="I330" s="159"/>
      <c r="J330" s="159"/>
      <c r="K330" s="159"/>
      <c r="L330" s="160"/>
      <c r="M330" s="160"/>
      <c r="N330" s="159"/>
      <c r="O330" s="159"/>
      <c r="P330" s="159"/>
      <c r="Q330" s="159"/>
      <c r="R330" s="159"/>
      <c r="S330" s="159"/>
      <c r="T330" s="159"/>
      <c r="U330" s="159"/>
      <c r="V330" s="159"/>
      <c r="W330" s="159"/>
      <c r="X330" s="159"/>
      <c r="Y330" s="159"/>
      <c r="Z330" s="159"/>
      <c r="AA330" s="159"/>
      <c r="AB330" s="159"/>
      <c r="AC330" s="159"/>
      <c r="AD330" s="159"/>
      <c r="AE330" s="159"/>
      <c r="AF330" s="159"/>
      <c r="AG330" s="159"/>
      <c r="AH330" s="159"/>
      <c r="AI330" s="159"/>
    </row>
    <row r="331" spans="1:35">
      <c r="A331" s="97"/>
      <c r="B331" s="372"/>
      <c r="C331" s="372"/>
      <c r="D331" s="372"/>
      <c r="E331" s="97"/>
      <c r="F331" s="161"/>
      <c r="G331" s="162"/>
      <c r="H331" s="162"/>
      <c r="I331" s="162"/>
      <c r="J331" s="162"/>
      <c r="K331" s="162"/>
      <c r="L331" s="162"/>
      <c r="M331" s="162"/>
      <c r="N331" s="162"/>
      <c r="O331" s="162"/>
      <c r="P331" s="162"/>
      <c r="Q331" s="162"/>
      <c r="R331" s="162"/>
      <c r="S331" s="162"/>
      <c r="T331" s="162"/>
      <c r="U331" s="162"/>
      <c r="V331" s="162"/>
      <c r="W331" s="162"/>
      <c r="X331" s="162"/>
      <c r="Y331" s="162"/>
      <c r="Z331" s="162"/>
      <c r="AA331" s="162"/>
      <c r="AB331" s="162"/>
      <c r="AC331" s="162"/>
      <c r="AD331" s="162"/>
      <c r="AE331" s="162"/>
      <c r="AF331" s="162"/>
      <c r="AG331" s="162"/>
      <c r="AH331" s="162"/>
      <c r="AI331" s="162"/>
    </row>
    <row r="332" spans="1:35">
      <c r="A332" s="97"/>
      <c r="B332" s="372"/>
      <c r="C332" s="372"/>
      <c r="D332" s="372"/>
      <c r="E332" s="97"/>
      <c r="F332" s="161"/>
      <c r="G332" s="132"/>
      <c r="H332" s="132"/>
      <c r="I332" s="132"/>
      <c r="J332" s="132"/>
      <c r="K332" s="132"/>
      <c r="L332" s="133"/>
      <c r="M332" s="133"/>
      <c r="N332" s="132"/>
      <c r="O332" s="132"/>
      <c r="P332" s="132"/>
      <c r="Q332" s="132"/>
      <c r="R332" s="132"/>
      <c r="S332" s="132"/>
      <c r="T332" s="132"/>
      <c r="U332" s="132"/>
      <c r="V332" s="132"/>
      <c r="W332" s="132"/>
      <c r="X332" s="132"/>
      <c r="Y332" s="132"/>
      <c r="Z332" s="132"/>
      <c r="AA332" s="132"/>
      <c r="AB332" s="132"/>
      <c r="AC332" s="132"/>
      <c r="AD332" s="132"/>
      <c r="AE332" s="132"/>
      <c r="AF332" s="132"/>
      <c r="AG332" s="132"/>
      <c r="AH332" s="132"/>
      <c r="AI332" s="132"/>
    </row>
    <row r="333" spans="1:35">
      <c r="A333" s="97"/>
      <c r="B333" s="372"/>
      <c r="C333" s="372"/>
      <c r="D333" s="372"/>
      <c r="E333" s="97"/>
      <c r="F333" s="161"/>
      <c r="G333" s="132"/>
      <c r="H333" s="132"/>
      <c r="I333" s="132"/>
      <c r="J333" s="132"/>
      <c r="K333" s="132"/>
      <c r="L333" s="133"/>
      <c r="M333" s="133"/>
      <c r="N333" s="132"/>
      <c r="O333" s="132"/>
      <c r="P333" s="132"/>
      <c r="Q333" s="132"/>
      <c r="R333" s="132"/>
      <c r="S333" s="132"/>
      <c r="T333" s="132"/>
      <c r="U333" s="132"/>
      <c r="V333" s="132"/>
      <c r="W333" s="132"/>
      <c r="X333" s="132"/>
      <c r="Y333" s="132"/>
      <c r="Z333" s="132"/>
      <c r="AA333" s="132"/>
      <c r="AB333" s="132"/>
      <c r="AC333" s="132"/>
      <c r="AD333" s="132"/>
      <c r="AE333" s="132"/>
      <c r="AF333" s="132"/>
      <c r="AG333" s="132"/>
      <c r="AH333" s="132"/>
      <c r="AI333" s="132"/>
    </row>
    <row r="334" spans="1:35">
      <c r="A334" s="97"/>
      <c r="B334" s="372"/>
      <c r="C334" s="372"/>
      <c r="D334" s="372"/>
      <c r="E334" s="97"/>
      <c r="F334" s="161"/>
      <c r="G334" s="132"/>
      <c r="H334" s="132"/>
      <c r="I334" s="132"/>
      <c r="J334" s="132"/>
      <c r="K334" s="132"/>
      <c r="L334" s="133"/>
      <c r="M334" s="133"/>
      <c r="N334" s="132"/>
      <c r="O334" s="132"/>
      <c r="P334" s="132"/>
      <c r="Q334" s="132"/>
      <c r="R334" s="132"/>
      <c r="S334" s="132"/>
      <c r="T334" s="132"/>
      <c r="U334" s="132"/>
      <c r="V334" s="132"/>
      <c r="W334" s="132"/>
      <c r="X334" s="132"/>
      <c r="Y334" s="132"/>
      <c r="Z334" s="132"/>
      <c r="AA334" s="132"/>
      <c r="AB334" s="132"/>
      <c r="AC334" s="132"/>
      <c r="AD334" s="132"/>
      <c r="AE334" s="132"/>
      <c r="AF334" s="132"/>
      <c r="AG334" s="132"/>
      <c r="AH334" s="132"/>
      <c r="AI334" s="132"/>
    </row>
    <row r="335" spans="1:35" ht="15.75" thickBot="1">
      <c r="A335" s="97"/>
      <c r="B335" s="372"/>
      <c r="C335" s="372"/>
      <c r="D335" s="372"/>
      <c r="E335" s="97"/>
      <c r="F335" s="163"/>
      <c r="G335" s="129"/>
      <c r="H335" s="129"/>
      <c r="I335" s="129"/>
      <c r="J335" s="129"/>
      <c r="K335" s="129"/>
      <c r="L335" s="164"/>
      <c r="M335" s="129"/>
      <c r="N335" s="129"/>
      <c r="O335" s="129"/>
      <c r="P335" s="129"/>
      <c r="Q335" s="129"/>
      <c r="R335" s="129"/>
      <c r="S335" s="129"/>
      <c r="T335" s="129"/>
      <c r="U335" s="129"/>
      <c r="V335" s="129"/>
      <c r="W335" s="129"/>
      <c r="X335" s="129"/>
      <c r="Y335" s="129"/>
      <c r="Z335" s="129"/>
      <c r="AA335" s="129"/>
      <c r="AB335" s="129"/>
      <c r="AC335" s="129"/>
      <c r="AD335" s="129"/>
      <c r="AE335" s="129"/>
      <c r="AF335" s="129"/>
      <c r="AG335" s="129"/>
      <c r="AH335" s="129"/>
      <c r="AI335" s="129"/>
    </row>
    <row r="336" spans="1:35" ht="15.75" thickTop="1">
      <c r="A336" s="100"/>
      <c r="B336" s="100"/>
      <c r="C336" s="100"/>
      <c r="D336" s="100"/>
      <c r="E336" s="100"/>
      <c r="F336" s="100"/>
      <c r="G336" s="100"/>
      <c r="H336" s="100"/>
      <c r="I336" s="100"/>
      <c r="J336" s="100"/>
      <c r="K336" s="100"/>
      <c r="L336" s="100"/>
      <c r="M336" s="166"/>
      <c r="N336" s="166"/>
      <c r="O336" s="166"/>
      <c r="P336" s="166"/>
      <c r="Q336" s="100"/>
      <c r="R336" s="166"/>
      <c r="S336" s="166"/>
      <c r="T336" s="100"/>
      <c r="U336" s="166"/>
      <c r="V336" s="102"/>
      <c r="W336" s="102"/>
      <c r="X336" s="102"/>
      <c r="Y336" s="102"/>
      <c r="Z336" s="102"/>
      <c r="AA336" s="102"/>
      <c r="AB336" s="102"/>
      <c r="AC336" s="102"/>
      <c r="AD336" s="102"/>
      <c r="AE336" s="102"/>
      <c r="AF336" s="102"/>
      <c r="AG336" s="102"/>
      <c r="AH336" s="102"/>
      <c r="AI336" s="102"/>
    </row>
    <row r="337" spans="1:39">
      <c r="A337" s="97"/>
      <c r="B337" s="97"/>
      <c r="C337" s="97"/>
      <c r="D337" s="97"/>
      <c r="E337" s="97"/>
      <c r="F337" s="100"/>
      <c r="G337" s="97"/>
      <c r="H337" s="97"/>
      <c r="I337" s="97"/>
      <c r="J337" s="97"/>
      <c r="K337" s="97"/>
      <c r="L337" s="97"/>
      <c r="M337" s="167"/>
      <c r="N337" s="167"/>
      <c r="O337" s="167"/>
      <c r="P337" s="167"/>
      <c r="Q337" s="97"/>
      <c r="R337" s="167"/>
      <c r="S337" s="167"/>
      <c r="T337" s="97"/>
      <c r="U337" s="167"/>
      <c r="V337" s="98"/>
      <c r="W337" s="98"/>
      <c r="X337" s="98"/>
      <c r="Y337" s="98"/>
      <c r="Z337" s="98"/>
      <c r="AA337" s="98"/>
      <c r="AB337" s="98"/>
      <c r="AC337" s="98"/>
      <c r="AD337" s="98"/>
      <c r="AE337" s="98"/>
      <c r="AF337" s="98"/>
      <c r="AG337" s="98"/>
      <c r="AH337" s="98"/>
      <c r="AI337" s="98"/>
    </row>
    <row r="338" spans="1:39">
      <c r="A338" s="97"/>
      <c r="B338" s="116"/>
      <c r="C338" s="97"/>
      <c r="D338" s="117"/>
      <c r="E338" s="118"/>
      <c r="F338" s="119"/>
      <c r="G338" s="120"/>
      <c r="H338" s="97"/>
      <c r="I338" s="97"/>
      <c r="J338" s="97"/>
      <c r="K338" s="97"/>
      <c r="L338" s="97"/>
      <c r="M338" s="97"/>
      <c r="N338" s="97"/>
      <c r="O338" s="97"/>
      <c r="P338" s="97"/>
      <c r="Q338" s="97"/>
      <c r="R338" s="97"/>
      <c r="S338" s="97"/>
      <c r="T338" s="97"/>
      <c r="U338" s="97"/>
      <c r="V338" s="98"/>
      <c r="W338" s="98"/>
      <c r="X338" s="98"/>
      <c r="Y338" s="98"/>
      <c r="Z338" s="98"/>
      <c r="AA338" s="98"/>
      <c r="AB338" s="98"/>
      <c r="AC338" s="98"/>
      <c r="AD338" s="98"/>
      <c r="AE338" s="98"/>
      <c r="AF338" s="98"/>
      <c r="AG338" s="98"/>
      <c r="AH338" s="98"/>
      <c r="AI338" s="98"/>
    </row>
    <row r="339" spans="1:39">
      <c r="A339" s="97"/>
      <c r="B339" s="168"/>
      <c r="C339" s="113"/>
      <c r="D339" s="113"/>
      <c r="E339" s="113"/>
      <c r="F339" s="113"/>
      <c r="G339" s="113"/>
      <c r="H339" s="113"/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  <c r="T339" s="113"/>
      <c r="U339" s="113"/>
      <c r="V339" s="113"/>
      <c r="W339" s="113"/>
      <c r="X339" s="113"/>
      <c r="Y339" s="113"/>
      <c r="Z339" s="113"/>
      <c r="AA339" s="113"/>
      <c r="AB339" s="113"/>
      <c r="AC339" s="113"/>
      <c r="AD339" s="113"/>
      <c r="AE339" s="113"/>
      <c r="AF339" s="113"/>
      <c r="AG339" s="113"/>
      <c r="AH339" s="113"/>
      <c r="AI339" s="113"/>
      <c r="AJ339"/>
      <c r="AK339"/>
      <c r="AL339"/>
      <c r="AM339"/>
    </row>
    <row r="340" spans="1:39" ht="15.75" thickBot="1">
      <c r="A340" s="97"/>
      <c r="B340" s="121"/>
      <c r="C340" s="122"/>
      <c r="D340" s="122"/>
      <c r="E340" s="122"/>
      <c r="F340" s="123"/>
      <c r="G340" s="123"/>
      <c r="H340" s="123"/>
      <c r="I340" s="123"/>
      <c r="J340" s="123"/>
      <c r="K340" s="123"/>
      <c r="L340" s="123"/>
      <c r="M340" s="123"/>
      <c r="N340" s="123"/>
      <c r="O340" s="123"/>
      <c r="P340" s="123"/>
      <c r="Q340" s="123"/>
      <c r="R340" s="123"/>
      <c r="S340" s="123"/>
      <c r="T340" s="123"/>
      <c r="U340" s="123"/>
      <c r="V340" s="123"/>
      <c r="W340" s="123"/>
      <c r="X340" s="123"/>
      <c r="Y340" s="123"/>
      <c r="Z340" s="123"/>
      <c r="AA340" s="123"/>
      <c r="AB340" s="123"/>
      <c r="AC340" s="123"/>
      <c r="AD340" s="123"/>
      <c r="AE340" s="123"/>
      <c r="AF340" s="123"/>
      <c r="AG340" s="123"/>
      <c r="AH340" s="123"/>
      <c r="AI340" s="123"/>
    </row>
    <row r="341" spans="1:39">
      <c r="A341" s="97"/>
      <c r="B341" s="124"/>
      <c r="C341" s="125"/>
      <c r="D341" s="125"/>
      <c r="E341" s="125"/>
      <c r="F341" s="125"/>
      <c r="G341" s="125"/>
      <c r="H341" s="125"/>
      <c r="I341" s="125"/>
      <c r="J341" s="125"/>
      <c r="K341" s="126"/>
      <c r="L341" s="127"/>
      <c r="M341" s="127"/>
      <c r="N341" s="126"/>
      <c r="O341" s="126"/>
      <c r="P341" s="126"/>
      <c r="Q341" s="126"/>
      <c r="R341" s="126"/>
      <c r="S341" s="126"/>
      <c r="T341" s="126"/>
      <c r="U341" s="126"/>
      <c r="V341" s="126"/>
      <c r="W341" s="126"/>
      <c r="X341" s="126"/>
      <c r="Y341" s="126"/>
      <c r="Z341" s="126"/>
      <c r="AA341" s="126"/>
      <c r="AB341" s="126"/>
      <c r="AC341" s="126"/>
      <c r="AD341" s="126"/>
      <c r="AE341" s="126"/>
      <c r="AF341" s="126"/>
      <c r="AG341" s="126"/>
      <c r="AH341" s="126"/>
      <c r="AI341" s="126"/>
    </row>
    <row r="342" spans="1:39" ht="15.75" thickBot="1">
      <c r="A342" s="97"/>
      <c r="B342" s="128"/>
      <c r="C342" s="129"/>
      <c r="D342" s="129"/>
      <c r="E342" s="129"/>
      <c r="F342" s="129"/>
      <c r="G342" s="129"/>
      <c r="H342" s="129"/>
      <c r="I342" s="129"/>
      <c r="J342" s="129"/>
      <c r="K342" s="130"/>
      <c r="L342" s="130"/>
      <c r="M342" s="130"/>
      <c r="N342" s="130"/>
      <c r="O342" s="130"/>
      <c r="P342" s="130"/>
      <c r="Q342" s="130"/>
      <c r="R342" s="130"/>
      <c r="S342" s="130"/>
      <c r="T342" s="130"/>
      <c r="U342" s="130"/>
      <c r="V342" s="130"/>
      <c r="W342" s="130"/>
      <c r="X342" s="130"/>
      <c r="Y342" s="130"/>
      <c r="Z342" s="130"/>
      <c r="AA342" s="130"/>
      <c r="AB342" s="130"/>
      <c r="AC342" s="130"/>
      <c r="AD342" s="130"/>
      <c r="AE342" s="130"/>
      <c r="AF342" s="130"/>
      <c r="AG342" s="130"/>
      <c r="AH342" s="130"/>
      <c r="AI342" s="130"/>
    </row>
    <row r="343" spans="1:39" ht="15.75" thickTop="1">
      <c r="A343" s="97"/>
      <c r="B343" s="131"/>
      <c r="C343" s="132"/>
      <c r="D343" s="132"/>
      <c r="E343" s="132"/>
      <c r="F343" s="132"/>
      <c r="G343" s="132"/>
      <c r="H343" s="132"/>
      <c r="I343" s="132"/>
      <c r="J343" s="132"/>
      <c r="K343" s="132"/>
      <c r="L343" s="133"/>
      <c r="M343" s="133"/>
      <c r="N343" s="132"/>
      <c r="O343" s="132"/>
      <c r="P343" s="132"/>
      <c r="Q343" s="132"/>
      <c r="R343" s="132"/>
      <c r="S343" s="132"/>
      <c r="T343" s="132"/>
      <c r="U343" s="132"/>
      <c r="V343" s="132"/>
      <c r="W343" s="132"/>
      <c r="X343" s="132"/>
      <c r="Y343" s="132"/>
      <c r="Z343" s="132"/>
      <c r="AA343" s="132"/>
      <c r="AB343" s="132"/>
      <c r="AC343" s="132"/>
      <c r="AD343" s="132"/>
      <c r="AE343" s="132"/>
      <c r="AF343" s="132"/>
      <c r="AG343" s="132"/>
      <c r="AH343" s="132"/>
      <c r="AI343" s="132"/>
    </row>
    <row r="344" spans="1:39" ht="15.75" thickBot="1">
      <c r="A344" s="97"/>
      <c r="B344" s="128"/>
      <c r="C344" s="134"/>
      <c r="D344" s="134"/>
      <c r="E344" s="134"/>
      <c r="F344" s="134"/>
      <c r="G344" s="130"/>
      <c r="H344" s="130"/>
      <c r="I344" s="130"/>
      <c r="J344" s="130"/>
      <c r="K344" s="130"/>
      <c r="L344" s="130"/>
      <c r="M344" s="130"/>
      <c r="N344" s="130"/>
      <c r="O344" s="130"/>
      <c r="P344" s="130"/>
      <c r="Q344" s="130"/>
      <c r="R344" s="130"/>
      <c r="S344" s="130"/>
      <c r="T344" s="130"/>
      <c r="U344" s="130"/>
      <c r="V344" s="130"/>
      <c r="W344" s="130"/>
      <c r="X344" s="130"/>
      <c r="Y344" s="130"/>
      <c r="Z344" s="130"/>
      <c r="AA344" s="130"/>
      <c r="AB344" s="130"/>
      <c r="AC344" s="130"/>
      <c r="AD344" s="130"/>
      <c r="AE344" s="130"/>
      <c r="AF344" s="130"/>
      <c r="AG344" s="130"/>
      <c r="AH344" s="130"/>
      <c r="AI344" s="130"/>
    </row>
    <row r="345" spans="1:39" ht="15.75" thickTop="1">
      <c r="A345" s="97"/>
      <c r="B345" s="135"/>
      <c r="C345" s="136"/>
      <c r="D345" s="136"/>
      <c r="E345" s="136"/>
      <c r="F345" s="136"/>
      <c r="G345" s="136"/>
      <c r="H345" s="136"/>
      <c r="I345" s="136"/>
      <c r="J345" s="136"/>
      <c r="K345" s="136"/>
      <c r="L345" s="137"/>
      <c r="M345" s="137"/>
      <c r="N345" s="136"/>
      <c r="O345" s="136"/>
      <c r="P345" s="136"/>
      <c r="Q345" s="136"/>
      <c r="R345" s="136"/>
      <c r="S345" s="136"/>
      <c r="T345" s="136"/>
      <c r="U345" s="136"/>
      <c r="V345" s="136"/>
      <c r="W345" s="136"/>
      <c r="X345" s="136"/>
      <c r="Y345" s="136"/>
      <c r="Z345" s="136"/>
      <c r="AA345" s="136"/>
      <c r="AB345" s="136"/>
      <c r="AC345" s="136"/>
      <c r="AD345" s="136"/>
      <c r="AE345" s="136"/>
      <c r="AF345" s="136"/>
      <c r="AG345" s="136"/>
      <c r="AH345" s="136"/>
      <c r="AI345" s="136"/>
    </row>
    <row r="346" spans="1:39" ht="15.75" thickBot="1">
      <c r="A346" s="97"/>
      <c r="B346" s="128"/>
      <c r="C346" s="130"/>
      <c r="D346" s="130"/>
      <c r="E346" s="130"/>
      <c r="F346" s="130"/>
      <c r="G346" s="130"/>
      <c r="H346" s="130"/>
      <c r="I346" s="130"/>
      <c r="J346" s="130"/>
      <c r="K346" s="130"/>
      <c r="L346" s="130"/>
      <c r="M346" s="130"/>
      <c r="N346" s="130"/>
      <c r="O346" s="130"/>
      <c r="P346" s="130"/>
      <c r="Q346" s="130"/>
      <c r="R346" s="130"/>
      <c r="S346" s="130"/>
      <c r="T346" s="130"/>
      <c r="U346" s="130"/>
      <c r="V346" s="130"/>
      <c r="W346" s="130"/>
      <c r="X346" s="130"/>
      <c r="Y346" s="130"/>
      <c r="Z346" s="130"/>
      <c r="AA346" s="130"/>
      <c r="AB346" s="130"/>
      <c r="AC346" s="130"/>
      <c r="AD346" s="130"/>
      <c r="AE346" s="130"/>
      <c r="AF346" s="130"/>
      <c r="AG346" s="130"/>
      <c r="AH346" s="130"/>
      <c r="AI346" s="130"/>
    </row>
    <row r="347" spans="1:39" ht="15.75" thickTop="1">
      <c r="A347" s="97"/>
      <c r="B347" s="97"/>
      <c r="C347" s="97"/>
      <c r="D347" s="97"/>
      <c r="E347" s="97"/>
      <c r="F347" s="97"/>
      <c r="G347" s="97"/>
      <c r="H347" s="97"/>
      <c r="I347" s="97"/>
      <c r="J347" s="97"/>
      <c r="K347" s="97"/>
      <c r="L347" s="97"/>
      <c r="M347" s="97"/>
      <c r="N347" s="97"/>
      <c r="O347" s="97"/>
      <c r="P347" s="97"/>
      <c r="Q347" s="97"/>
      <c r="R347" s="97"/>
      <c r="S347" s="97"/>
      <c r="T347" s="97"/>
      <c r="U347" s="97"/>
      <c r="V347" s="97"/>
      <c r="W347" s="97"/>
      <c r="X347" s="97"/>
      <c r="Y347" s="97"/>
      <c r="Z347" s="97"/>
      <c r="AA347" s="97"/>
      <c r="AB347" s="97"/>
      <c r="AC347" s="97"/>
      <c r="AD347" s="97"/>
      <c r="AE347" s="97"/>
      <c r="AF347" s="97"/>
      <c r="AG347" s="97"/>
      <c r="AH347" s="97"/>
      <c r="AI347" s="97"/>
    </row>
    <row r="348" spans="1:39" ht="15.75" thickBot="1">
      <c r="A348" s="97"/>
      <c r="B348" s="138"/>
      <c r="C348" s="139"/>
      <c r="D348" s="139"/>
      <c r="E348" s="139"/>
      <c r="F348" s="139"/>
      <c r="G348" s="139"/>
      <c r="H348" s="139"/>
      <c r="I348" s="139"/>
      <c r="J348" s="139"/>
      <c r="K348" s="139"/>
      <c r="L348" s="140"/>
      <c r="M348" s="139"/>
      <c r="N348" s="139"/>
      <c r="O348" s="139"/>
      <c r="P348" s="139"/>
      <c r="Q348" s="139"/>
      <c r="R348" s="139"/>
      <c r="S348" s="139"/>
      <c r="T348" s="139"/>
      <c r="U348" s="139"/>
      <c r="V348" s="139"/>
      <c r="W348" s="139"/>
      <c r="X348" s="139"/>
      <c r="Y348" s="139"/>
      <c r="Z348" s="139"/>
      <c r="AA348" s="139"/>
      <c r="AB348" s="139"/>
      <c r="AC348" s="139"/>
      <c r="AD348" s="139"/>
      <c r="AE348" s="139"/>
      <c r="AF348" s="139"/>
      <c r="AG348" s="139"/>
      <c r="AH348" s="139"/>
      <c r="AI348" s="139"/>
    </row>
    <row r="349" spans="1:39">
      <c r="A349" s="97"/>
      <c r="B349" s="141"/>
      <c r="C349" s="141"/>
      <c r="D349" s="142"/>
      <c r="E349" s="97"/>
      <c r="F349" s="119"/>
      <c r="G349" s="143"/>
      <c r="H349" s="144"/>
      <c r="I349" s="144"/>
      <c r="J349" s="144"/>
      <c r="K349" s="144"/>
      <c r="L349" s="144"/>
      <c r="M349" s="144"/>
      <c r="N349" s="144"/>
      <c r="O349" s="144"/>
      <c r="P349" s="144"/>
      <c r="Q349" s="144"/>
      <c r="R349" s="144"/>
      <c r="S349" s="144"/>
      <c r="T349" s="144"/>
      <c r="U349" s="144"/>
      <c r="V349" s="144"/>
      <c r="W349" s="144"/>
      <c r="X349" s="144"/>
      <c r="Y349" s="144"/>
      <c r="Z349" s="144"/>
      <c r="AA349" s="144"/>
      <c r="AB349" s="144"/>
      <c r="AC349" s="144"/>
      <c r="AD349" s="144"/>
      <c r="AE349" s="144"/>
      <c r="AF349" s="144"/>
      <c r="AG349" s="144"/>
      <c r="AH349" s="144"/>
      <c r="AI349" s="144"/>
    </row>
    <row r="350" spans="1:39" ht="15.75" thickBot="1">
      <c r="A350" s="97"/>
      <c r="B350" s="141"/>
      <c r="C350" s="119"/>
      <c r="D350" s="145"/>
      <c r="E350" s="97"/>
      <c r="F350" s="146"/>
      <c r="G350" s="141"/>
      <c r="H350" s="147"/>
      <c r="I350" s="147"/>
      <c r="J350" s="147"/>
      <c r="K350" s="147"/>
      <c r="L350" s="148"/>
      <c r="M350" s="147"/>
      <c r="N350" s="147"/>
      <c r="O350" s="147"/>
      <c r="P350" s="147"/>
      <c r="Q350" s="147"/>
      <c r="R350" s="147"/>
      <c r="S350" s="147"/>
      <c r="T350" s="147"/>
      <c r="U350" s="147"/>
      <c r="V350" s="147"/>
      <c r="W350" s="147"/>
      <c r="X350" s="147"/>
      <c r="Y350" s="147"/>
      <c r="Z350" s="147"/>
      <c r="AA350" s="147"/>
      <c r="AB350" s="147"/>
      <c r="AC350" s="147"/>
      <c r="AD350" s="147"/>
      <c r="AE350" s="147"/>
      <c r="AF350" s="147"/>
      <c r="AG350" s="147"/>
      <c r="AH350" s="147"/>
      <c r="AI350" s="147"/>
    </row>
    <row r="351" spans="1:39" ht="15.75" thickTop="1">
      <c r="A351" s="97"/>
      <c r="B351" s="97"/>
      <c r="C351" s="97"/>
      <c r="D351" s="97"/>
      <c r="E351" s="97"/>
      <c r="F351" s="149"/>
      <c r="G351" s="150"/>
      <c r="H351" s="150"/>
      <c r="I351" s="150"/>
      <c r="J351" s="150"/>
      <c r="K351" s="150"/>
      <c r="L351" s="150"/>
      <c r="M351" s="150"/>
      <c r="N351" s="150"/>
      <c r="O351" s="150"/>
      <c r="P351" s="150"/>
      <c r="Q351" s="150"/>
      <c r="R351" s="150"/>
      <c r="S351" s="150"/>
      <c r="T351" s="150"/>
      <c r="U351" s="150"/>
      <c r="V351" s="150"/>
      <c r="W351" s="150"/>
      <c r="X351" s="150"/>
      <c r="Y351" s="150"/>
      <c r="Z351" s="150"/>
      <c r="AA351" s="150"/>
      <c r="AB351" s="150"/>
      <c r="AC351" s="150"/>
      <c r="AD351" s="150"/>
      <c r="AE351" s="150"/>
      <c r="AF351" s="150"/>
      <c r="AG351" s="150"/>
      <c r="AH351" s="150"/>
      <c r="AI351" s="150"/>
    </row>
    <row r="352" spans="1:39">
      <c r="A352" s="97"/>
      <c r="B352" s="372"/>
      <c r="C352" s="372"/>
      <c r="D352" s="372"/>
      <c r="E352" s="97"/>
      <c r="F352" s="112"/>
      <c r="G352" s="151"/>
      <c r="H352" s="151"/>
      <c r="I352" s="151"/>
      <c r="J352" s="151"/>
      <c r="K352" s="151"/>
      <c r="L352" s="151"/>
      <c r="M352" s="151"/>
      <c r="N352" s="151"/>
      <c r="O352" s="151"/>
      <c r="P352" s="151"/>
      <c r="Q352" s="151"/>
      <c r="R352" s="151"/>
      <c r="S352" s="165"/>
      <c r="T352" s="165"/>
      <c r="U352" s="165"/>
      <c r="V352" s="165"/>
      <c r="W352" s="165"/>
      <c r="X352" s="165"/>
      <c r="Y352" s="165"/>
      <c r="Z352" s="165"/>
      <c r="AA352" s="165"/>
      <c r="AB352" s="165"/>
      <c r="AC352" s="165"/>
      <c r="AD352" s="165"/>
      <c r="AE352" s="165"/>
      <c r="AF352" s="165"/>
      <c r="AG352" s="165"/>
      <c r="AH352" s="165"/>
      <c r="AI352" s="165"/>
    </row>
    <row r="353" spans="1:39" ht="15.75" thickBot="1">
      <c r="A353" s="97"/>
      <c r="B353" s="372"/>
      <c r="C353" s="372"/>
      <c r="D353" s="372"/>
      <c r="E353" s="97"/>
      <c r="F353" s="112"/>
      <c r="G353" s="152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  <c r="AH353" s="153"/>
      <c r="AI353" s="153"/>
    </row>
    <row r="354" spans="1:39" ht="15.75" thickTop="1">
      <c r="A354" s="97"/>
      <c r="B354" s="372"/>
      <c r="C354" s="372"/>
      <c r="D354" s="372"/>
      <c r="E354" s="97"/>
      <c r="F354" s="141"/>
      <c r="G354" s="154"/>
      <c r="H354" s="154"/>
      <c r="I354" s="154"/>
      <c r="J354" s="154"/>
      <c r="K354" s="154"/>
      <c r="L354" s="154"/>
      <c r="M354" s="154"/>
      <c r="N354" s="154"/>
      <c r="O354" s="154"/>
      <c r="P354" s="154"/>
      <c r="Q354" s="154"/>
      <c r="R354" s="154"/>
      <c r="S354" s="154"/>
      <c r="T354" s="154"/>
      <c r="U354" s="154"/>
      <c r="V354" s="154"/>
      <c r="W354" s="154"/>
      <c r="X354" s="154"/>
      <c r="Y354" s="154"/>
      <c r="Z354" s="154"/>
      <c r="AA354" s="154"/>
      <c r="AB354" s="154"/>
      <c r="AC354" s="154"/>
      <c r="AD354" s="154"/>
      <c r="AE354" s="154"/>
      <c r="AF354" s="154"/>
      <c r="AG354" s="154"/>
      <c r="AH354" s="154"/>
      <c r="AI354" s="154"/>
    </row>
    <row r="355" spans="1:39" ht="15.75" thickBot="1">
      <c r="A355" s="97"/>
      <c r="B355" s="372"/>
      <c r="C355" s="372"/>
      <c r="D355" s="372"/>
      <c r="E355" s="97"/>
      <c r="F355" s="155"/>
      <c r="G355" s="156"/>
      <c r="H355" s="156"/>
      <c r="I355" s="156"/>
      <c r="J355" s="156"/>
      <c r="K355" s="156"/>
      <c r="L355" s="157"/>
      <c r="M355" s="156"/>
      <c r="N355" s="156"/>
      <c r="O355" s="156"/>
      <c r="P355" s="156"/>
      <c r="Q355" s="156"/>
      <c r="R355" s="156"/>
      <c r="S355" s="156"/>
      <c r="T355" s="156"/>
      <c r="U355" s="156"/>
      <c r="V355" s="156"/>
      <c r="W355" s="156"/>
      <c r="X355" s="156"/>
      <c r="Y355" s="156"/>
      <c r="Z355" s="156"/>
      <c r="AA355" s="156"/>
      <c r="AB355" s="156"/>
      <c r="AC355" s="156"/>
      <c r="AD355" s="156"/>
      <c r="AE355" s="156"/>
      <c r="AF355" s="156"/>
      <c r="AG355" s="156"/>
      <c r="AH355" s="156"/>
      <c r="AI355" s="156"/>
    </row>
    <row r="356" spans="1:39">
      <c r="A356" s="97"/>
      <c r="B356" s="372"/>
      <c r="C356" s="372"/>
      <c r="D356" s="372"/>
      <c r="E356" s="97"/>
      <c r="F356" s="158"/>
      <c r="G356" s="159"/>
      <c r="H356" s="159"/>
      <c r="I356" s="159"/>
      <c r="J356" s="159"/>
      <c r="K356" s="159"/>
      <c r="L356" s="160"/>
      <c r="M356" s="160"/>
      <c r="N356" s="159"/>
      <c r="O356" s="159"/>
      <c r="P356" s="159"/>
      <c r="Q356" s="159"/>
      <c r="R356" s="159"/>
      <c r="S356" s="159"/>
      <c r="T356" s="159"/>
      <c r="U356" s="159"/>
      <c r="V356" s="159"/>
      <c r="W356" s="159"/>
      <c r="X356" s="159"/>
      <c r="Y356" s="159"/>
      <c r="Z356" s="159"/>
      <c r="AA356" s="159"/>
      <c r="AB356" s="159"/>
      <c r="AC356" s="159"/>
      <c r="AD356" s="159"/>
      <c r="AE356" s="159"/>
      <c r="AF356" s="159"/>
      <c r="AG356" s="159"/>
      <c r="AH356" s="159"/>
      <c r="AI356" s="159"/>
    </row>
    <row r="357" spans="1:39">
      <c r="A357" s="97"/>
      <c r="B357" s="372"/>
      <c r="C357" s="372"/>
      <c r="D357" s="372"/>
      <c r="E357" s="97"/>
      <c r="F357" s="161"/>
      <c r="G357" s="162"/>
      <c r="H357" s="162"/>
      <c r="I357" s="162"/>
      <c r="J357" s="162"/>
      <c r="K357" s="162"/>
      <c r="L357" s="162"/>
      <c r="M357" s="162"/>
      <c r="N357" s="162"/>
      <c r="O357" s="162"/>
      <c r="P357" s="162"/>
      <c r="Q357" s="162"/>
      <c r="R357" s="162"/>
      <c r="S357" s="162"/>
      <c r="T357" s="162"/>
      <c r="U357" s="162"/>
      <c r="V357" s="162"/>
      <c r="W357" s="162"/>
      <c r="X357" s="162"/>
      <c r="Y357" s="162"/>
      <c r="Z357" s="162"/>
      <c r="AA357" s="162"/>
      <c r="AB357" s="162"/>
      <c r="AC357" s="162"/>
      <c r="AD357" s="162"/>
      <c r="AE357" s="162"/>
      <c r="AF357" s="162"/>
      <c r="AG357" s="162"/>
      <c r="AH357" s="162"/>
      <c r="AI357" s="162"/>
    </row>
    <row r="358" spans="1:39">
      <c r="A358" s="97"/>
      <c r="B358" s="372"/>
      <c r="C358" s="372"/>
      <c r="D358" s="372"/>
      <c r="E358" s="97"/>
      <c r="F358" s="161"/>
      <c r="G358" s="132"/>
      <c r="H358" s="132"/>
      <c r="I358" s="132"/>
      <c r="J358" s="132"/>
      <c r="K358" s="132"/>
      <c r="L358" s="133"/>
      <c r="M358" s="133"/>
      <c r="N358" s="132"/>
      <c r="O358" s="132"/>
      <c r="P358" s="132"/>
      <c r="Q358" s="132"/>
      <c r="R358" s="132"/>
      <c r="S358" s="132"/>
      <c r="T358" s="132"/>
      <c r="U358" s="132"/>
      <c r="V358" s="132"/>
      <c r="W358" s="132"/>
      <c r="X358" s="132"/>
      <c r="Y358" s="132"/>
      <c r="Z358" s="132"/>
      <c r="AA358" s="132"/>
      <c r="AB358" s="132"/>
      <c r="AC358" s="132"/>
      <c r="AD358" s="132"/>
      <c r="AE358" s="132"/>
      <c r="AF358" s="132"/>
      <c r="AG358" s="132"/>
      <c r="AH358" s="132"/>
      <c r="AI358" s="132"/>
    </row>
    <row r="359" spans="1:39">
      <c r="A359" s="97"/>
      <c r="B359" s="372"/>
      <c r="C359" s="372"/>
      <c r="D359" s="372"/>
      <c r="E359" s="97"/>
      <c r="F359" s="161"/>
      <c r="G359" s="132"/>
      <c r="H359" s="132"/>
      <c r="I359" s="132"/>
      <c r="J359" s="132"/>
      <c r="K359" s="132"/>
      <c r="L359" s="133"/>
      <c r="M359" s="133"/>
      <c r="N359" s="132"/>
      <c r="O359" s="132"/>
      <c r="P359" s="132"/>
      <c r="Q359" s="132"/>
      <c r="R359" s="132"/>
      <c r="S359" s="132"/>
      <c r="T359" s="132"/>
      <c r="U359" s="132"/>
      <c r="V359" s="132"/>
      <c r="W359" s="132"/>
      <c r="X359" s="132"/>
      <c r="Y359" s="132"/>
      <c r="Z359" s="132"/>
      <c r="AA359" s="132"/>
      <c r="AB359" s="132"/>
      <c r="AC359" s="132"/>
      <c r="AD359" s="132"/>
      <c r="AE359" s="132"/>
      <c r="AF359" s="132"/>
      <c r="AG359" s="132"/>
      <c r="AH359" s="132"/>
      <c r="AI359" s="132"/>
    </row>
    <row r="360" spans="1:39">
      <c r="A360" s="97"/>
      <c r="B360" s="372"/>
      <c r="C360" s="372"/>
      <c r="D360" s="372"/>
      <c r="E360" s="97"/>
      <c r="F360" s="161"/>
      <c r="G360" s="132"/>
      <c r="H360" s="132"/>
      <c r="I360" s="132"/>
      <c r="J360" s="132"/>
      <c r="K360" s="132"/>
      <c r="L360" s="133"/>
      <c r="M360" s="133"/>
      <c r="N360" s="132"/>
      <c r="O360" s="132"/>
      <c r="P360" s="132"/>
      <c r="Q360" s="132"/>
      <c r="R360" s="132"/>
      <c r="S360" s="132"/>
      <c r="T360" s="132"/>
      <c r="U360" s="132"/>
      <c r="V360" s="132"/>
      <c r="W360" s="132"/>
      <c r="X360" s="132"/>
      <c r="Y360" s="132"/>
      <c r="Z360" s="132"/>
      <c r="AA360" s="132"/>
      <c r="AB360" s="132"/>
      <c r="AC360" s="132"/>
      <c r="AD360" s="132"/>
      <c r="AE360" s="132"/>
      <c r="AF360" s="132"/>
      <c r="AG360" s="132"/>
      <c r="AH360" s="132"/>
      <c r="AI360" s="132"/>
    </row>
    <row r="361" spans="1:39" ht="15.75" thickBot="1">
      <c r="A361" s="97"/>
      <c r="B361" s="372"/>
      <c r="C361" s="372"/>
      <c r="D361" s="372"/>
      <c r="E361" s="97"/>
      <c r="F361" s="163"/>
      <c r="G361" s="129"/>
      <c r="H361" s="129"/>
      <c r="I361" s="129"/>
      <c r="J361" s="129"/>
      <c r="K361" s="129"/>
      <c r="L361" s="164"/>
      <c r="M361" s="129"/>
      <c r="N361" s="129"/>
      <c r="O361" s="129"/>
      <c r="P361" s="129"/>
      <c r="Q361" s="129"/>
      <c r="R361" s="129"/>
      <c r="S361" s="129"/>
      <c r="T361" s="129"/>
      <c r="U361" s="129"/>
      <c r="V361" s="129"/>
      <c r="W361" s="129"/>
      <c r="X361" s="129"/>
      <c r="Y361" s="129"/>
      <c r="Z361" s="129"/>
      <c r="AA361" s="129"/>
      <c r="AB361" s="129"/>
      <c r="AC361" s="129"/>
      <c r="AD361" s="129"/>
      <c r="AE361" s="129"/>
      <c r="AF361" s="129"/>
      <c r="AG361" s="129"/>
      <c r="AH361" s="129"/>
      <c r="AI361" s="129"/>
    </row>
    <row r="362" spans="1:39" ht="15.75" thickTop="1">
      <c r="A362" s="100"/>
      <c r="B362" s="100"/>
      <c r="C362" s="100"/>
      <c r="D362" s="100"/>
      <c r="E362" s="100"/>
      <c r="F362" s="100"/>
      <c r="G362" s="100"/>
      <c r="H362" s="100"/>
      <c r="I362" s="100"/>
      <c r="J362" s="100"/>
      <c r="K362" s="100"/>
      <c r="L362" s="100"/>
      <c r="M362" s="166"/>
      <c r="N362" s="166"/>
      <c r="O362" s="166"/>
      <c r="P362" s="166"/>
      <c r="Q362" s="100"/>
      <c r="R362" s="166"/>
      <c r="S362" s="166"/>
      <c r="T362" s="100"/>
      <c r="U362" s="166"/>
      <c r="V362" s="102"/>
      <c r="W362" s="102"/>
      <c r="X362" s="102"/>
      <c r="Y362" s="102"/>
      <c r="Z362" s="102"/>
      <c r="AA362" s="102"/>
      <c r="AB362" s="102"/>
      <c r="AC362" s="102"/>
      <c r="AD362" s="102"/>
      <c r="AE362" s="102"/>
      <c r="AF362" s="102"/>
      <c r="AG362" s="102"/>
      <c r="AH362" s="102"/>
      <c r="AI362" s="102"/>
    </row>
    <row r="363" spans="1:39">
      <c r="A363" s="97"/>
      <c r="B363" s="97"/>
      <c r="C363" s="97"/>
      <c r="D363" s="97"/>
      <c r="E363" s="97"/>
      <c r="F363" s="100"/>
      <c r="G363" s="97"/>
      <c r="H363" s="97"/>
      <c r="I363" s="97"/>
      <c r="J363" s="97"/>
      <c r="K363" s="97"/>
      <c r="L363" s="97"/>
      <c r="M363" s="167"/>
      <c r="N363" s="167"/>
      <c r="O363" s="167"/>
      <c r="P363" s="167"/>
      <c r="Q363" s="97"/>
      <c r="R363" s="167"/>
      <c r="S363" s="167"/>
      <c r="T363" s="97"/>
      <c r="U363" s="167"/>
      <c r="V363" s="98"/>
      <c r="W363" s="98"/>
      <c r="X363" s="98"/>
      <c r="Y363" s="98"/>
      <c r="Z363" s="98"/>
      <c r="AA363" s="98"/>
      <c r="AB363" s="98"/>
      <c r="AC363" s="98"/>
      <c r="AD363" s="98"/>
      <c r="AE363" s="98"/>
      <c r="AF363" s="98"/>
      <c r="AG363" s="98"/>
      <c r="AH363" s="98"/>
      <c r="AI363" s="98"/>
    </row>
    <row r="364" spans="1:39">
      <c r="A364" s="97"/>
      <c r="B364" s="116"/>
      <c r="C364" s="97"/>
      <c r="D364" s="117"/>
      <c r="E364" s="118"/>
      <c r="F364" s="119"/>
      <c r="G364" s="120"/>
      <c r="H364" s="97"/>
      <c r="I364" s="97"/>
      <c r="J364" s="97"/>
      <c r="K364" s="97"/>
      <c r="L364" s="97"/>
      <c r="M364" s="97"/>
      <c r="N364" s="97"/>
      <c r="O364" s="97"/>
      <c r="P364" s="97"/>
      <c r="Q364" s="97"/>
      <c r="R364" s="97"/>
      <c r="S364" s="97"/>
      <c r="T364" s="97"/>
      <c r="U364" s="97"/>
      <c r="V364" s="98"/>
      <c r="W364" s="98"/>
      <c r="X364" s="98"/>
      <c r="Y364" s="98"/>
      <c r="Z364" s="98"/>
      <c r="AA364" s="98"/>
      <c r="AB364" s="98"/>
      <c r="AC364" s="98"/>
      <c r="AD364" s="98"/>
      <c r="AE364" s="98"/>
      <c r="AF364" s="98"/>
      <c r="AG364" s="98"/>
      <c r="AH364" s="98"/>
      <c r="AI364" s="98"/>
    </row>
    <row r="365" spans="1:39">
      <c r="A365" s="97"/>
      <c r="B365" s="168"/>
      <c r="C365" s="113"/>
      <c r="D365" s="113"/>
      <c r="E365" s="113"/>
      <c r="F365" s="113"/>
      <c r="G365" s="113"/>
      <c r="H365" s="113"/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  <c r="T365" s="113"/>
      <c r="U365" s="113"/>
      <c r="V365" s="113"/>
      <c r="W365" s="113"/>
      <c r="X365" s="113"/>
      <c r="Y365" s="113"/>
      <c r="Z365" s="113"/>
      <c r="AA365" s="113"/>
      <c r="AB365" s="113"/>
      <c r="AC365" s="113"/>
      <c r="AD365" s="113"/>
      <c r="AE365" s="113"/>
      <c r="AF365" s="113"/>
      <c r="AG365" s="113"/>
      <c r="AH365" s="113"/>
      <c r="AI365" s="113"/>
      <c r="AJ365"/>
      <c r="AK365"/>
      <c r="AL365"/>
      <c r="AM365"/>
    </row>
    <row r="366" spans="1:39" ht="15.75" thickBot="1">
      <c r="A366" s="97"/>
      <c r="B366" s="121"/>
      <c r="C366" s="122"/>
      <c r="D366" s="122"/>
      <c r="E366" s="122"/>
      <c r="F366" s="123"/>
      <c r="G366" s="123"/>
      <c r="H366" s="123"/>
      <c r="I366" s="123"/>
      <c r="J366" s="123"/>
      <c r="K366" s="123"/>
      <c r="L366" s="123"/>
      <c r="M366" s="123"/>
      <c r="N366" s="123"/>
      <c r="O366" s="123"/>
      <c r="P366" s="123"/>
      <c r="Q366" s="123"/>
      <c r="R366" s="123"/>
      <c r="S366" s="123"/>
      <c r="T366" s="123"/>
      <c r="U366" s="123"/>
      <c r="V366" s="123"/>
      <c r="W366" s="123"/>
      <c r="X366" s="123"/>
      <c r="Y366" s="123"/>
      <c r="Z366" s="123"/>
      <c r="AA366" s="123"/>
      <c r="AB366" s="123"/>
      <c r="AC366" s="123"/>
      <c r="AD366" s="123"/>
      <c r="AE366" s="123"/>
      <c r="AF366" s="123"/>
      <c r="AG366" s="123"/>
      <c r="AH366" s="123"/>
      <c r="AI366" s="123"/>
    </row>
    <row r="367" spans="1:39">
      <c r="A367" s="97"/>
      <c r="B367" s="124"/>
      <c r="C367" s="125"/>
      <c r="D367" s="125"/>
      <c r="E367" s="125"/>
      <c r="F367" s="125"/>
      <c r="G367" s="125"/>
      <c r="H367" s="125"/>
      <c r="I367" s="125"/>
      <c r="J367" s="125"/>
      <c r="K367" s="126"/>
      <c r="L367" s="127"/>
      <c r="M367" s="127"/>
      <c r="N367" s="126"/>
      <c r="O367" s="126"/>
      <c r="P367" s="126"/>
      <c r="Q367" s="126"/>
      <c r="R367" s="126"/>
      <c r="S367" s="126"/>
      <c r="T367" s="126"/>
      <c r="U367" s="126"/>
      <c r="V367" s="126"/>
      <c r="W367" s="126"/>
      <c r="X367" s="126"/>
      <c r="Y367" s="126"/>
      <c r="Z367" s="126"/>
      <c r="AA367" s="126"/>
      <c r="AB367" s="126"/>
      <c r="AC367" s="126"/>
      <c r="AD367" s="126"/>
      <c r="AE367" s="126"/>
      <c r="AF367" s="126"/>
      <c r="AG367" s="126"/>
      <c r="AH367" s="126"/>
      <c r="AI367" s="126"/>
    </row>
    <row r="368" spans="1:39" ht="15.75" thickBot="1">
      <c r="A368" s="97"/>
      <c r="B368" s="128"/>
      <c r="C368" s="129"/>
      <c r="D368" s="129"/>
      <c r="E368" s="129"/>
      <c r="F368" s="129"/>
      <c r="G368" s="129"/>
      <c r="H368" s="129"/>
      <c r="I368" s="129"/>
      <c r="J368" s="129"/>
      <c r="K368" s="130"/>
      <c r="L368" s="130"/>
      <c r="M368" s="130"/>
      <c r="N368" s="130"/>
      <c r="O368" s="130"/>
      <c r="P368" s="130"/>
      <c r="Q368" s="130"/>
      <c r="R368" s="130"/>
      <c r="S368" s="130"/>
      <c r="T368" s="130"/>
      <c r="U368" s="130"/>
      <c r="V368" s="130"/>
      <c r="W368" s="130"/>
      <c r="X368" s="130"/>
      <c r="Y368" s="130"/>
      <c r="Z368" s="130"/>
      <c r="AA368" s="130"/>
      <c r="AB368" s="130"/>
      <c r="AC368" s="130"/>
      <c r="AD368" s="130"/>
      <c r="AE368" s="130"/>
      <c r="AF368" s="130"/>
      <c r="AG368" s="130"/>
      <c r="AH368" s="130"/>
      <c r="AI368" s="130"/>
    </row>
    <row r="369" spans="1:35" ht="15.75" thickTop="1">
      <c r="A369" s="97"/>
      <c r="B369" s="131"/>
      <c r="C369" s="132"/>
      <c r="D369" s="132"/>
      <c r="E369" s="132"/>
      <c r="F369" s="132"/>
      <c r="G369" s="132"/>
      <c r="H369" s="132"/>
      <c r="I369" s="132"/>
      <c r="J369" s="132"/>
      <c r="K369" s="132"/>
      <c r="L369" s="133"/>
      <c r="M369" s="133"/>
      <c r="N369" s="132"/>
      <c r="O369" s="132"/>
      <c r="P369" s="132"/>
      <c r="Q369" s="132"/>
      <c r="R369" s="132"/>
      <c r="S369" s="132"/>
      <c r="T369" s="132"/>
      <c r="U369" s="132"/>
      <c r="V369" s="132"/>
      <c r="W369" s="132"/>
      <c r="X369" s="132"/>
      <c r="Y369" s="132"/>
      <c r="Z369" s="132"/>
      <c r="AA369" s="132"/>
      <c r="AB369" s="132"/>
      <c r="AC369" s="132"/>
      <c r="AD369" s="132"/>
      <c r="AE369" s="132"/>
      <c r="AF369" s="132"/>
      <c r="AG369" s="132"/>
      <c r="AH369" s="132"/>
      <c r="AI369" s="132"/>
    </row>
    <row r="370" spans="1:35" ht="15.75" thickBot="1">
      <c r="A370" s="97"/>
      <c r="B370" s="128"/>
      <c r="C370" s="134"/>
      <c r="D370" s="134"/>
      <c r="E370" s="134"/>
      <c r="F370" s="134"/>
      <c r="G370" s="130"/>
      <c r="H370" s="130"/>
      <c r="I370" s="130"/>
      <c r="J370" s="130"/>
      <c r="K370" s="130"/>
      <c r="L370" s="130"/>
      <c r="M370" s="130"/>
      <c r="N370" s="130"/>
      <c r="O370" s="130"/>
      <c r="P370" s="130"/>
      <c r="Q370" s="130"/>
      <c r="R370" s="130"/>
      <c r="S370" s="130"/>
      <c r="T370" s="130"/>
      <c r="U370" s="130"/>
      <c r="V370" s="130"/>
      <c r="W370" s="130"/>
      <c r="X370" s="130"/>
      <c r="Y370" s="130"/>
      <c r="Z370" s="130"/>
      <c r="AA370" s="130"/>
      <c r="AB370" s="130"/>
      <c r="AC370" s="130"/>
      <c r="AD370" s="130"/>
      <c r="AE370" s="130"/>
      <c r="AF370" s="130"/>
      <c r="AG370" s="130"/>
      <c r="AH370" s="130"/>
      <c r="AI370" s="130"/>
    </row>
    <row r="371" spans="1:35" ht="15.75" thickTop="1">
      <c r="A371" s="97"/>
      <c r="B371" s="135"/>
      <c r="C371" s="136"/>
      <c r="D371" s="136"/>
      <c r="E371" s="136"/>
      <c r="F371" s="136"/>
      <c r="G371" s="136"/>
      <c r="H371" s="136"/>
      <c r="I371" s="136"/>
      <c r="J371" s="136"/>
      <c r="K371" s="136"/>
      <c r="L371" s="137"/>
      <c r="M371" s="137"/>
      <c r="N371" s="136"/>
      <c r="O371" s="136"/>
      <c r="P371" s="136"/>
      <c r="Q371" s="136"/>
      <c r="R371" s="136"/>
      <c r="S371" s="136"/>
      <c r="T371" s="136"/>
      <c r="U371" s="136"/>
      <c r="V371" s="136"/>
      <c r="W371" s="136"/>
      <c r="X371" s="136"/>
      <c r="Y371" s="136"/>
      <c r="Z371" s="136"/>
      <c r="AA371" s="136"/>
      <c r="AB371" s="136"/>
      <c r="AC371" s="136"/>
      <c r="AD371" s="136"/>
      <c r="AE371" s="136"/>
      <c r="AF371" s="136"/>
      <c r="AG371" s="136"/>
      <c r="AH371" s="136"/>
      <c r="AI371" s="136"/>
    </row>
    <row r="372" spans="1:35" ht="15.75" thickBot="1">
      <c r="A372" s="97"/>
      <c r="B372" s="128"/>
      <c r="C372" s="130"/>
      <c r="D372" s="130"/>
      <c r="E372" s="130"/>
      <c r="F372" s="130"/>
      <c r="G372" s="130"/>
      <c r="H372" s="130"/>
      <c r="I372" s="130"/>
      <c r="J372" s="130"/>
      <c r="K372" s="130"/>
      <c r="L372" s="130"/>
      <c r="M372" s="130"/>
      <c r="N372" s="130"/>
      <c r="O372" s="130"/>
      <c r="P372" s="130"/>
      <c r="Q372" s="130"/>
      <c r="R372" s="130"/>
      <c r="S372" s="130"/>
      <c r="T372" s="130"/>
      <c r="U372" s="130"/>
      <c r="V372" s="130"/>
      <c r="W372" s="130"/>
      <c r="X372" s="130"/>
      <c r="Y372" s="130"/>
      <c r="Z372" s="130"/>
      <c r="AA372" s="130"/>
      <c r="AB372" s="130"/>
      <c r="AC372" s="130"/>
      <c r="AD372" s="130"/>
      <c r="AE372" s="130"/>
      <c r="AF372" s="130"/>
      <c r="AG372" s="130"/>
      <c r="AH372" s="130"/>
      <c r="AI372" s="130"/>
    </row>
    <row r="373" spans="1:35" ht="15.75" thickTop="1">
      <c r="A373" s="97"/>
      <c r="B373" s="97"/>
      <c r="C373" s="97"/>
      <c r="D373" s="97"/>
      <c r="E373" s="97"/>
      <c r="F373" s="97"/>
      <c r="G373" s="97"/>
      <c r="H373" s="97"/>
      <c r="I373" s="97"/>
      <c r="J373" s="97"/>
      <c r="K373" s="97"/>
      <c r="L373" s="97"/>
      <c r="M373" s="97"/>
      <c r="N373" s="97"/>
      <c r="O373" s="97"/>
      <c r="P373" s="97"/>
      <c r="Q373" s="97"/>
      <c r="R373" s="97"/>
      <c r="S373" s="97"/>
      <c r="T373" s="97"/>
      <c r="U373" s="97"/>
      <c r="V373" s="97"/>
      <c r="W373" s="97"/>
      <c r="X373" s="97"/>
      <c r="Y373" s="97"/>
      <c r="Z373" s="97"/>
      <c r="AA373" s="97"/>
      <c r="AB373" s="97"/>
      <c r="AC373" s="97"/>
      <c r="AD373" s="97"/>
      <c r="AE373" s="97"/>
      <c r="AF373" s="97"/>
      <c r="AG373" s="97"/>
      <c r="AH373" s="97"/>
      <c r="AI373" s="97"/>
    </row>
    <row r="374" spans="1:35" ht="15.75" thickBot="1">
      <c r="A374" s="97"/>
      <c r="B374" s="138"/>
      <c r="C374" s="139"/>
      <c r="D374" s="139"/>
      <c r="E374" s="139"/>
      <c r="F374" s="139"/>
      <c r="G374" s="139"/>
      <c r="H374" s="139"/>
      <c r="I374" s="139"/>
      <c r="J374" s="139"/>
      <c r="K374" s="139"/>
      <c r="L374" s="140"/>
      <c r="M374" s="139"/>
      <c r="N374" s="139"/>
      <c r="O374" s="139"/>
      <c r="P374" s="139"/>
      <c r="Q374" s="139"/>
      <c r="R374" s="139"/>
      <c r="S374" s="139"/>
      <c r="T374" s="139"/>
      <c r="U374" s="139"/>
      <c r="V374" s="139"/>
      <c r="W374" s="139"/>
      <c r="X374" s="139"/>
      <c r="Y374" s="139"/>
      <c r="Z374" s="139"/>
      <c r="AA374" s="139"/>
      <c r="AB374" s="139"/>
      <c r="AC374" s="139"/>
      <c r="AD374" s="139"/>
      <c r="AE374" s="139"/>
      <c r="AF374" s="139"/>
      <c r="AG374" s="139"/>
      <c r="AH374" s="139"/>
      <c r="AI374" s="139"/>
    </row>
    <row r="375" spans="1:35">
      <c r="A375" s="97"/>
      <c r="B375" s="141"/>
      <c r="C375" s="141"/>
      <c r="D375" s="142"/>
      <c r="E375" s="97"/>
      <c r="F375" s="119"/>
      <c r="G375" s="143"/>
      <c r="H375" s="144"/>
      <c r="I375" s="144"/>
      <c r="J375" s="144"/>
      <c r="K375" s="144"/>
      <c r="L375" s="144"/>
      <c r="M375" s="144"/>
      <c r="N375" s="144"/>
      <c r="O375" s="144"/>
      <c r="P375" s="144"/>
      <c r="Q375" s="144"/>
      <c r="R375" s="144"/>
      <c r="S375" s="144"/>
      <c r="T375" s="144"/>
      <c r="U375" s="144"/>
      <c r="V375" s="144"/>
      <c r="W375" s="144"/>
      <c r="X375" s="144"/>
      <c r="Y375" s="144"/>
      <c r="Z375" s="144"/>
      <c r="AA375" s="144"/>
      <c r="AB375" s="144"/>
      <c r="AC375" s="144"/>
      <c r="AD375" s="144"/>
      <c r="AE375" s="144"/>
      <c r="AF375" s="144"/>
      <c r="AG375" s="144"/>
      <c r="AH375" s="144"/>
      <c r="AI375" s="144"/>
    </row>
    <row r="376" spans="1:35" ht="15.75" thickBot="1">
      <c r="A376" s="97"/>
      <c r="B376" s="141"/>
      <c r="C376" s="119"/>
      <c r="D376" s="145"/>
      <c r="E376" s="97"/>
      <c r="F376" s="146"/>
      <c r="G376" s="141"/>
      <c r="H376" s="147"/>
      <c r="I376" s="147"/>
      <c r="J376" s="147"/>
      <c r="K376" s="147"/>
      <c r="L376" s="148"/>
      <c r="M376" s="147"/>
      <c r="N376" s="147"/>
      <c r="O376" s="147"/>
      <c r="P376" s="147"/>
      <c r="Q376" s="147"/>
      <c r="R376" s="147"/>
      <c r="S376" s="147"/>
      <c r="T376" s="147"/>
      <c r="U376" s="147"/>
      <c r="V376" s="147"/>
      <c r="W376" s="147"/>
      <c r="X376" s="147"/>
      <c r="Y376" s="147"/>
      <c r="Z376" s="147"/>
      <c r="AA376" s="147"/>
      <c r="AB376" s="147"/>
      <c r="AC376" s="147"/>
      <c r="AD376" s="147"/>
      <c r="AE376" s="147"/>
      <c r="AF376" s="147"/>
      <c r="AG376" s="147"/>
      <c r="AH376" s="147"/>
      <c r="AI376" s="147"/>
    </row>
    <row r="377" spans="1:35" ht="15.75" thickTop="1">
      <c r="A377" s="97"/>
      <c r="B377" s="97"/>
      <c r="C377" s="97"/>
      <c r="D377" s="97"/>
      <c r="E377" s="97"/>
      <c r="F377" s="149"/>
      <c r="G377" s="150"/>
      <c r="H377" s="150"/>
      <c r="I377" s="150"/>
      <c r="J377" s="150"/>
      <c r="K377" s="150"/>
      <c r="L377" s="150"/>
      <c r="M377" s="150"/>
      <c r="N377" s="150"/>
      <c r="O377" s="150"/>
      <c r="P377" s="150"/>
      <c r="Q377" s="150"/>
      <c r="R377" s="150"/>
      <c r="S377" s="150"/>
      <c r="T377" s="150"/>
      <c r="U377" s="150"/>
      <c r="V377" s="150"/>
      <c r="W377" s="150"/>
      <c r="X377" s="150"/>
      <c r="Y377" s="150"/>
      <c r="Z377" s="150"/>
      <c r="AA377" s="150"/>
      <c r="AB377" s="150"/>
      <c r="AC377" s="150"/>
      <c r="AD377" s="150"/>
      <c r="AE377" s="150"/>
      <c r="AF377" s="150"/>
      <c r="AG377" s="150"/>
      <c r="AH377" s="150"/>
      <c r="AI377" s="150"/>
    </row>
    <row r="378" spans="1:35">
      <c r="A378" s="97"/>
      <c r="B378" s="372"/>
      <c r="C378" s="372"/>
      <c r="D378" s="372"/>
      <c r="E378" s="97"/>
      <c r="F378" s="112"/>
      <c r="G378" s="151"/>
      <c r="H378" s="151"/>
      <c r="I378" s="151"/>
      <c r="J378" s="151"/>
      <c r="K378" s="151"/>
      <c r="L378" s="151"/>
      <c r="M378" s="151"/>
      <c r="N378" s="151"/>
      <c r="O378" s="151"/>
      <c r="P378" s="151"/>
      <c r="Q378" s="151"/>
      <c r="R378" s="151"/>
      <c r="S378" s="165"/>
      <c r="T378" s="165"/>
      <c r="U378" s="165"/>
      <c r="V378" s="165"/>
      <c r="W378" s="165"/>
      <c r="X378" s="165"/>
      <c r="Y378" s="165"/>
      <c r="Z378" s="165"/>
      <c r="AA378" s="165"/>
      <c r="AB378" s="165"/>
      <c r="AC378" s="165"/>
      <c r="AD378" s="165"/>
      <c r="AE378" s="165"/>
      <c r="AF378" s="165"/>
      <c r="AG378" s="165"/>
      <c r="AH378" s="165"/>
      <c r="AI378" s="165"/>
    </row>
    <row r="379" spans="1:35" ht="15.75" thickBot="1">
      <c r="A379" s="97"/>
      <c r="B379" s="372"/>
      <c r="C379" s="372"/>
      <c r="D379" s="372"/>
      <c r="E379" s="97"/>
      <c r="F379" s="112"/>
      <c r="G379" s="152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  <c r="AH379" s="153"/>
      <c r="AI379" s="153"/>
    </row>
    <row r="380" spans="1:35" ht="15.75" thickTop="1">
      <c r="A380" s="97"/>
      <c r="B380" s="372"/>
      <c r="C380" s="372"/>
      <c r="D380" s="372"/>
      <c r="E380" s="97"/>
      <c r="F380" s="141"/>
      <c r="G380" s="154"/>
      <c r="H380" s="154"/>
      <c r="I380" s="154"/>
      <c r="J380" s="154"/>
      <c r="K380" s="154"/>
      <c r="L380" s="154"/>
      <c r="M380" s="154"/>
      <c r="N380" s="154"/>
      <c r="O380" s="154"/>
      <c r="P380" s="154"/>
      <c r="Q380" s="154"/>
      <c r="R380" s="154"/>
      <c r="S380" s="154"/>
      <c r="T380" s="154"/>
      <c r="U380" s="154"/>
      <c r="V380" s="154"/>
      <c r="W380" s="154"/>
      <c r="X380" s="154"/>
      <c r="Y380" s="154"/>
      <c r="Z380" s="154"/>
      <c r="AA380" s="154"/>
      <c r="AB380" s="154"/>
      <c r="AC380" s="154"/>
      <c r="AD380" s="154"/>
      <c r="AE380" s="154"/>
      <c r="AF380" s="154"/>
      <c r="AG380" s="154"/>
      <c r="AH380" s="154"/>
      <c r="AI380" s="154"/>
    </row>
    <row r="381" spans="1:35" ht="15.75" thickBot="1">
      <c r="A381" s="97"/>
      <c r="B381" s="372"/>
      <c r="C381" s="372"/>
      <c r="D381" s="372"/>
      <c r="E381" s="97"/>
      <c r="F381" s="155"/>
      <c r="G381" s="156"/>
      <c r="H381" s="156"/>
      <c r="I381" s="156"/>
      <c r="J381" s="156"/>
      <c r="K381" s="156"/>
      <c r="L381" s="157"/>
      <c r="M381" s="156"/>
      <c r="N381" s="156"/>
      <c r="O381" s="156"/>
      <c r="P381" s="156"/>
      <c r="Q381" s="156"/>
      <c r="R381" s="156"/>
      <c r="S381" s="156"/>
      <c r="T381" s="156"/>
      <c r="U381" s="156"/>
      <c r="V381" s="156"/>
      <c r="W381" s="156"/>
      <c r="X381" s="156"/>
      <c r="Y381" s="156"/>
      <c r="Z381" s="156"/>
      <c r="AA381" s="156"/>
      <c r="AB381" s="156"/>
      <c r="AC381" s="156"/>
      <c r="AD381" s="156"/>
      <c r="AE381" s="156"/>
      <c r="AF381" s="156"/>
      <c r="AG381" s="156"/>
      <c r="AH381" s="156"/>
      <c r="AI381" s="156"/>
    </row>
    <row r="382" spans="1:35">
      <c r="A382" s="97"/>
      <c r="B382" s="372"/>
      <c r="C382" s="372"/>
      <c r="D382" s="372"/>
      <c r="E382" s="97"/>
      <c r="F382" s="158"/>
      <c r="G382" s="159"/>
      <c r="H382" s="159"/>
      <c r="I382" s="159"/>
      <c r="J382" s="159"/>
      <c r="K382" s="159"/>
      <c r="L382" s="160"/>
      <c r="M382" s="160"/>
      <c r="N382" s="159"/>
      <c r="O382" s="159"/>
      <c r="P382" s="159"/>
      <c r="Q382" s="159"/>
      <c r="R382" s="159"/>
      <c r="S382" s="159"/>
      <c r="T382" s="159"/>
      <c r="U382" s="159"/>
      <c r="V382" s="159"/>
      <c r="W382" s="159"/>
      <c r="X382" s="159"/>
      <c r="Y382" s="159"/>
      <c r="Z382" s="159"/>
      <c r="AA382" s="159"/>
      <c r="AB382" s="159"/>
      <c r="AC382" s="159"/>
      <c r="AD382" s="159"/>
      <c r="AE382" s="159"/>
      <c r="AF382" s="159"/>
      <c r="AG382" s="159"/>
      <c r="AH382" s="159"/>
      <c r="AI382" s="159"/>
    </row>
    <row r="383" spans="1:35">
      <c r="A383" s="97"/>
      <c r="B383" s="372"/>
      <c r="C383" s="372"/>
      <c r="D383" s="372"/>
      <c r="E383" s="97"/>
      <c r="F383" s="161"/>
      <c r="G383" s="162"/>
      <c r="H383" s="162"/>
      <c r="I383" s="162"/>
      <c r="J383" s="162"/>
      <c r="K383" s="162"/>
      <c r="L383" s="162"/>
      <c r="M383" s="162"/>
      <c r="N383" s="162"/>
      <c r="O383" s="162"/>
      <c r="P383" s="162"/>
      <c r="Q383" s="162"/>
      <c r="R383" s="162"/>
      <c r="S383" s="162"/>
      <c r="T383" s="162"/>
      <c r="U383" s="162"/>
      <c r="V383" s="162"/>
      <c r="W383" s="162"/>
      <c r="X383" s="162"/>
      <c r="Y383" s="162"/>
      <c r="Z383" s="162"/>
      <c r="AA383" s="162"/>
      <c r="AB383" s="162"/>
      <c r="AC383" s="162"/>
      <c r="AD383" s="162"/>
      <c r="AE383" s="162"/>
      <c r="AF383" s="162"/>
      <c r="AG383" s="162"/>
      <c r="AH383" s="162"/>
      <c r="AI383" s="162"/>
    </row>
    <row r="384" spans="1:35">
      <c r="A384" s="97"/>
      <c r="B384" s="372"/>
      <c r="C384" s="372"/>
      <c r="D384" s="372"/>
      <c r="E384" s="97"/>
      <c r="F384" s="161"/>
      <c r="G384" s="132"/>
      <c r="H384" s="132"/>
      <c r="I384" s="132"/>
      <c r="J384" s="132"/>
      <c r="K384" s="132"/>
      <c r="L384" s="133"/>
      <c r="M384" s="133"/>
      <c r="N384" s="132"/>
      <c r="O384" s="132"/>
      <c r="P384" s="132"/>
      <c r="Q384" s="132"/>
      <c r="R384" s="132"/>
      <c r="S384" s="132"/>
      <c r="T384" s="132"/>
      <c r="U384" s="132"/>
      <c r="V384" s="132"/>
      <c r="W384" s="132"/>
      <c r="X384" s="132"/>
      <c r="Y384" s="132"/>
      <c r="Z384" s="132"/>
      <c r="AA384" s="132"/>
      <c r="AB384" s="132"/>
      <c r="AC384" s="132"/>
      <c r="AD384" s="132"/>
      <c r="AE384" s="132"/>
      <c r="AF384" s="132"/>
      <c r="AG384" s="132"/>
      <c r="AH384" s="132"/>
      <c r="AI384" s="132"/>
    </row>
    <row r="385" spans="1:39">
      <c r="A385" s="97"/>
      <c r="B385" s="372"/>
      <c r="C385" s="372"/>
      <c r="D385" s="372"/>
      <c r="E385" s="97"/>
      <c r="F385" s="161"/>
      <c r="G385" s="132"/>
      <c r="H385" s="132"/>
      <c r="I385" s="132"/>
      <c r="J385" s="132"/>
      <c r="K385" s="132"/>
      <c r="L385" s="133"/>
      <c r="M385" s="133"/>
      <c r="N385" s="132"/>
      <c r="O385" s="132"/>
      <c r="P385" s="132"/>
      <c r="Q385" s="132"/>
      <c r="R385" s="132"/>
      <c r="S385" s="132"/>
      <c r="T385" s="132"/>
      <c r="U385" s="132"/>
      <c r="V385" s="132"/>
      <c r="W385" s="132"/>
      <c r="X385" s="132"/>
      <c r="Y385" s="132"/>
      <c r="Z385" s="132"/>
      <c r="AA385" s="132"/>
      <c r="AB385" s="132"/>
      <c r="AC385" s="132"/>
      <c r="AD385" s="132"/>
      <c r="AE385" s="132"/>
      <c r="AF385" s="132"/>
      <c r="AG385" s="132"/>
      <c r="AH385" s="132"/>
      <c r="AI385" s="132"/>
    </row>
    <row r="386" spans="1:39">
      <c r="A386" s="97"/>
      <c r="B386" s="372"/>
      <c r="C386" s="372"/>
      <c r="D386" s="372"/>
      <c r="E386" s="97"/>
      <c r="F386" s="161"/>
      <c r="G386" s="132"/>
      <c r="H386" s="132"/>
      <c r="I386" s="132"/>
      <c r="J386" s="132"/>
      <c r="K386" s="132"/>
      <c r="L386" s="133"/>
      <c r="M386" s="133"/>
      <c r="N386" s="132"/>
      <c r="O386" s="132"/>
      <c r="P386" s="132"/>
      <c r="Q386" s="132"/>
      <c r="R386" s="132"/>
      <c r="S386" s="132"/>
      <c r="T386" s="132"/>
      <c r="U386" s="132"/>
      <c r="V386" s="132"/>
      <c r="W386" s="132"/>
      <c r="X386" s="132"/>
      <c r="Y386" s="132"/>
      <c r="Z386" s="132"/>
      <c r="AA386" s="132"/>
      <c r="AB386" s="132"/>
      <c r="AC386" s="132"/>
      <c r="AD386" s="132"/>
      <c r="AE386" s="132"/>
      <c r="AF386" s="132"/>
      <c r="AG386" s="132"/>
      <c r="AH386" s="132"/>
      <c r="AI386" s="132"/>
    </row>
    <row r="387" spans="1:39" ht="15.75" thickBot="1">
      <c r="A387" s="97"/>
      <c r="B387" s="372"/>
      <c r="C387" s="372"/>
      <c r="D387" s="372"/>
      <c r="E387" s="97"/>
      <c r="F387" s="163"/>
      <c r="G387" s="129"/>
      <c r="H387" s="129"/>
      <c r="I387" s="129"/>
      <c r="J387" s="129"/>
      <c r="K387" s="129"/>
      <c r="L387" s="164"/>
      <c r="M387" s="129"/>
      <c r="N387" s="129"/>
      <c r="O387" s="129"/>
      <c r="P387" s="129"/>
      <c r="Q387" s="129"/>
      <c r="R387" s="129"/>
      <c r="S387" s="129"/>
      <c r="T387" s="129"/>
      <c r="U387" s="129"/>
      <c r="V387" s="129"/>
      <c r="W387" s="129"/>
      <c r="X387" s="129"/>
      <c r="Y387" s="129"/>
      <c r="Z387" s="129"/>
      <c r="AA387" s="129"/>
      <c r="AB387" s="129"/>
      <c r="AC387" s="129"/>
      <c r="AD387" s="129"/>
      <c r="AE387" s="129"/>
      <c r="AF387" s="129"/>
      <c r="AG387" s="129"/>
      <c r="AH387" s="129"/>
      <c r="AI387" s="129"/>
    </row>
    <row r="388" spans="1:39" ht="15.75" thickTop="1">
      <c r="A388" s="100"/>
      <c r="B388" s="100"/>
      <c r="C388" s="100"/>
      <c r="D388" s="100"/>
      <c r="E388" s="100"/>
      <c r="F388" s="100"/>
      <c r="G388" s="100"/>
      <c r="H388" s="100"/>
      <c r="I388" s="100"/>
      <c r="J388" s="100"/>
      <c r="K388" s="100"/>
      <c r="L388" s="100"/>
      <c r="M388" s="166"/>
      <c r="N388" s="166"/>
      <c r="O388" s="166"/>
      <c r="P388" s="166"/>
      <c r="Q388" s="100"/>
      <c r="R388" s="166"/>
      <c r="S388" s="166"/>
      <c r="T388" s="100"/>
      <c r="U388" s="166"/>
      <c r="V388" s="102"/>
      <c r="W388" s="102"/>
      <c r="X388" s="102"/>
      <c r="Y388" s="102"/>
      <c r="Z388" s="102"/>
      <c r="AA388" s="102"/>
      <c r="AB388" s="102"/>
      <c r="AC388" s="102"/>
      <c r="AD388" s="102"/>
      <c r="AE388" s="102"/>
      <c r="AF388" s="102"/>
      <c r="AG388" s="102"/>
      <c r="AH388" s="102"/>
      <c r="AI388" s="102"/>
    </row>
    <row r="389" spans="1:39">
      <c r="A389" s="97"/>
      <c r="B389" s="97"/>
      <c r="C389" s="97"/>
      <c r="D389" s="97"/>
      <c r="E389" s="97"/>
      <c r="F389" s="100"/>
      <c r="G389" s="97"/>
      <c r="H389" s="97"/>
      <c r="I389" s="97"/>
      <c r="J389" s="97"/>
      <c r="K389" s="97"/>
      <c r="L389" s="97"/>
      <c r="M389" s="167"/>
      <c r="N389" s="167"/>
      <c r="O389" s="167"/>
      <c r="P389" s="167"/>
      <c r="Q389" s="97"/>
      <c r="R389" s="167"/>
      <c r="S389" s="167"/>
      <c r="T389" s="97"/>
      <c r="U389" s="167"/>
      <c r="V389" s="98"/>
      <c r="W389" s="98"/>
      <c r="X389" s="98"/>
      <c r="Y389" s="98"/>
      <c r="Z389" s="98"/>
      <c r="AA389" s="98"/>
      <c r="AB389" s="98"/>
      <c r="AC389" s="98"/>
      <c r="AD389" s="98"/>
      <c r="AE389" s="98"/>
      <c r="AF389" s="98"/>
      <c r="AG389" s="98"/>
      <c r="AH389" s="98"/>
      <c r="AI389" s="98"/>
    </row>
    <row r="390" spans="1:39">
      <c r="A390" s="97"/>
      <c r="B390" s="116"/>
      <c r="C390" s="97"/>
      <c r="D390" s="117"/>
      <c r="E390" s="118"/>
      <c r="F390" s="119"/>
      <c r="G390" s="120"/>
      <c r="H390" s="97"/>
      <c r="I390" s="97"/>
      <c r="J390" s="97"/>
      <c r="K390" s="97"/>
      <c r="L390" s="97"/>
      <c r="M390" s="97"/>
      <c r="N390" s="97"/>
      <c r="O390" s="97"/>
      <c r="P390" s="97"/>
      <c r="Q390" s="97"/>
      <c r="R390" s="97"/>
      <c r="S390" s="97"/>
      <c r="T390" s="97"/>
      <c r="U390" s="97"/>
      <c r="V390" s="98"/>
      <c r="W390" s="98"/>
      <c r="X390" s="98"/>
      <c r="Y390" s="98"/>
      <c r="Z390" s="98"/>
      <c r="AA390" s="98"/>
      <c r="AB390" s="98"/>
      <c r="AC390" s="98"/>
      <c r="AD390" s="98"/>
      <c r="AE390" s="98"/>
      <c r="AF390" s="98"/>
      <c r="AG390" s="98"/>
      <c r="AH390" s="98"/>
      <c r="AI390" s="98"/>
    </row>
    <row r="391" spans="1:39">
      <c r="A391" s="97"/>
      <c r="B391" s="168"/>
      <c r="C391" s="113"/>
      <c r="D391" s="113"/>
      <c r="E391" s="113"/>
      <c r="F391" s="113"/>
      <c r="G391" s="113"/>
      <c r="H391" s="113"/>
      <c r="I391" s="113"/>
      <c r="J391" s="113"/>
      <c r="K391" s="113"/>
      <c r="L391" s="113"/>
      <c r="M391" s="113"/>
      <c r="N391" s="113"/>
      <c r="O391" s="113"/>
      <c r="P391" s="113"/>
      <c r="Q391" s="113"/>
      <c r="R391" s="113"/>
      <c r="S391" s="113"/>
      <c r="T391" s="113"/>
      <c r="U391" s="113"/>
      <c r="V391" s="113"/>
      <c r="W391" s="113"/>
      <c r="X391" s="113"/>
      <c r="Y391" s="113"/>
      <c r="Z391" s="113"/>
      <c r="AA391" s="113"/>
      <c r="AB391" s="113"/>
      <c r="AC391" s="113"/>
      <c r="AD391" s="113"/>
      <c r="AE391" s="113"/>
      <c r="AF391" s="113"/>
      <c r="AG391" s="113"/>
      <c r="AH391" s="113"/>
      <c r="AI391" s="113"/>
      <c r="AJ391"/>
      <c r="AK391"/>
      <c r="AL391"/>
      <c r="AM391"/>
    </row>
    <row r="392" spans="1:39" ht="15.75" thickBot="1">
      <c r="A392" s="97"/>
      <c r="B392" s="121"/>
      <c r="C392" s="122"/>
      <c r="D392" s="122"/>
      <c r="E392" s="122"/>
      <c r="F392" s="123"/>
      <c r="G392" s="123"/>
      <c r="H392" s="123"/>
      <c r="I392" s="123"/>
      <c r="J392" s="123"/>
      <c r="K392" s="123"/>
      <c r="L392" s="123"/>
      <c r="M392" s="123"/>
      <c r="N392" s="123"/>
      <c r="O392" s="123"/>
      <c r="P392" s="123"/>
      <c r="Q392" s="123"/>
      <c r="R392" s="123"/>
      <c r="S392" s="123"/>
      <c r="T392" s="123"/>
      <c r="U392" s="123"/>
      <c r="V392" s="123"/>
      <c r="W392" s="123"/>
      <c r="X392" s="123"/>
      <c r="Y392" s="123"/>
      <c r="Z392" s="123"/>
      <c r="AA392" s="123"/>
      <c r="AB392" s="123"/>
      <c r="AC392" s="123"/>
      <c r="AD392" s="123"/>
      <c r="AE392" s="123"/>
      <c r="AF392" s="123"/>
      <c r="AG392" s="123"/>
      <c r="AH392" s="123"/>
      <c r="AI392" s="123"/>
    </row>
    <row r="393" spans="1:39">
      <c r="A393" s="97"/>
      <c r="B393" s="124"/>
      <c r="C393" s="125"/>
      <c r="D393" s="125"/>
      <c r="E393" s="125"/>
      <c r="F393" s="125"/>
      <c r="G393" s="125"/>
      <c r="H393" s="125"/>
      <c r="I393" s="125"/>
      <c r="J393" s="125"/>
      <c r="K393" s="126"/>
      <c r="L393" s="127"/>
      <c r="M393" s="127"/>
      <c r="N393" s="126"/>
      <c r="O393" s="126"/>
      <c r="P393" s="126"/>
      <c r="Q393" s="126"/>
      <c r="R393" s="126"/>
      <c r="S393" s="126"/>
      <c r="T393" s="126"/>
      <c r="U393" s="126"/>
      <c r="V393" s="126"/>
      <c r="W393" s="126"/>
      <c r="X393" s="126"/>
      <c r="Y393" s="126"/>
      <c r="Z393" s="126"/>
      <c r="AA393" s="126"/>
      <c r="AB393" s="126"/>
      <c r="AC393" s="126"/>
      <c r="AD393" s="126"/>
      <c r="AE393" s="126"/>
      <c r="AF393" s="126"/>
      <c r="AG393" s="126"/>
      <c r="AH393" s="126"/>
      <c r="AI393" s="126"/>
    </row>
    <row r="394" spans="1:39" ht="15.75" thickBot="1">
      <c r="A394" s="97"/>
      <c r="B394" s="128"/>
      <c r="C394" s="129"/>
      <c r="D394" s="129"/>
      <c r="E394" s="129"/>
      <c r="F394" s="129"/>
      <c r="G394" s="129"/>
      <c r="H394" s="129"/>
      <c r="I394" s="129"/>
      <c r="J394" s="129"/>
      <c r="K394" s="130"/>
      <c r="L394" s="130"/>
      <c r="M394" s="130"/>
      <c r="N394" s="130"/>
      <c r="O394" s="130"/>
      <c r="P394" s="130"/>
      <c r="Q394" s="130"/>
      <c r="R394" s="130"/>
      <c r="S394" s="130"/>
      <c r="T394" s="130"/>
      <c r="U394" s="130"/>
      <c r="V394" s="130"/>
      <c r="W394" s="130"/>
      <c r="X394" s="130"/>
      <c r="Y394" s="130"/>
      <c r="Z394" s="130"/>
      <c r="AA394" s="130"/>
      <c r="AB394" s="130"/>
      <c r="AC394" s="130"/>
      <c r="AD394" s="130"/>
      <c r="AE394" s="130"/>
      <c r="AF394" s="130"/>
      <c r="AG394" s="130"/>
      <c r="AH394" s="130"/>
      <c r="AI394" s="130"/>
    </row>
    <row r="395" spans="1:39" ht="15.75" thickTop="1">
      <c r="A395" s="97"/>
      <c r="B395" s="131"/>
      <c r="C395" s="132"/>
      <c r="D395" s="132"/>
      <c r="E395" s="132"/>
      <c r="F395" s="132"/>
      <c r="G395" s="132"/>
      <c r="H395" s="132"/>
      <c r="I395" s="132"/>
      <c r="J395" s="132"/>
      <c r="K395" s="132"/>
      <c r="L395" s="133"/>
      <c r="M395" s="133"/>
      <c r="N395" s="132"/>
      <c r="O395" s="132"/>
      <c r="P395" s="132"/>
      <c r="Q395" s="132"/>
      <c r="R395" s="132"/>
      <c r="S395" s="132"/>
      <c r="T395" s="132"/>
      <c r="U395" s="132"/>
      <c r="V395" s="132"/>
      <c r="W395" s="132"/>
      <c r="X395" s="132"/>
      <c r="Y395" s="132"/>
      <c r="Z395" s="132"/>
      <c r="AA395" s="132"/>
      <c r="AB395" s="132"/>
      <c r="AC395" s="132"/>
      <c r="AD395" s="132"/>
      <c r="AE395" s="132"/>
      <c r="AF395" s="132"/>
      <c r="AG395" s="132"/>
      <c r="AH395" s="132"/>
      <c r="AI395" s="132"/>
    </row>
    <row r="396" spans="1:39" ht="15.75" thickBot="1">
      <c r="A396" s="97"/>
      <c r="B396" s="128"/>
      <c r="C396" s="134"/>
      <c r="D396" s="134"/>
      <c r="E396" s="134"/>
      <c r="F396" s="134"/>
      <c r="G396" s="130"/>
      <c r="H396" s="130"/>
      <c r="I396" s="130"/>
      <c r="J396" s="130"/>
      <c r="K396" s="130"/>
      <c r="L396" s="130"/>
      <c r="M396" s="130"/>
      <c r="N396" s="130"/>
      <c r="O396" s="130"/>
      <c r="P396" s="130"/>
      <c r="Q396" s="130"/>
      <c r="R396" s="130"/>
      <c r="S396" s="130"/>
      <c r="T396" s="130"/>
      <c r="U396" s="130"/>
      <c r="V396" s="130"/>
      <c r="W396" s="130"/>
      <c r="X396" s="130"/>
      <c r="Y396" s="130"/>
      <c r="Z396" s="130"/>
      <c r="AA396" s="130"/>
      <c r="AB396" s="130"/>
      <c r="AC396" s="130"/>
      <c r="AD396" s="130"/>
      <c r="AE396" s="130"/>
      <c r="AF396" s="130"/>
      <c r="AG396" s="130"/>
      <c r="AH396" s="130"/>
      <c r="AI396" s="130"/>
    </row>
    <row r="397" spans="1:39" ht="15.75" thickTop="1">
      <c r="A397" s="97"/>
      <c r="B397" s="135"/>
      <c r="C397" s="136"/>
      <c r="D397" s="136"/>
      <c r="E397" s="136"/>
      <c r="F397" s="136"/>
      <c r="G397" s="136"/>
      <c r="H397" s="136"/>
      <c r="I397" s="136"/>
      <c r="J397" s="136"/>
      <c r="K397" s="136"/>
      <c r="L397" s="137"/>
      <c r="M397" s="137"/>
      <c r="N397" s="136"/>
      <c r="O397" s="136"/>
      <c r="P397" s="136"/>
      <c r="Q397" s="136"/>
      <c r="R397" s="136"/>
      <c r="S397" s="136"/>
      <c r="T397" s="136"/>
      <c r="U397" s="136"/>
      <c r="V397" s="136"/>
      <c r="W397" s="136"/>
      <c r="X397" s="136"/>
      <c r="Y397" s="136"/>
      <c r="Z397" s="136"/>
      <c r="AA397" s="136"/>
      <c r="AB397" s="136"/>
      <c r="AC397" s="136"/>
      <c r="AD397" s="136"/>
      <c r="AE397" s="136"/>
      <c r="AF397" s="136"/>
      <c r="AG397" s="136"/>
      <c r="AH397" s="136"/>
      <c r="AI397" s="136"/>
    </row>
    <row r="398" spans="1:39" ht="15.75" thickBot="1">
      <c r="A398" s="97"/>
      <c r="B398" s="128"/>
      <c r="C398" s="130"/>
      <c r="D398" s="130"/>
      <c r="E398" s="130"/>
      <c r="F398" s="130"/>
      <c r="G398" s="130"/>
      <c r="H398" s="130"/>
      <c r="I398" s="130"/>
      <c r="J398" s="130"/>
      <c r="K398" s="130"/>
      <c r="L398" s="130"/>
      <c r="M398" s="130"/>
      <c r="N398" s="130"/>
      <c r="O398" s="130"/>
      <c r="P398" s="130"/>
      <c r="Q398" s="130"/>
      <c r="R398" s="130"/>
      <c r="S398" s="130"/>
      <c r="T398" s="130"/>
      <c r="U398" s="130"/>
      <c r="V398" s="130"/>
      <c r="W398" s="130"/>
      <c r="X398" s="130"/>
      <c r="Y398" s="130"/>
      <c r="Z398" s="130"/>
      <c r="AA398" s="130"/>
      <c r="AB398" s="130"/>
      <c r="AC398" s="130"/>
      <c r="AD398" s="130"/>
      <c r="AE398" s="130"/>
      <c r="AF398" s="130"/>
      <c r="AG398" s="130"/>
      <c r="AH398" s="130"/>
      <c r="AI398" s="130"/>
    </row>
    <row r="399" spans="1:39" ht="15.75" thickTop="1">
      <c r="A399" s="97"/>
      <c r="B399" s="97"/>
      <c r="C399" s="97"/>
      <c r="D399" s="97"/>
      <c r="E399" s="97"/>
      <c r="F399" s="97"/>
      <c r="G399" s="97"/>
      <c r="H399" s="97"/>
      <c r="I399" s="97"/>
      <c r="J399" s="97"/>
      <c r="K399" s="97"/>
      <c r="L399" s="97"/>
      <c r="M399" s="97"/>
      <c r="N399" s="97"/>
      <c r="O399" s="97"/>
      <c r="P399" s="97"/>
      <c r="Q399" s="97"/>
      <c r="R399" s="97"/>
      <c r="S399" s="97"/>
      <c r="T399" s="97"/>
      <c r="U399" s="97"/>
      <c r="V399" s="97"/>
      <c r="W399" s="97"/>
      <c r="X399" s="97"/>
      <c r="Y399" s="97"/>
      <c r="Z399" s="97"/>
      <c r="AA399" s="97"/>
      <c r="AB399" s="97"/>
      <c r="AC399" s="97"/>
      <c r="AD399" s="97"/>
      <c r="AE399" s="97"/>
      <c r="AF399" s="97"/>
      <c r="AG399" s="97"/>
      <c r="AH399" s="97"/>
      <c r="AI399" s="97"/>
    </row>
    <row r="400" spans="1:39" ht="15.75" thickBot="1">
      <c r="A400" s="97"/>
      <c r="B400" s="138"/>
      <c r="C400" s="139"/>
      <c r="D400" s="139"/>
      <c r="E400" s="139"/>
      <c r="F400" s="139"/>
      <c r="G400" s="139"/>
      <c r="H400" s="139"/>
      <c r="I400" s="139"/>
      <c r="J400" s="139"/>
      <c r="K400" s="139"/>
      <c r="L400" s="140"/>
      <c r="M400" s="139"/>
      <c r="N400" s="139"/>
      <c r="O400" s="139"/>
      <c r="P400" s="139"/>
      <c r="Q400" s="139"/>
      <c r="R400" s="139"/>
      <c r="S400" s="139"/>
      <c r="T400" s="139"/>
      <c r="U400" s="139"/>
      <c r="V400" s="139"/>
      <c r="W400" s="139"/>
      <c r="X400" s="139"/>
      <c r="Y400" s="139"/>
      <c r="Z400" s="139"/>
      <c r="AA400" s="139"/>
      <c r="AB400" s="139"/>
      <c r="AC400" s="139"/>
      <c r="AD400" s="139"/>
      <c r="AE400" s="139"/>
      <c r="AF400" s="139"/>
      <c r="AG400" s="139"/>
      <c r="AH400" s="139"/>
      <c r="AI400" s="139"/>
    </row>
    <row r="401" spans="1:35">
      <c r="A401" s="97"/>
      <c r="B401" s="141"/>
      <c r="C401" s="141"/>
      <c r="D401" s="142"/>
      <c r="E401" s="97"/>
      <c r="F401" s="119"/>
      <c r="G401" s="143"/>
      <c r="H401" s="144"/>
      <c r="I401" s="144"/>
      <c r="J401" s="144"/>
      <c r="K401" s="144"/>
      <c r="L401" s="144"/>
      <c r="M401" s="144"/>
      <c r="N401" s="144"/>
      <c r="O401" s="144"/>
      <c r="P401" s="144"/>
      <c r="Q401" s="144"/>
      <c r="R401" s="144"/>
      <c r="S401" s="144"/>
      <c r="T401" s="144"/>
      <c r="U401" s="144"/>
      <c r="V401" s="144"/>
      <c r="W401" s="144"/>
      <c r="X401" s="144"/>
      <c r="Y401" s="144"/>
      <c r="Z401" s="144"/>
      <c r="AA401" s="144"/>
      <c r="AB401" s="144"/>
      <c r="AC401" s="144"/>
      <c r="AD401" s="144"/>
      <c r="AE401" s="144"/>
      <c r="AF401" s="144"/>
      <c r="AG401" s="144"/>
      <c r="AH401" s="144"/>
      <c r="AI401" s="144"/>
    </row>
    <row r="402" spans="1:35" ht="15.75" thickBot="1">
      <c r="A402" s="97"/>
      <c r="B402" s="141"/>
      <c r="C402" s="119"/>
      <c r="D402" s="145"/>
      <c r="E402" s="97"/>
      <c r="F402" s="146"/>
      <c r="G402" s="141"/>
      <c r="H402" s="147"/>
      <c r="I402" s="147"/>
      <c r="J402" s="147"/>
      <c r="K402" s="147"/>
      <c r="L402" s="148"/>
      <c r="M402" s="147"/>
      <c r="N402" s="147"/>
      <c r="O402" s="147"/>
      <c r="P402" s="147"/>
      <c r="Q402" s="147"/>
      <c r="R402" s="147"/>
      <c r="S402" s="147"/>
      <c r="T402" s="147"/>
      <c r="U402" s="147"/>
      <c r="V402" s="147"/>
      <c r="W402" s="147"/>
      <c r="X402" s="147"/>
      <c r="Y402" s="147"/>
      <c r="Z402" s="147"/>
      <c r="AA402" s="147"/>
      <c r="AB402" s="147"/>
      <c r="AC402" s="147"/>
      <c r="AD402" s="147"/>
      <c r="AE402" s="147"/>
      <c r="AF402" s="147"/>
      <c r="AG402" s="147"/>
      <c r="AH402" s="147"/>
      <c r="AI402" s="147"/>
    </row>
    <row r="403" spans="1:35" ht="15.75" thickTop="1">
      <c r="A403" s="97"/>
      <c r="B403" s="97"/>
      <c r="C403" s="97"/>
      <c r="D403" s="97"/>
      <c r="E403" s="97"/>
      <c r="F403" s="149"/>
      <c r="G403" s="150"/>
      <c r="H403" s="150"/>
      <c r="I403" s="150"/>
      <c r="J403" s="150"/>
      <c r="K403" s="150"/>
      <c r="L403" s="150"/>
      <c r="M403" s="150"/>
      <c r="N403" s="150"/>
      <c r="O403" s="150"/>
      <c r="P403" s="150"/>
      <c r="Q403" s="150"/>
      <c r="R403" s="150"/>
      <c r="S403" s="150"/>
      <c r="T403" s="150"/>
      <c r="U403" s="150"/>
      <c r="V403" s="150"/>
      <c r="W403" s="150"/>
      <c r="X403" s="150"/>
      <c r="Y403" s="150"/>
      <c r="Z403" s="150"/>
      <c r="AA403" s="150"/>
      <c r="AB403" s="150"/>
      <c r="AC403" s="150"/>
      <c r="AD403" s="150"/>
      <c r="AE403" s="150"/>
      <c r="AF403" s="150"/>
      <c r="AG403" s="150"/>
      <c r="AH403" s="150"/>
      <c r="AI403" s="150"/>
    </row>
    <row r="404" spans="1:35">
      <c r="A404" s="97"/>
      <c r="B404" s="372"/>
      <c r="C404" s="372"/>
      <c r="D404" s="372"/>
      <c r="E404" s="97"/>
      <c r="F404" s="112"/>
      <c r="G404" s="151"/>
      <c r="H404" s="151"/>
      <c r="I404" s="151"/>
      <c r="J404" s="151"/>
      <c r="K404" s="151"/>
      <c r="L404" s="151"/>
      <c r="M404" s="151"/>
      <c r="N404" s="151"/>
      <c r="O404" s="151"/>
      <c r="P404" s="151"/>
      <c r="Q404" s="151"/>
      <c r="R404" s="151"/>
      <c r="S404" s="165"/>
      <c r="T404" s="165"/>
      <c r="U404" s="165"/>
      <c r="V404" s="165"/>
      <c r="W404" s="165"/>
      <c r="X404" s="165"/>
      <c r="Y404" s="165"/>
      <c r="Z404" s="165"/>
      <c r="AA404" s="165"/>
      <c r="AB404" s="165"/>
      <c r="AC404" s="165"/>
      <c r="AD404" s="165"/>
      <c r="AE404" s="165"/>
      <c r="AF404" s="165"/>
      <c r="AG404" s="165"/>
      <c r="AH404" s="165"/>
      <c r="AI404" s="165"/>
    </row>
    <row r="405" spans="1:35" ht="15.75" thickBot="1">
      <c r="A405" s="97"/>
      <c r="B405" s="372"/>
      <c r="C405" s="372"/>
      <c r="D405" s="372"/>
      <c r="E405" s="97"/>
      <c r="F405" s="112"/>
      <c r="G405" s="152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  <c r="AH405" s="153"/>
      <c r="AI405" s="153"/>
    </row>
    <row r="406" spans="1:35" ht="15.75" thickTop="1">
      <c r="A406" s="97"/>
      <c r="B406" s="372"/>
      <c r="C406" s="372"/>
      <c r="D406" s="372"/>
      <c r="E406" s="97"/>
      <c r="F406" s="141"/>
      <c r="G406" s="154"/>
      <c r="H406" s="154"/>
      <c r="I406" s="154"/>
      <c r="J406" s="154"/>
      <c r="K406" s="154"/>
      <c r="L406" s="154"/>
      <c r="M406" s="154"/>
      <c r="N406" s="154"/>
      <c r="O406" s="154"/>
      <c r="P406" s="154"/>
      <c r="Q406" s="154"/>
      <c r="R406" s="154"/>
      <c r="S406" s="154"/>
      <c r="T406" s="154"/>
      <c r="U406" s="154"/>
      <c r="V406" s="154"/>
      <c r="W406" s="154"/>
      <c r="X406" s="154"/>
      <c r="Y406" s="154"/>
      <c r="Z406" s="154"/>
      <c r="AA406" s="154"/>
      <c r="AB406" s="154"/>
      <c r="AC406" s="154"/>
      <c r="AD406" s="154"/>
      <c r="AE406" s="154"/>
      <c r="AF406" s="154"/>
      <c r="AG406" s="154"/>
      <c r="AH406" s="154"/>
      <c r="AI406" s="154"/>
    </row>
    <row r="407" spans="1:35" ht="15.75" thickBot="1">
      <c r="A407" s="97"/>
      <c r="B407" s="372"/>
      <c r="C407" s="372"/>
      <c r="D407" s="372"/>
      <c r="E407" s="97"/>
      <c r="F407" s="155"/>
      <c r="G407" s="156"/>
      <c r="H407" s="156"/>
      <c r="I407" s="156"/>
      <c r="J407" s="156"/>
      <c r="K407" s="156"/>
      <c r="L407" s="157"/>
      <c r="M407" s="156"/>
      <c r="N407" s="156"/>
      <c r="O407" s="156"/>
      <c r="P407" s="156"/>
      <c r="Q407" s="156"/>
      <c r="R407" s="156"/>
      <c r="S407" s="156"/>
      <c r="T407" s="156"/>
      <c r="U407" s="156"/>
      <c r="V407" s="156"/>
      <c r="W407" s="156"/>
      <c r="X407" s="156"/>
      <c r="Y407" s="156"/>
      <c r="Z407" s="156"/>
      <c r="AA407" s="156"/>
      <c r="AB407" s="156"/>
      <c r="AC407" s="156"/>
      <c r="AD407" s="156"/>
      <c r="AE407" s="156"/>
      <c r="AF407" s="156"/>
      <c r="AG407" s="156"/>
      <c r="AH407" s="156"/>
      <c r="AI407" s="156"/>
    </row>
    <row r="408" spans="1:35">
      <c r="A408" s="97"/>
      <c r="B408" s="372"/>
      <c r="C408" s="372"/>
      <c r="D408" s="372"/>
      <c r="E408" s="97"/>
      <c r="F408" s="158"/>
      <c r="G408" s="159"/>
      <c r="H408" s="159"/>
      <c r="I408" s="159"/>
      <c r="J408" s="159"/>
      <c r="K408" s="159"/>
      <c r="L408" s="160"/>
      <c r="M408" s="160"/>
      <c r="N408" s="159"/>
      <c r="O408" s="159"/>
      <c r="P408" s="159"/>
      <c r="Q408" s="159"/>
      <c r="R408" s="159"/>
      <c r="S408" s="159"/>
      <c r="T408" s="159"/>
      <c r="U408" s="159"/>
      <c r="V408" s="159"/>
      <c r="W408" s="159"/>
      <c r="X408" s="159"/>
      <c r="Y408" s="159"/>
      <c r="Z408" s="159"/>
      <c r="AA408" s="159"/>
      <c r="AB408" s="159"/>
      <c r="AC408" s="159"/>
      <c r="AD408" s="159"/>
      <c r="AE408" s="159"/>
      <c r="AF408" s="159"/>
      <c r="AG408" s="159"/>
      <c r="AH408" s="159"/>
      <c r="AI408" s="159"/>
    </row>
    <row r="409" spans="1:35">
      <c r="A409" s="97"/>
      <c r="B409" s="372"/>
      <c r="C409" s="372"/>
      <c r="D409" s="372"/>
      <c r="E409" s="97"/>
      <c r="F409" s="161"/>
      <c r="G409" s="162"/>
      <c r="H409" s="162"/>
      <c r="I409" s="162"/>
      <c r="J409" s="162"/>
      <c r="K409" s="162"/>
      <c r="L409" s="162"/>
      <c r="M409" s="162"/>
      <c r="N409" s="162"/>
      <c r="O409" s="162"/>
      <c r="P409" s="162"/>
      <c r="Q409" s="162"/>
      <c r="R409" s="162"/>
      <c r="S409" s="162"/>
      <c r="T409" s="162"/>
      <c r="U409" s="162"/>
      <c r="V409" s="162"/>
      <c r="W409" s="162"/>
      <c r="X409" s="162"/>
      <c r="Y409" s="162"/>
      <c r="Z409" s="162"/>
      <c r="AA409" s="162"/>
      <c r="AB409" s="162"/>
      <c r="AC409" s="162"/>
      <c r="AD409" s="162"/>
      <c r="AE409" s="162"/>
      <c r="AF409" s="162"/>
      <c r="AG409" s="162"/>
      <c r="AH409" s="162"/>
      <c r="AI409" s="162"/>
    </row>
    <row r="410" spans="1:35">
      <c r="A410" s="97"/>
      <c r="B410" s="372"/>
      <c r="C410" s="372"/>
      <c r="D410" s="372"/>
      <c r="E410" s="97"/>
      <c r="F410" s="161"/>
      <c r="G410" s="132"/>
      <c r="H410" s="132"/>
      <c r="I410" s="132"/>
      <c r="J410" s="132"/>
      <c r="K410" s="132"/>
      <c r="L410" s="133"/>
      <c r="M410" s="133"/>
      <c r="N410" s="132"/>
      <c r="O410" s="132"/>
      <c r="P410" s="132"/>
      <c r="Q410" s="132"/>
      <c r="R410" s="132"/>
      <c r="S410" s="132"/>
      <c r="T410" s="132"/>
      <c r="U410" s="132"/>
      <c r="V410" s="132"/>
      <c r="W410" s="132"/>
      <c r="X410" s="132"/>
      <c r="Y410" s="132"/>
      <c r="Z410" s="132"/>
      <c r="AA410" s="132"/>
      <c r="AB410" s="132"/>
      <c r="AC410" s="132"/>
      <c r="AD410" s="132"/>
      <c r="AE410" s="132"/>
      <c r="AF410" s="132"/>
      <c r="AG410" s="132"/>
      <c r="AH410" s="132"/>
      <c r="AI410" s="132"/>
    </row>
    <row r="411" spans="1:35">
      <c r="A411" s="97"/>
      <c r="B411" s="372"/>
      <c r="C411" s="372"/>
      <c r="D411" s="372"/>
      <c r="E411" s="97"/>
      <c r="F411" s="161"/>
      <c r="G411" s="132"/>
      <c r="H411" s="132"/>
      <c r="I411" s="132"/>
      <c r="J411" s="132"/>
      <c r="K411" s="132"/>
      <c r="L411" s="133"/>
      <c r="M411" s="133"/>
      <c r="N411" s="132"/>
      <c r="O411" s="132"/>
      <c r="P411" s="132"/>
      <c r="Q411" s="132"/>
      <c r="R411" s="132"/>
      <c r="S411" s="132"/>
      <c r="T411" s="132"/>
      <c r="U411" s="132"/>
      <c r="V411" s="132"/>
      <c r="W411" s="132"/>
      <c r="X411" s="132"/>
      <c r="Y411" s="132"/>
      <c r="Z411" s="132"/>
      <c r="AA411" s="132"/>
      <c r="AB411" s="132"/>
      <c r="AC411" s="132"/>
      <c r="AD411" s="132"/>
      <c r="AE411" s="132"/>
      <c r="AF411" s="132"/>
      <c r="AG411" s="132"/>
      <c r="AH411" s="132"/>
      <c r="AI411" s="132"/>
    </row>
    <row r="412" spans="1:35">
      <c r="A412" s="97"/>
      <c r="B412" s="372"/>
      <c r="C412" s="372"/>
      <c r="D412" s="372"/>
      <c r="E412" s="97"/>
      <c r="F412" s="161"/>
      <c r="G412" s="132"/>
      <c r="H412" s="132"/>
      <c r="I412" s="132"/>
      <c r="J412" s="132"/>
      <c r="K412" s="132"/>
      <c r="L412" s="133"/>
      <c r="M412" s="133"/>
      <c r="N412" s="132"/>
      <c r="O412" s="132"/>
      <c r="P412" s="132"/>
      <c r="Q412" s="132"/>
      <c r="R412" s="132"/>
      <c r="S412" s="132"/>
      <c r="T412" s="132"/>
      <c r="U412" s="132"/>
      <c r="V412" s="132"/>
      <c r="W412" s="132"/>
      <c r="X412" s="132"/>
      <c r="Y412" s="132"/>
      <c r="Z412" s="132"/>
      <c r="AA412" s="132"/>
      <c r="AB412" s="132"/>
      <c r="AC412" s="132"/>
      <c r="AD412" s="132"/>
      <c r="AE412" s="132"/>
      <c r="AF412" s="132"/>
      <c r="AG412" s="132"/>
      <c r="AH412" s="132"/>
      <c r="AI412" s="132"/>
    </row>
    <row r="413" spans="1:35" ht="15.75" thickBot="1">
      <c r="A413" s="97"/>
      <c r="B413" s="372"/>
      <c r="C413" s="372"/>
      <c r="D413" s="372"/>
      <c r="E413" s="97"/>
      <c r="F413" s="163"/>
      <c r="G413" s="129"/>
      <c r="H413" s="129"/>
      <c r="I413" s="129"/>
      <c r="J413" s="129"/>
      <c r="K413" s="129"/>
      <c r="L413" s="164"/>
      <c r="M413" s="129"/>
      <c r="N413" s="129"/>
      <c r="O413" s="129"/>
      <c r="P413" s="129"/>
      <c r="Q413" s="129"/>
      <c r="R413" s="129"/>
      <c r="S413" s="129"/>
      <c r="T413" s="129"/>
      <c r="U413" s="129"/>
      <c r="V413" s="129"/>
      <c r="W413" s="129"/>
      <c r="X413" s="129"/>
      <c r="Y413" s="129"/>
      <c r="Z413" s="129"/>
      <c r="AA413" s="129"/>
      <c r="AB413" s="129"/>
      <c r="AC413" s="129"/>
      <c r="AD413" s="129"/>
      <c r="AE413" s="129"/>
      <c r="AF413" s="129"/>
      <c r="AG413" s="129"/>
      <c r="AH413" s="129"/>
      <c r="AI413" s="129"/>
    </row>
    <row r="414" spans="1:35" ht="15.75" thickTop="1">
      <c r="A414" s="100"/>
      <c r="B414" s="100"/>
      <c r="C414" s="100"/>
      <c r="D414" s="100"/>
      <c r="E414" s="100"/>
      <c r="F414" s="100"/>
      <c r="G414" s="100"/>
      <c r="H414" s="100"/>
      <c r="I414" s="100"/>
      <c r="J414" s="100"/>
      <c r="K414" s="100"/>
      <c r="L414" s="100"/>
      <c r="M414" s="166"/>
      <c r="N414" s="166"/>
      <c r="O414" s="166"/>
      <c r="P414" s="166"/>
      <c r="Q414" s="100"/>
      <c r="R414" s="166"/>
      <c r="S414" s="166"/>
      <c r="T414" s="100"/>
      <c r="U414" s="166"/>
      <c r="V414" s="102"/>
      <c r="W414" s="102"/>
      <c r="X414" s="102"/>
      <c r="Y414" s="102"/>
      <c r="Z414" s="102"/>
      <c r="AA414" s="102"/>
      <c r="AB414" s="102"/>
      <c r="AC414" s="102"/>
      <c r="AD414" s="102"/>
      <c r="AE414" s="102"/>
      <c r="AF414" s="102"/>
      <c r="AG414" s="102"/>
      <c r="AH414" s="102"/>
      <c r="AI414" s="102"/>
    </row>
    <row r="415" spans="1:35">
      <c r="A415" s="97"/>
      <c r="B415" s="97"/>
      <c r="C415" s="97"/>
      <c r="D415" s="97"/>
      <c r="E415" s="97"/>
      <c r="F415" s="100"/>
      <c r="G415" s="97"/>
      <c r="H415" s="97"/>
      <c r="I415" s="97"/>
      <c r="J415" s="97"/>
      <c r="K415" s="97"/>
      <c r="L415" s="97"/>
      <c r="M415" s="167"/>
      <c r="N415" s="167"/>
      <c r="O415" s="167"/>
      <c r="P415" s="167"/>
      <c r="Q415" s="97"/>
      <c r="R415" s="167"/>
      <c r="S415" s="167"/>
      <c r="T415" s="97"/>
      <c r="U415" s="167"/>
      <c r="V415" s="98"/>
      <c r="W415" s="98"/>
      <c r="X415" s="98"/>
      <c r="Y415" s="98"/>
      <c r="Z415" s="98"/>
      <c r="AA415" s="98"/>
      <c r="AB415" s="98"/>
      <c r="AC415" s="98"/>
      <c r="AD415" s="98"/>
      <c r="AE415" s="98"/>
      <c r="AF415" s="98"/>
      <c r="AG415" s="98"/>
      <c r="AH415" s="98"/>
      <c r="AI415" s="98"/>
    </row>
  </sheetData>
  <mergeCells count="15">
    <mergeCell ref="B170:D179"/>
    <mergeCell ref="B40:D49"/>
    <mergeCell ref="B66:D75"/>
    <mergeCell ref="B92:D101"/>
    <mergeCell ref="B118:D127"/>
    <mergeCell ref="B144:D153"/>
    <mergeCell ref="B352:D361"/>
    <mergeCell ref="B378:D387"/>
    <mergeCell ref="B404:D413"/>
    <mergeCell ref="B196:D205"/>
    <mergeCell ref="B222:D231"/>
    <mergeCell ref="B248:D257"/>
    <mergeCell ref="B274:D283"/>
    <mergeCell ref="B300:D309"/>
    <mergeCell ref="B326:D335"/>
  </mergeCells>
  <conditionalFormatting sqref="C30:G30">
    <cfRule type="containsErrors" dxfId="44" priority="47" stopIfTrue="1">
      <formula>ISERROR(C30)</formula>
    </cfRule>
  </conditionalFormatting>
  <conditionalFormatting sqref="H30">
    <cfRule type="containsErrors" dxfId="43" priority="46" stopIfTrue="1">
      <formula>ISERROR(H30)</formula>
    </cfRule>
  </conditionalFormatting>
  <conditionalFormatting sqref="I30:J30">
    <cfRule type="containsErrors" dxfId="42" priority="45" stopIfTrue="1">
      <formula>ISERROR(I30)</formula>
    </cfRule>
  </conditionalFormatting>
  <conditionalFormatting sqref="C56:G56">
    <cfRule type="containsErrors" dxfId="41" priority="42" stopIfTrue="1">
      <formula>ISERROR(C56)</formula>
    </cfRule>
  </conditionalFormatting>
  <conditionalFormatting sqref="H56">
    <cfRule type="containsErrors" dxfId="40" priority="41" stopIfTrue="1">
      <formula>ISERROR(H56)</formula>
    </cfRule>
  </conditionalFormatting>
  <conditionalFormatting sqref="I56:J56">
    <cfRule type="containsErrors" dxfId="39" priority="40" stopIfTrue="1">
      <formula>ISERROR(I56)</formula>
    </cfRule>
  </conditionalFormatting>
  <conditionalFormatting sqref="C82:G82">
    <cfRule type="containsErrors" dxfId="38" priority="39" stopIfTrue="1">
      <formula>ISERROR(C82)</formula>
    </cfRule>
  </conditionalFormatting>
  <conditionalFormatting sqref="H82">
    <cfRule type="containsErrors" dxfId="37" priority="38" stopIfTrue="1">
      <formula>ISERROR(H82)</formula>
    </cfRule>
  </conditionalFormatting>
  <conditionalFormatting sqref="I82:J82">
    <cfRule type="containsErrors" dxfId="36" priority="37" stopIfTrue="1">
      <formula>ISERROR(I82)</formula>
    </cfRule>
  </conditionalFormatting>
  <conditionalFormatting sqref="C108:G108">
    <cfRule type="containsErrors" dxfId="35" priority="36" stopIfTrue="1">
      <formula>ISERROR(C108)</formula>
    </cfRule>
  </conditionalFormatting>
  <conditionalFormatting sqref="H108">
    <cfRule type="containsErrors" dxfId="34" priority="35" stopIfTrue="1">
      <formula>ISERROR(H108)</formula>
    </cfRule>
  </conditionalFormatting>
  <conditionalFormatting sqref="I108:J108">
    <cfRule type="containsErrors" dxfId="33" priority="34" stopIfTrue="1">
      <formula>ISERROR(I108)</formula>
    </cfRule>
  </conditionalFormatting>
  <conditionalFormatting sqref="C134:G134">
    <cfRule type="containsErrors" dxfId="32" priority="33" stopIfTrue="1">
      <formula>ISERROR(C134)</formula>
    </cfRule>
  </conditionalFormatting>
  <conditionalFormatting sqref="H134">
    <cfRule type="containsErrors" dxfId="31" priority="32" stopIfTrue="1">
      <formula>ISERROR(H134)</formula>
    </cfRule>
  </conditionalFormatting>
  <conditionalFormatting sqref="I134:J134">
    <cfRule type="containsErrors" dxfId="30" priority="31" stopIfTrue="1">
      <formula>ISERROR(I134)</formula>
    </cfRule>
  </conditionalFormatting>
  <conditionalFormatting sqref="C160:G160">
    <cfRule type="containsErrors" dxfId="29" priority="30" stopIfTrue="1">
      <formula>ISERROR(C160)</formula>
    </cfRule>
  </conditionalFormatting>
  <conditionalFormatting sqref="H160">
    <cfRule type="containsErrors" dxfId="28" priority="29" stopIfTrue="1">
      <formula>ISERROR(H160)</formula>
    </cfRule>
  </conditionalFormatting>
  <conditionalFormatting sqref="I160:J160">
    <cfRule type="containsErrors" dxfId="27" priority="28" stopIfTrue="1">
      <formula>ISERROR(I160)</formula>
    </cfRule>
  </conditionalFormatting>
  <conditionalFormatting sqref="C186:G186">
    <cfRule type="containsErrors" dxfId="26" priority="27" stopIfTrue="1">
      <formula>ISERROR(C186)</formula>
    </cfRule>
  </conditionalFormatting>
  <conditionalFormatting sqref="H186">
    <cfRule type="containsErrors" dxfId="25" priority="26" stopIfTrue="1">
      <formula>ISERROR(H186)</formula>
    </cfRule>
  </conditionalFormatting>
  <conditionalFormatting sqref="I186:J186">
    <cfRule type="containsErrors" dxfId="24" priority="25" stopIfTrue="1">
      <formula>ISERROR(I186)</formula>
    </cfRule>
  </conditionalFormatting>
  <conditionalFormatting sqref="C212:G212">
    <cfRule type="containsErrors" dxfId="23" priority="24" stopIfTrue="1">
      <formula>ISERROR(C212)</formula>
    </cfRule>
  </conditionalFormatting>
  <conditionalFormatting sqref="H212">
    <cfRule type="containsErrors" dxfId="22" priority="23" stopIfTrue="1">
      <formula>ISERROR(H212)</formula>
    </cfRule>
  </conditionalFormatting>
  <conditionalFormatting sqref="I212:J212">
    <cfRule type="containsErrors" dxfId="21" priority="22" stopIfTrue="1">
      <formula>ISERROR(I212)</formula>
    </cfRule>
  </conditionalFormatting>
  <conditionalFormatting sqref="C238:G238">
    <cfRule type="containsErrors" dxfId="20" priority="21" stopIfTrue="1">
      <formula>ISERROR(C238)</formula>
    </cfRule>
  </conditionalFormatting>
  <conditionalFormatting sqref="H238">
    <cfRule type="containsErrors" dxfId="19" priority="20" stopIfTrue="1">
      <formula>ISERROR(H238)</formula>
    </cfRule>
  </conditionalFormatting>
  <conditionalFormatting sqref="I238:J238">
    <cfRule type="containsErrors" dxfId="18" priority="19" stopIfTrue="1">
      <formula>ISERROR(I238)</formula>
    </cfRule>
  </conditionalFormatting>
  <conditionalFormatting sqref="C264:G264">
    <cfRule type="containsErrors" dxfId="17" priority="18" stopIfTrue="1">
      <formula>ISERROR(C264)</formula>
    </cfRule>
  </conditionalFormatting>
  <conditionalFormatting sqref="H264">
    <cfRule type="containsErrors" dxfId="16" priority="17" stopIfTrue="1">
      <formula>ISERROR(H264)</formula>
    </cfRule>
  </conditionalFormatting>
  <conditionalFormatting sqref="I264:J264">
    <cfRule type="containsErrors" dxfId="15" priority="16" stopIfTrue="1">
      <formula>ISERROR(I264)</formula>
    </cfRule>
  </conditionalFormatting>
  <conditionalFormatting sqref="C290:G290">
    <cfRule type="containsErrors" dxfId="14" priority="15" stopIfTrue="1">
      <formula>ISERROR(C290)</formula>
    </cfRule>
  </conditionalFormatting>
  <conditionalFormatting sqref="H290">
    <cfRule type="containsErrors" dxfId="13" priority="14" stopIfTrue="1">
      <formula>ISERROR(H290)</formula>
    </cfRule>
  </conditionalFormatting>
  <conditionalFormatting sqref="I290:J290">
    <cfRule type="containsErrors" dxfId="12" priority="13" stopIfTrue="1">
      <formula>ISERROR(I290)</formula>
    </cfRule>
  </conditionalFormatting>
  <conditionalFormatting sqref="C316:G316">
    <cfRule type="containsErrors" dxfId="11" priority="12" stopIfTrue="1">
      <formula>ISERROR(C316)</formula>
    </cfRule>
  </conditionalFormatting>
  <conditionalFormatting sqref="H316">
    <cfRule type="containsErrors" dxfId="10" priority="11" stopIfTrue="1">
      <formula>ISERROR(H316)</formula>
    </cfRule>
  </conditionalFormatting>
  <conditionalFormatting sqref="I316:J316">
    <cfRule type="containsErrors" dxfId="9" priority="10" stopIfTrue="1">
      <formula>ISERROR(I316)</formula>
    </cfRule>
  </conditionalFormatting>
  <conditionalFormatting sqref="C342:G342">
    <cfRule type="containsErrors" dxfId="8" priority="9" stopIfTrue="1">
      <formula>ISERROR(C342)</formula>
    </cfRule>
  </conditionalFormatting>
  <conditionalFormatting sqref="H342">
    <cfRule type="containsErrors" dxfId="7" priority="8" stopIfTrue="1">
      <formula>ISERROR(H342)</formula>
    </cfRule>
  </conditionalFormatting>
  <conditionalFormatting sqref="I342:J342">
    <cfRule type="containsErrors" dxfId="6" priority="7" stopIfTrue="1">
      <formula>ISERROR(I342)</formula>
    </cfRule>
  </conditionalFormatting>
  <conditionalFormatting sqref="C368:G368">
    <cfRule type="containsErrors" dxfId="5" priority="6" stopIfTrue="1">
      <formula>ISERROR(C368)</formula>
    </cfRule>
  </conditionalFormatting>
  <conditionalFormatting sqref="H368">
    <cfRule type="containsErrors" dxfId="4" priority="5" stopIfTrue="1">
      <formula>ISERROR(H368)</formula>
    </cfRule>
  </conditionalFormatting>
  <conditionalFormatting sqref="I368:J368">
    <cfRule type="containsErrors" dxfId="3" priority="4" stopIfTrue="1">
      <formula>ISERROR(I368)</formula>
    </cfRule>
  </conditionalFormatting>
  <conditionalFormatting sqref="C394:G394">
    <cfRule type="containsErrors" dxfId="2" priority="3" stopIfTrue="1">
      <formula>ISERROR(C394)</formula>
    </cfRule>
  </conditionalFormatting>
  <conditionalFormatting sqref="H394">
    <cfRule type="containsErrors" dxfId="1" priority="2" stopIfTrue="1">
      <formula>ISERROR(H394)</formula>
    </cfRule>
  </conditionalFormatting>
  <conditionalFormatting sqref="I394:J394">
    <cfRule type="containsErrors" dxfId="0" priority="1" stopIfTrue="1">
      <formula>ISERROR(I394)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H9:H10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123825</xdr:rowOff>
                  </from>
                  <to>
                    <xdr:col>2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Check Box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123825</xdr:rowOff>
                  </from>
                  <to>
                    <xdr:col>2</xdr:col>
                    <xdr:colOff>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Check Box 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133350</xdr:rowOff>
                  </from>
                  <to>
                    <xdr:col>2</xdr:col>
                    <xdr:colOff>0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Check Box 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114300</xdr:rowOff>
                  </from>
                  <to>
                    <xdr:col>2</xdr:col>
                    <xdr:colOff>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114300</xdr:rowOff>
                  </from>
                  <to>
                    <xdr:col>2</xdr:col>
                    <xdr:colOff>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Check Box 6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123825</xdr:rowOff>
                  </from>
                  <to>
                    <xdr:col>2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Check Box 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123825</xdr:rowOff>
                  </from>
                  <to>
                    <xdr:col>2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Check Box 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2" name="Check Box 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123825</xdr:rowOff>
                  </from>
                  <to>
                    <xdr:col>2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3" name="Check Box 1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123825</xdr:rowOff>
                  </from>
                  <to>
                    <xdr:col>2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4" name="Check Box 1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123825</xdr:rowOff>
                  </from>
                  <to>
                    <xdr:col>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5" name="Check Box 1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123825</xdr:rowOff>
                  </from>
                  <to>
                    <xdr:col>2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6" name="Check Box 1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123825</xdr:rowOff>
                  </from>
                  <to>
                    <xdr:col>2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7" name="Check Box 1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123825</xdr:rowOff>
                  </from>
                  <to>
                    <xdr:col>2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8" name="Check Box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133350</xdr:rowOff>
                  </from>
                  <to>
                    <xdr:col>2</xdr:col>
                    <xdr:colOff>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9" name="Check Box 16">
              <controlPr locked="0" defaultSize="0" autoFill="0" autoLine="0" autoPict="0">
                <anchor moveWithCells="1">
                  <from>
                    <xdr:col>1</xdr:col>
                    <xdr:colOff>1304925</xdr:colOff>
                    <xdr:row>5</xdr:row>
                    <xdr:rowOff>161925</xdr:rowOff>
                  </from>
                  <to>
                    <xdr:col>2</xdr:col>
                    <xdr:colOff>171450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0" name="Check Box 17">
              <controlPr locked="0" defaultSize="0" autoFill="0" autoLine="0" autoPict="0">
                <anchor moveWithCells="1">
                  <from>
                    <xdr:col>1</xdr:col>
                    <xdr:colOff>1304925</xdr:colOff>
                    <xdr:row>18</xdr:row>
                    <xdr:rowOff>161925</xdr:rowOff>
                  </from>
                  <to>
                    <xdr:col>2</xdr:col>
                    <xdr:colOff>171450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1" name="Check Box 18">
              <controlPr locked="0" defaultSize="0" autoFill="0" autoLine="0" autoPict="0">
                <anchor moveWithCells="1">
                  <from>
                    <xdr:col>1</xdr:col>
                    <xdr:colOff>1304925</xdr:colOff>
                    <xdr:row>6</xdr:row>
                    <xdr:rowOff>171450</xdr:rowOff>
                  </from>
                  <to>
                    <xdr:col>2</xdr:col>
                    <xdr:colOff>171450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" name="Check Box 19">
              <controlPr locked="0" defaultSize="0" autoFill="0" autoLine="0" autoPict="0">
                <anchor moveWithCells="1">
                  <from>
                    <xdr:col>1</xdr:col>
                    <xdr:colOff>1295400</xdr:colOff>
                    <xdr:row>7</xdr:row>
                    <xdr:rowOff>171450</xdr:rowOff>
                  </from>
                  <to>
                    <xdr:col>2</xdr:col>
                    <xdr:colOff>171450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3" name="Check Box 20">
              <controlPr locked="0" defaultSize="0" autoFill="0" autoLine="0" autoPict="0">
                <anchor moveWithCells="1">
                  <from>
                    <xdr:col>1</xdr:col>
                    <xdr:colOff>1295400</xdr:colOff>
                    <xdr:row>8</xdr:row>
                    <xdr:rowOff>180975</xdr:rowOff>
                  </from>
                  <to>
                    <xdr:col>2</xdr:col>
                    <xdr:colOff>171450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4" name="Check Box 21">
              <controlPr locked="0" defaultSize="0" autoFill="0" autoLine="0" autoPict="0">
                <anchor moveWithCells="1">
                  <from>
                    <xdr:col>1</xdr:col>
                    <xdr:colOff>1295400</xdr:colOff>
                    <xdr:row>9</xdr:row>
                    <xdr:rowOff>180975</xdr:rowOff>
                  </from>
                  <to>
                    <xdr:col>2</xdr:col>
                    <xdr:colOff>171450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5" name="Check Box 22">
              <controlPr locked="0" defaultSize="0" autoFill="0" autoLine="0" autoPict="0">
                <anchor moveWithCells="1">
                  <from>
                    <xdr:col>1</xdr:col>
                    <xdr:colOff>1295400</xdr:colOff>
                    <xdr:row>10</xdr:row>
                    <xdr:rowOff>180975</xdr:rowOff>
                  </from>
                  <to>
                    <xdr:col>2</xdr:col>
                    <xdr:colOff>180975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6" name="Check Box 23">
              <controlPr locked="0" defaultSize="0" autoFill="0" autoLine="0" autoPict="0">
                <anchor moveWithCells="1">
                  <from>
                    <xdr:col>1</xdr:col>
                    <xdr:colOff>1304925</xdr:colOff>
                    <xdr:row>11</xdr:row>
                    <xdr:rowOff>180975</xdr:rowOff>
                  </from>
                  <to>
                    <xdr:col>2</xdr:col>
                    <xdr:colOff>171450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7" name="Check Box 24">
              <controlPr locked="0" defaultSize="0" autoFill="0" autoLine="0" autoPict="0">
                <anchor moveWithCells="1">
                  <from>
                    <xdr:col>1</xdr:col>
                    <xdr:colOff>1304925</xdr:colOff>
                    <xdr:row>12</xdr:row>
                    <xdr:rowOff>180975</xdr:rowOff>
                  </from>
                  <to>
                    <xdr:col>2</xdr:col>
                    <xdr:colOff>171450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8" name="Check Box 25">
              <controlPr locked="0" defaultSize="0" autoFill="0" autoLine="0" autoPict="0">
                <anchor moveWithCells="1">
                  <from>
                    <xdr:col>1</xdr:col>
                    <xdr:colOff>1304925</xdr:colOff>
                    <xdr:row>13</xdr:row>
                    <xdr:rowOff>171450</xdr:rowOff>
                  </from>
                  <to>
                    <xdr:col>2</xdr:col>
                    <xdr:colOff>171450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9" name="Check Box 26">
              <controlPr locked="0" defaultSize="0" autoFill="0" autoLine="0" autoPict="0">
                <anchor moveWithCells="1">
                  <from>
                    <xdr:col>1</xdr:col>
                    <xdr:colOff>1304925</xdr:colOff>
                    <xdr:row>14</xdr:row>
                    <xdr:rowOff>171450</xdr:rowOff>
                  </from>
                  <to>
                    <xdr:col>2</xdr:col>
                    <xdr:colOff>171450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30" name="Check Box 27">
              <controlPr locked="0" defaultSize="0" autoFill="0" autoLine="0" autoPict="0">
                <anchor moveWithCells="1">
                  <from>
                    <xdr:col>1</xdr:col>
                    <xdr:colOff>1304925</xdr:colOff>
                    <xdr:row>15</xdr:row>
                    <xdr:rowOff>171450</xdr:rowOff>
                  </from>
                  <to>
                    <xdr:col>2</xdr:col>
                    <xdr:colOff>171450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31" name="Check Box 28">
              <controlPr locked="0" defaultSize="0" autoFill="0" autoLine="0" autoPict="0">
                <anchor moveWithCells="1">
                  <from>
                    <xdr:col>1</xdr:col>
                    <xdr:colOff>1304925</xdr:colOff>
                    <xdr:row>17</xdr:row>
                    <xdr:rowOff>0</xdr:rowOff>
                  </from>
                  <to>
                    <xdr:col>2</xdr:col>
                    <xdr:colOff>171450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32" name="Check Box 29">
              <controlPr locked="0" defaultSize="0" autoFill="0" autoLine="0" autoPict="0">
                <anchor moveWithCells="1">
                  <from>
                    <xdr:col>1</xdr:col>
                    <xdr:colOff>1304925</xdr:colOff>
                    <xdr:row>17</xdr:row>
                    <xdr:rowOff>180975</xdr:rowOff>
                  </from>
                  <to>
                    <xdr:col>2</xdr:col>
                    <xdr:colOff>171450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33" name="Check Box 30">
              <controlPr locked="0" defaultSize="0" autoFill="0" autoLine="0" autoPict="0">
                <anchor moveWithCells="1">
                  <from>
                    <xdr:col>1</xdr:col>
                    <xdr:colOff>1304925</xdr:colOff>
                    <xdr:row>19</xdr:row>
                    <xdr:rowOff>142875</xdr:rowOff>
                  </from>
                  <to>
                    <xdr:col>2</xdr:col>
                    <xdr:colOff>171450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34" name="Check Box 32">
              <controlPr locked="0" defaultSize="0" autoFill="0" autoLine="0" autoPict="0">
                <anchor moveWithCells="1">
                  <from>
                    <xdr:col>1</xdr:col>
                    <xdr:colOff>1304925</xdr:colOff>
                    <xdr:row>5</xdr:row>
                    <xdr:rowOff>161925</xdr:rowOff>
                  </from>
                  <to>
                    <xdr:col>2</xdr:col>
                    <xdr:colOff>171450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35" name="Check Box 33">
              <controlPr locked="0" defaultSize="0" autoFill="0" autoLine="0" autoPict="0">
                <anchor moveWithCells="1">
                  <from>
                    <xdr:col>1</xdr:col>
                    <xdr:colOff>1304925</xdr:colOff>
                    <xdr:row>6</xdr:row>
                    <xdr:rowOff>171450</xdr:rowOff>
                  </from>
                  <to>
                    <xdr:col>2</xdr:col>
                    <xdr:colOff>161925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36" name="Check Box 34">
              <controlPr locked="0" defaultSize="0" autoFill="0" autoLine="0" autoPict="0">
                <anchor moveWithCells="1">
                  <from>
                    <xdr:col>1</xdr:col>
                    <xdr:colOff>1295400</xdr:colOff>
                    <xdr:row>7</xdr:row>
                    <xdr:rowOff>171450</xdr:rowOff>
                  </from>
                  <to>
                    <xdr:col>2</xdr:col>
                    <xdr:colOff>171450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37" name="Check Box 35">
              <controlPr locked="0" defaultSize="0" autoFill="0" autoLine="0" autoPict="0">
                <anchor moveWithCells="1">
                  <from>
                    <xdr:col>1</xdr:col>
                    <xdr:colOff>1295400</xdr:colOff>
                    <xdr:row>8</xdr:row>
                    <xdr:rowOff>180975</xdr:rowOff>
                  </from>
                  <to>
                    <xdr:col>2</xdr:col>
                    <xdr:colOff>171450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:AI60"/>
  <sheetViews>
    <sheetView showGridLines="0" zoomScale="85" zoomScaleNormal="85" workbookViewId="0">
      <pane xSplit="4" ySplit="2" topLeftCell="E3" activePane="bottomRight" state="frozen"/>
      <selection activeCell="C4" sqref="C4"/>
      <selection pane="topRight" activeCell="C4" sqref="C4"/>
      <selection pane="bottomLeft" activeCell="C4" sqref="C4"/>
      <selection pane="bottomRight" activeCell="E3" sqref="E3"/>
    </sheetView>
  </sheetViews>
  <sheetFormatPr defaultColWidth="0" defaultRowHeight="15" zeroHeight="1"/>
  <cols>
    <col min="1" max="1" width="39.140625" style="73" bestFit="1" customWidth="1"/>
    <col min="2" max="3" width="27.85546875" style="75" hidden="1" customWidth="1"/>
    <col min="4" max="4" width="9.85546875" style="76" hidden="1" customWidth="1"/>
    <col min="5" max="5" width="13.7109375" style="345" bestFit="1" customWidth="1"/>
    <col min="6" max="34" width="12.7109375" style="62" customWidth="1"/>
    <col min="35" max="35" width="11.7109375" style="62" customWidth="1"/>
    <col min="36" max="16384" width="9.140625" style="62" hidden="1"/>
  </cols>
  <sheetData>
    <row r="1" spans="1:35" s="265" customFormat="1" ht="15.75" hidden="1" thickBot="1">
      <c r="A1" s="264"/>
      <c r="B1" s="264"/>
      <c r="C1" s="264"/>
      <c r="D1" s="264"/>
      <c r="E1" s="327"/>
      <c r="F1" s="265">
        <f>IF((F4+F7+F10+F13+F14+F22+F24)&lt;&gt;0,1,0)</f>
        <v>0</v>
      </c>
      <c r="G1" s="265">
        <f t="shared" ref="G1:AH1" si="0">IF((G4+G7+G10+G13+G14+G22+G24)&lt;&gt;0,1,0)</f>
        <v>0</v>
      </c>
      <c r="H1" s="265">
        <f t="shared" si="0"/>
        <v>0</v>
      </c>
      <c r="I1" s="265">
        <f t="shared" si="0"/>
        <v>0</v>
      </c>
      <c r="J1" s="265">
        <f t="shared" si="0"/>
        <v>0</v>
      </c>
      <c r="K1" s="265">
        <f t="shared" si="0"/>
        <v>0</v>
      </c>
      <c r="L1" s="265">
        <f t="shared" si="0"/>
        <v>0</v>
      </c>
      <c r="M1" s="265">
        <f t="shared" si="0"/>
        <v>0</v>
      </c>
      <c r="N1" s="265">
        <f t="shared" si="0"/>
        <v>0</v>
      </c>
      <c r="O1" s="265">
        <f t="shared" si="0"/>
        <v>0</v>
      </c>
      <c r="P1" s="265">
        <f t="shared" si="0"/>
        <v>0</v>
      </c>
      <c r="Q1" s="265">
        <f t="shared" si="0"/>
        <v>0</v>
      </c>
      <c r="R1" s="265">
        <f t="shared" si="0"/>
        <v>0</v>
      </c>
      <c r="S1" s="265">
        <f t="shared" si="0"/>
        <v>0</v>
      </c>
      <c r="T1" s="265">
        <f t="shared" si="0"/>
        <v>0</v>
      </c>
      <c r="U1" s="265">
        <f t="shared" si="0"/>
        <v>0</v>
      </c>
      <c r="V1" s="265">
        <f t="shared" si="0"/>
        <v>0</v>
      </c>
      <c r="W1" s="265">
        <f t="shared" si="0"/>
        <v>0</v>
      </c>
      <c r="X1" s="265">
        <f t="shared" si="0"/>
        <v>0</v>
      </c>
      <c r="Y1" s="265">
        <f t="shared" si="0"/>
        <v>0</v>
      </c>
      <c r="Z1" s="265">
        <f t="shared" si="0"/>
        <v>0</v>
      </c>
      <c r="AA1" s="265">
        <f t="shared" si="0"/>
        <v>0</v>
      </c>
      <c r="AB1" s="265">
        <f t="shared" si="0"/>
        <v>0</v>
      </c>
      <c r="AC1" s="265">
        <f t="shared" si="0"/>
        <v>0</v>
      </c>
      <c r="AD1" s="265">
        <f t="shared" si="0"/>
        <v>0</v>
      </c>
      <c r="AE1" s="265">
        <f t="shared" si="0"/>
        <v>0</v>
      </c>
      <c r="AF1" s="265">
        <f t="shared" si="0"/>
        <v>0</v>
      </c>
      <c r="AG1" s="265">
        <f t="shared" si="0"/>
        <v>0</v>
      </c>
      <c r="AH1" s="265">
        <f t="shared" si="0"/>
        <v>0</v>
      </c>
    </row>
    <row r="2" spans="1:35" s="347" customFormat="1" ht="20.25">
      <c r="A2" s="346" t="s">
        <v>3246</v>
      </c>
      <c r="B2" s="74" t="s">
        <v>3299</v>
      </c>
      <c r="C2" s="74" t="s">
        <v>3298</v>
      </c>
      <c r="D2" s="74" t="s">
        <v>3349</v>
      </c>
      <c r="E2" s="63" t="s">
        <v>3365</v>
      </c>
      <c r="F2" s="64">
        <v>42004</v>
      </c>
      <c r="G2" s="64">
        <v>42369</v>
      </c>
      <c r="H2" s="64">
        <v>42735</v>
      </c>
      <c r="I2" s="64">
        <v>43100</v>
      </c>
      <c r="J2" s="64">
        <v>43465</v>
      </c>
      <c r="K2" s="64">
        <v>43830</v>
      </c>
      <c r="L2" s="64">
        <v>44196</v>
      </c>
      <c r="M2" s="64">
        <v>44561</v>
      </c>
      <c r="N2" s="64">
        <v>44926</v>
      </c>
      <c r="O2" s="64">
        <v>45291</v>
      </c>
      <c r="P2" s="64">
        <v>45657</v>
      </c>
      <c r="Q2" s="64">
        <v>46022</v>
      </c>
      <c r="R2" s="64">
        <v>46387</v>
      </c>
      <c r="S2" s="64">
        <v>46752</v>
      </c>
      <c r="T2" s="64">
        <v>47118</v>
      </c>
      <c r="U2" s="64">
        <v>47483</v>
      </c>
      <c r="V2" s="64">
        <v>47848</v>
      </c>
      <c r="W2" s="64">
        <v>48213</v>
      </c>
      <c r="X2" s="64">
        <v>48579</v>
      </c>
      <c r="Y2" s="64">
        <v>48944</v>
      </c>
      <c r="Z2" s="64">
        <v>49309</v>
      </c>
      <c r="AA2" s="64">
        <v>49674</v>
      </c>
      <c r="AB2" s="64">
        <v>50040</v>
      </c>
      <c r="AC2" s="64">
        <v>50405</v>
      </c>
      <c r="AD2" s="64">
        <v>50770</v>
      </c>
      <c r="AE2" s="64">
        <v>51135</v>
      </c>
      <c r="AF2" s="64">
        <v>51501</v>
      </c>
      <c r="AG2" s="64">
        <v>51866</v>
      </c>
      <c r="AH2" s="64">
        <v>52231</v>
      </c>
    </row>
    <row r="3" spans="1:35" ht="7.5" customHeight="1">
      <c r="A3" s="227"/>
      <c r="B3" s="249"/>
      <c r="C3" s="249"/>
      <c r="D3" s="249"/>
      <c r="E3" s="328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  <c r="X3" s="175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192"/>
    </row>
    <row r="4" spans="1:35" ht="15.75">
      <c r="A4" s="70" t="s">
        <v>3208</v>
      </c>
      <c r="B4" s="259" t="s">
        <v>3293</v>
      </c>
      <c r="C4" s="259" t="s">
        <v>3419</v>
      </c>
      <c r="D4" s="260" t="s">
        <v>3463</v>
      </c>
      <c r="E4" s="329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76"/>
      <c r="V4" s="176"/>
      <c r="W4" s="176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92"/>
    </row>
    <row r="5" spans="1:35" s="210" customFormat="1" ht="15.75">
      <c r="A5" s="218" t="s">
        <v>3247</v>
      </c>
      <c r="B5" s="219"/>
      <c r="C5" s="219" t="s">
        <v>4268</v>
      </c>
      <c r="D5" s="220" t="s">
        <v>3464</v>
      </c>
      <c r="E5" s="330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16"/>
      <c r="T5" s="216"/>
      <c r="U5" s="216"/>
      <c r="V5" s="216"/>
      <c r="W5" s="216"/>
      <c r="X5" s="216"/>
      <c r="Y5" s="216"/>
      <c r="Z5" s="216"/>
      <c r="AA5" s="216"/>
      <c r="AB5" s="216"/>
      <c r="AC5" s="216"/>
      <c r="AD5" s="216"/>
      <c r="AE5" s="216"/>
      <c r="AF5" s="216"/>
      <c r="AG5" s="216"/>
      <c r="AH5" s="216"/>
      <c r="AI5" s="209"/>
    </row>
    <row r="6" spans="1:35" ht="15.75">
      <c r="A6" s="221"/>
      <c r="B6" s="222"/>
      <c r="C6" s="222" t="s">
        <v>2878</v>
      </c>
      <c r="D6" s="223" t="s">
        <v>3465</v>
      </c>
      <c r="E6" s="331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8"/>
      <c r="W6" s="178"/>
      <c r="X6" s="178"/>
      <c r="Y6" s="178"/>
      <c r="Z6" s="178"/>
      <c r="AA6" s="178"/>
      <c r="AB6" s="178"/>
      <c r="AC6" s="178"/>
      <c r="AD6" s="178"/>
      <c r="AE6" s="175"/>
      <c r="AF6" s="175"/>
      <c r="AG6" s="175"/>
      <c r="AH6" s="175"/>
      <c r="AI6" s="192"/>
    </row>
    <row r="7" spans="1:35" ht="15.75">
      <c r="A7" s="253" t="s">
        <v>3204</v>
      </c>
      <c r="B7" s="254" t="s">
        <v>3293</v>
      </c>
      <c r="C7" s="254" t="s">
        <v>3417</v>
      </c>
      <c r="D7" s="255" t="s">
        <v>3466</v>
      </c>
      <c r="E7" s="332"/>
      <c r="F7" s="256"/>
      <c r="G7" s="257"/>
      <c r="H7" s="257"/>
      <c r="I7" s="257"/>
      <c r="J7" s="257"/>
      <c r="K7" s="257"/>
      <c r="L7" s="257"/>
      <c r="M7" s="257"/>
      <c r="N7" s="257"/>
      <c r="O7" s="257"/>
      <c r="P7" s="257"/>
      <c r="Q7" s="257"/>
      <c r="R7" s="257"/>
      <c r="S7" s="257"/>
      <c r="T7" s="257"/>
      <c r="U7" s="257"/>
      <c r="V7" s="258"/>
      <c r="W7" s="258"/>
      <c r="X7" s="258"/>
      <c r="Y7" s="258"/>
      <c r="Z7" s="258"/>
      <c r="AA7" s="258"/>
      <c r="AB7" s="258"/>
      <c r="AC7" s="258"/>
      <c r="AD7" s="258"/>
      <c r="AE7" s="256"/>
      <c r="AF7" s="256"/>
      <c r="AG7" s="256"/>
      <c r="AH7" s="256"/>
      <c r="AI7" s="192"/>
    </row>
    <row r="8" spans="1:35" s="210" customFormat="1" ht="15.75">
      <c r="A8" s="218" t="s">
        <v>3248</v>
      </c>
      <c r="B8" s="219"/>
      <c r="C8" s="219" t="s">
        <v>4267</v>
      </c>
      <c r="D8" s="220" t="s">
        <v>3467</v>
      </c>
      <c r="E8" s="330"/>
      <c r="F8" s="216"/>
      <c r="G8" s="226"/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6"/>
      <c r="U8" s="226"/>
      <c r="V8" s="216"/>
      <c r="W8" s="216"/>
      <c r="X8" s="216"/>
      <c r="Y8" s="216"/>
      <c r="Z8" s="216"/>
      <c r="AA8" s="216"/>
      <c r="AB8" s="216"/>
      <c r="AC8" s="216"/>
      <c r="AD8" s="216"/>
      <c r="AE8" s="216"/>
      <c r="AF8" s="216"/>
      <c r="AG8" s="216"/>
      <c r="AH8" s="216"/>
      <c r="AI8" s="209"/>
    </row>
    <row r="9" spans="1:35">
      <c r="A9" s="227"/>
      <c r="B9" s="228"/>
      <c r="C9" s="228" t="s">
        <v>2878</v>
      </c>
      <c r="D9" s="229" t="s">
        <v>3468</v>
      </c>
      <c r="E9" s="333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8"/>
      <c r="W9" s="178"/>
      <c r="X9" s="178"/>
      <c r="Y9" s="178"/>
      <c r="Z9" s="178"/>
      <c r="AA9" s="178"/>
      <c r="AB9" s="178"/>
      <c r="AC9" s="178"/>
      <c r="AD9" s="178"/>
      <c r="AE9" s="175"/>
      <c r="AF9" s="175"/>
      <c r="AG9" s="175"/>
      <c r="AH9" s="175"/>
      <c r="AI9" s="192"/>
    </row>
    <row r="10" spans="1:35" ht="15.75">
      <c r="A10" s="70" t="s">
        <v>3249</v>
      </c>
      <c r="B10" s="254" t="s">
        <v>3293</v>
      </c>
      <c r="C10" s="321" t="s">
        <v>3293</v>
      </c>
      <c r="D10" s="322" t="s">
        <v>3469</v>
      </c>
      <c r="E10" s="329"/>
      <c r="F10" s="176"/>
      <c r="G10" s="176"/>
      <c r="H10" s="176"/>
      <c r="I10" s="176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76"/>
      <c r="X10" s="176"/>
      <c r="Y10" s="176"/>
      <c r="Z10" s="176"/>
      <c r="AA10" s="176"/>
      <c r="AB10" s="176"/>
      <c r="AC10" s="176"/>
      <c r="AD10" s="176"/>
      <c r="AE10" s="176"/>
      <c r="AF10" s="176"/>
      <c r="AG10" s="176"/>
      <c r="AH10" s="176"/>
      <c r="AI10" s="192"/>
    </row>
    <row r="11" spans="1:35" s="210" customFormat="1" ht="16.5" thickBot="1">
      <c r="A11" s="230" t="s">
        <v>3247</v>
      </c>
      <c r="B11" s="231"/>
      <c r="C11" s="231" t="s">
        <v>4269</v>
      </c>
      <c r="D11" s="232" t="s">
        <v>3470</v>
      </c>
      <c r="E11" s="334"/>
      <c r="F11" s="211"/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09"/>
    </row>
    <row r="12" spans="1:35" ht="15.75" thickTop="1">
      <c r="A12" s="233"/>
      <c r="B12" s="228"/>
      <c r="C12" s="228" t="s">
        <v>2878</v>
      </c>
      <c r="D12" s="229" t="s">
        <v>3471</v>
      </c>
      <c r="E12" s="335"/>
      <c r="F12" s="184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6"/>
      <c r="W12" s="186"/>
      <c r="X12" s="186"/>
      <c r="Y12" s="186"/>
      <c r="Z12" s="186"/>
      <c r="AA12" s="186"/>
      <c r="AB12" s="186"/>
      <c r="AC12" s="186"/>
      <c r="AD12" s="186"/>
      <c r="AE12" s="184"/>
      <c r="AF12" s="184"/>
      <c r="AG12" s="184"/>
      <c r="AH12" s="184"/>
      <c r="AI12" s="192"/>
    </row>
    <row r="13" spans="1:35" ht="15.75">
      <c r="A13" s="253" t="s">
        <v>3250</v>
      </c>
      <c r="B13" s="254" t="s">
        <v>3200</v>
      </c>
      <c r="C13" s="254" t="s">
        <v>3416</v>
      </c>
      <c r="D13" s="255" t="s">
        <v>3472</v>
      </c>
      <c r="E13" s="332"/>
      <c r="F13" s="256"/>
      <c r="G13" s="257"/>
      <c r="H13" s="257"/>
      <c r="I13" s="257"/>
      <c r="J13" s="257"/>
      <c r="K13" s="257"/>
      <c r="L13" s="257"/>
      <c r="M13" s="257"/>
      <c r="N13" s="257"/>
      <c r="O13" s="257"/>
      <c r="P13" s="257"/>
      <c r="Q13" s="257"/>
      <c r="R13" s="257"/>
      <c r="S13" s="257"/>
      <c r="T13" s="257"/>
      <c r="U13" s="257"/>
      <c r="V13" s="258"/>
      <c r="W13" s="258"/>
      <c r="X13" s="258"/>
      <c r="Y13" s="258"/>
      <c r="Z13" s="258"/>
      <c r="AA13" s="258"/>
      <c r="AB13" s="258"/>
      <c r="AC13" s="258"/>
      <c r="AD13" s="258"/>
      <c r="AE13" s="256"/>
      <c r="AF13" s="256"/>
      <c r="AG13" s="256"/>
      <c r="AH13" s="256"/>
      <c r="AI13" s="192"/>
    </row>
    <row r="14" spans="1:35" ht="15.75">
      <c r="A14" s="253" t="s">
        <v>3205</v>
      </c>
      <c r="B14" s="254" t="s">
        <v>3200</v>
      </c>
      <c r="C14" s="254" t="s">
        <v>3418</v>
      </c>
      <c r="D14" s="255" t="s">
        <v>3473</v>
      </c>
      <c r="E14" s="332"/>
      <c r="F14" s="256"/>
      <c r="G14" s="257"/>
      <c r="H14" s="257"/>
      <c r="I14" s="257"/>
      <c r="J14" s="257"/>
      <c r="K14" s="257"/>
      <c r="L14" s="257"/>
      <c r="M14" s="257"/>
      <c r="N14" s="257"/>
      <c r="O14" s="257"/>
      <c r="P14" s="257"/>
      <c r="Q14" s="257"/>
      <c r="R14" s="257"/>
      <c r="S14" s="257"/>
      <c r="T14" s="257"/>
      <c r="U14" s="257"/>
      <c r="V14" s="258"/>
      <c r="W14" s="258"/>
      <c r="X14" s="258"/>
      <c r="Y14" s="258"/>
      <c r="Z14" s="258"/>
      <c r="AA14" s="258"/>
      <c r="AB14" s="258"/>
      <c r="AC14" s="258"/>
      <c r="AD14" s="258"/>
      <c r="AE14" s="256"/>
      <c r="AF14" s="256"/>
      <c r="AG14" s="256"/>
      <c r="AH14" s="256"/>
      <c r="AI14" s="192"/>
    </row>
    <row r="15" spans="1:35" s="210" customFormat="1" ht="15.75">
      <c r="A15" s="218" t="s">
        <v>3251</v>
      </c>
      <c r="B15" s="219"/>
      <c r="C15" s="219" t="s">
        <v>4270</v>
      </c>
      <c r="D15" s="220" t="s">
        <v>3474</v>
      </c>
      <c r="E15" s="330"/>
      <c r="F15" s="207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8"/>
      <c r="T15" s="208"/>
      <c r="U15" s="208"/>
      <c r="V15" s="207"/>
      <c r="W15" s="207"/>
      <c r="X15" s="207"/>
      <c r="Y15" s="207"/>
      <c r="Z15" s="207"/>
      <c r="AA15" s="207"/>
      <c r="AB15" s="207"/>
      <c r="AC15" s="207"/>
      <c r="AD15" s="207"/>
      <c r="AE15" s="207"/>
      <c r="AF15" s="207"/>
      <c r="AG15" s="207"/>
      <c r="AH15" s="207"/>
      <c r="AI15" s="209"/>
    </row>
    <row r="16" spans="1:35" ht="15.75">
      <c r="A16" s="224" t="s">
        <v>3220</v>
      </c>
      <c r="B16" s="222"/>
      <c r="C16" s="222" t="s">
        <v>3425</v>
      </c>
      <c r="D16" s="223" t="s">
        <v>3475</v>
      </c>
      <c r="E16" s="336"/>
      <c r="F16" s="225"/>
      <c r="G16" s="190"/>
      <c r="H16" s="190"/>
      <c r="I16" s="190"/>
      <c r="J16" s="190"/>
      <c r="K16" s="190"/>
      <c r="L16" s="190"/>
      <c r="M16" s="190"/>
      <c r="N16" s="190"/>
      <c r="O16" s="190"/>
      <c r="P16" s="190"/>
      <c r="Q16" s="190"/>
      <c r="R16" s="190"/>
      <c r="S16" s="190"/>
      <c r="T16" s="190"/>
      <c r="U16" s="190"/>
      <c r="V16" s="177"/>
      <c r="W16" s="177"/>
      <c r="X16" s="177"/>
      <c r="Y16" s="177"/>
      <c r="Z16" s="177"/>
      <c r="AA16" s="177"/>
      <c r="AB16" s="177"/>
      <c r="AC16" s="177"/>
      <c r="AD16" s="177"/>
      <c r="AE16" s="225"/>
      <c r="AF16" s="225"/>
      <c r="AG16" s="225"/>
      <c r="AH16" s="225"/>
      <c r="AI16" s="192"/>
    </row>
    <row r="17" spans="1:35" s="210" customFormat="1" ht="15.75">
      <c r="A17" s="218" t="s">
        <v>3251</v>
      </c>
      <c r="B17" s="219"/>
      <c r="C17" s="219" t="s">
        <v>4272</v>
      </c>
      <c r="D17" s="220" t="s">
        <v>3476</v>
      </c>
      <c r="E17" s="330"/>
      <c r="F17" s="207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8"/>
      <c r="V17" s="207"/>
      <c r="W17" s="207"/>
      <c r="X17" s="207"/>
      <c r="Y17" s="207"/>
      <c r="Z17" s="207"/>
      <c r="AA17" s="207"/>
      <c r="AB17" s="207"/>
      <c r="AC17" s="207"/>
      <c r="AD17" s="207"/>
      <c r="AE17" s="207"/>
      <c r="AF17" s="207"/>
      <c r="AG17" s="207"/>
      <c r="AH17" s="207"/>
      <c r="AI17" s="209"/>
    </row>
    <row r="18" spans="1:35" ht="15.75">
      <c r="A18" s="72" t="s">
        <v>3201</v>
      </c>
      <c r="B18" s="80"/>
      <c r="C18" s="80" t="s">
        <v>3200</v>
      </c>
      <c r="D18" s="78" t="s">
        <v>3477</v>
      </c>
      <c r="E18" s="337"/>
      <c r="F18" s="187"/>
      <c r="G18" s="188"/>
      <c r="H18" s="188"/>
      <c r="I18" s="188"/>
      <c r="J18" s="188"/>
      <c r="K18" s="188"/>
      <c r="L18" s="188"/>
      <c r="M18" s="188"/>
      <c r="N18" s="188"/>
      <c r="O18" s="188"/>
      <c r="P18" s="188"/>
      <c r="Q18" s="188"/>
      <c r="R18" s="188"/>
      <c r="S18" s="188"/>
      <c r="T18" s="188"/>
      <c r="U18" s="188"/>
      <c r="V18" s="189"/>
      <c r="W18" s="189"/>
      <c r="X18" s="189"/>
      <c r="Y18" s="189"/>
      <c r="Z18" s="189"/>
      <c r="AA18" s="189"/>
      <c r="AB18" s="189"/>
      <c r="AC18" s="189"/>
      <c r="AD18" s="189"/>
      <c r="AE18" s="187"/>
      <c r="AF18" s="187"/>
      <c r="AG18" s="187"/>
      <c r="AH18" s="187"/>
      <c r="AI18" s="192"/>
    </row>
    <row r="19" spans="1:35" ht="15.75">
      <c r="A19" s="71" t="s">
        <v>3252</v>
      </c>
      <c r="B19" s="79"/>
      <c r="C19" s="79" t="s">
        <v>4271</v>
      </c>
      <c r="D19" s="77" t="s">
        <v>3478</v>
      </c>
      <c r="E19" s="338"/>
      <c r="F19" s="179"/>
      <c r="G19" s="180"/>
      <c r="H19" s="180"/>
      <c r="I19" s="180"/>
      <c r="J19" s="180"/>
      <c r="K19" s="180"/>
      <c r="L19" s="180"/>
      <c r="M19" s="180"/>
      <c r="N19" s="180"/>
      <c r="O19" s="180"/>
      <c r="P19" s="180"/>
      <c r="Q19" s="180"/>
      <c r="R19" s="180"/>
      <c r="S19" s="180"/>
      <c r="T19" s="180"/>
      <c r="U19" s="180"/>
      <c r="V19" s="181"/>
      <c r="W19" s="181"/>
      <c r="X19" s="181"/>
      <c r="Y19" s="181"/>
      <c r="Z19" s="181"/>
      <c r="AA19" s="181"/>
      <c r="AB19" s="181"/>
      <c r="AC19" s="181"/>
      <c r="AD19" s="181"/>
      <c r="AE19" s="179"/>
      <c r="AF19" s="179"/>
      <c r="AG19" s="179"/>
      <c r="AH19" s="179"/>
      <c r="AI19" s="192"/>
    </row>
    <row r="20" spans="1:35" s="215" customFormat="1" ht="16.5" thickBot="1">
      <c r="A20" s="234" t="s">
        <v>3251</v>
      </c>
      <c r="B20" s="235"/>
      <c r="C20" s="235" t="s">
        <v>4273</v>
      </c>
      <c r="D20" s="236" t="s">
        <v>3479</v>
      </c>
      <c r="E20" s="339"/>
      <c r="F20" s="213"/>
      <c r="G20" s="214"/>
      <c r="H20" s="214"/>
      <c r="I20" s="214"/>
      <c r="J20" s="214"/>
      <c r="K20" s="214"/>
      <c r="L20" s="214"/>
      <c r="M20" s="214"/>
      <c r="N20" s="214"/>
      <c r="O20" s="214"/>
      <c r="P20" s="214"/>
      <c r="Q20" s="214"/>
      <c r="R20" s="214"/>
      <c r="S20" s="214"/>
      <c r="T20" s="214"/>
      <c r="U20" s="214"/>
      <c r="V20" s="213"/>
      <c r="W20" s="213"/>
      <c r="X20" s="213"/>
      <c r="Y20" s="213"/>
      <c r="Z20" s="213"/>
      <c r="AA20" s="213"/>
      <c r="AB20" s="213"/>
      <c r="AC20" s="213"/>
      <c r="AD20" s="213"/>
      <c r="AE20" s="213"/>
      <c r="AF20" s="213"/>
      <c r="AG20" s="213"/>
      <c r="AH20" s="213"/>
    </row>
    <row r="21" spans="1:35" ht="15.75" thickTop="1">
      <c r="A21" s="233"/>
      <c r="B21" s="228"/>
      <c r="C21" s="228" t="s">
        <v>2878</v>
      </c>
      <c r="D21" s="229" t="s">
        <v>3480</v>
      </c>
      <c r="E21" s="335"/>
      <c r="F21" s="184"/>
      <c r="G21" s="185"/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6"/>
      <c r="W21" s="186"/>
      <c r="X21" s="186"/>
      <c r="Y21" s="186"/>
      <c r="Z21" s="186"/>
      <c r="AA21" s="186"/>
      <c r="AB21" s="186"/>
      <c r="AC21" s="186"/>
      <c r="AD21" s="186"/>
      <c r="AE21" s="184"/>
      <c r="AF21" s="184"/>
      <c r="AG21" s="184"/>
      <c r="AH21" s="184"/>
      <c r="AI21" s="192"/>
    </row>
    <row r="22" spans="1:35" ht="15.75">
      <c r="A22" s="253" t="s">
        <v>3221</v>
      </c>
      <c r="B22" s="254" t="s">
        <v>3206</v>
      </c>
      <c r="C22" s="254" t="s">
        <v>3426</v>
      </c>
      <c r="D22" s="255" t="s">
        <v>3481</v>
      </c>
      <c r="E22" s="332"/>
      <c r="F22" s="256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8"/>
      <c r="W22" s="258"/>
      <c r="X22" s="258"/>
      <c r="Y22" s="258"/>
      <c r="Z22" s="258"/>
      <c r="AA22" s="258"/>
      <c r="AB22" s="258"/>
      <c r="AC22" s="258"/>
      <c r="AD22" s="258"/>
      <c r="AE22" s="256"/>
      <c r="AF22" s="256"/>
      <c r="AG22" s="256"/>
      <c r="AH22" s="256"/>
      <c r="AI22" s="192"/>
    </row>
    <row r="23" spans="1:35" s="210" customFormat="1" ht="15.75">
      <c r="A23" s="218" t="s">
        <v>3251</v>
      </c>
      <c r="B23" s="219"/>
      <c r="C23" s="219" t="s">
        <v>4274</v>
      </c>
      <c r="D23" s="220" t="s">
        <v>3482</v>
      </c>
      <c r="E23" s="330"/>
      <c r="F23" s="207"/>
      <c r="G23" s="208"/>
      <c r="H23" s="208"/>
      <c r="I23" s="208"/>
      <c r="J23" s="208"/>
      <c r="K23" s="208"/>
      <c r="L23" s="208"/>
      <c r="M23" s="208"/>
      <c r="N23" s="208"/>
      <c r="O23" s="208"/>
      <c r="P23" s="208"/>
      <c r="Q23" s="208"/>
      <c r="R23" s="208"/>
      <c r="S23" s="208"/>
      <c r="T23" s="208"/>
      <c r="U23" s="208"/>
      <c r="V23" s="207"/>
      <c r="W23" s="207"/>
      <c r="X23" s="207"/>
      <c r="Y23" s="207"/>
      <c r="Z23" s="207"/>
      <c r="AA23" s="207"/>
      <c r="AB23" s="207"/>
      <c r="AC23" s="207"/>
      <c r="AD23" s="207"/>
      <c r="AE23" s="207"/>
      <c r="AF23" s="207"/>
      <c r="AG23" s="207"/>
      <c r="AH23" s="207"/>
      <c r="AI23" s="209"/>
    </row>
    <row r="24" spans="1:35" ht="15.75">
      <c r="A24" s="253" t="s">
        <v>3215</v>
      </c>
      <c r="B24" s="254" t="s">
        <v>3206</v>
      </c>
      <c r="C24" s="254" t="s">
        <v>3421</v>
      </c>
      <c r="D24" s="255" t="s">
        <v>3483</v>
      </c>
      <c r="E24" s="332"/>
      <c r="F24" s="256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8"/>
      <c r="W24" s="258"/>
      <c r="X24" s="258"/>
      <c r="Y24" s="258"/>
      <c r="Z24" s="258"/>
      <c r="AA24" s="258"/>
      <c r="AB24" s="258"/>
      <c r="AC24" s="258"/>
      <c r="AD24" s="258"/>
      <c r="AE24" s="256"/>
      <c r="AF24" s="256"/>
      <c r="AG24" s="256"/>
      <c r="AH24" s="256"/>
      <c r="AI24" s="192"/>
    </row>
    <row r="25" spans="1:35" s="210" customFormat="1" ht="15.75">
      <c r="A25" s="218" t="s">
        <v>3251</v>
      </c>
      <c r="B25" s="219"/>
      <c r="C25" s="219" t="s">
        <v>4275</v>
      </c>
      <c r="D25" s="220" t="s">
        <v>3484</v>
      </c>
      <c r="E25" s="330"/>
      <c r="F25" s="207"/>
      <c r="G25" s="208"/>
      <c r="H25" s="208"/>
      <c r="I25" s="208"/>
      <c r="J25" s="208"/>
      <c r="K25" s="208"/>
      <c r="L25" s="208"/>
      <c r="M25" s="208"/>
      <c r="N25" s="208"/>
      <c r="O25" s="208"/>
      <c r="P25" s="208"/>
      <c r="Q25" s="208"/>
      <c r="R25" s="208"/>
      <c r="S25" s="208"/>
      <c r="T25" s="208"/>
      <c r="U25" s="208"/>
      <c r="V25" s="207"/>
      <c r="W25" s="207"/>
      <c r="X25" s="207"/>
      <c r="Y25" s="207"/>
      <c r="Z25" s="207"/>
      <c r="AA25" s="207"/>
      <c r="AB25" s="207"/>
      <c r="AC25" s="207"/>
      <c r="AD25" s="207"/>
      <c r="AE25" s="207"/>
      <c r="AF25" s="207"/>
      <c r="AG25" s="207"/>
      <c r="AH25" s="207"/>
      <c r="AI25" s="209"/>
    </row>
    <row r="26" spans="1:35" ht="15.75">
      <c r="A26" s="72" t="s">
        <v>3207</v>
      </c>
      <c r="B26" s="80"/>
      <c r="C26" s="80" t="s">
        <v>3206</v>
      </c>
      <c r="D26" s="78" t="s">
        <v>3485</v>
      </c>
      <c r="E26" s="337"/>
      <c r="F26" s="187"/>
      <c r="G26" s="188"/>
      <c r="H26" s="188"/>
      <c r="I26" s="188"/>
      <c r="J26" s="188"/>
      <c r="K26" s="188"/>
      <c r="L26" s="188"/>
      <c r="M26" s="188"/>
      <c r="N26" s="188"/>
      <c r="O26" s="188"/>
      <c r="P26" s="188"/>
      <c r="Q26" s="188"/>
      <c r="R26" s="188"/>
      <c r="S26" s="188"/>
      <c r="T26" s="188"/>
      <c r="U26" s="188"/>
      <c r="V26" s="187"/>
      <c r="W26" s="187"/>
      <c r="X26" s="187"/>
      <c r="Y26" s="187"/>
      <c r="Z26" s="187"/>
      <c r="AA26" s="187"/>
      <c r="AB26" s="187"/>
      <c r="AC26" s="187"/>
      <c r="AD26" s="187"/>
      <c r="AE26" s="187"/>
      <c r="AF26" s="187"/>
      <c r="AG26" s="187"/>
      <c r="AH26" s="187"/>
      <c r="AI26" s="192"/>
    </row>
    <row r="27" spans="1:35" ht="15.75">
      <c r="A27" s="71" t="s">
        <v>3253</v>
      </c>
      <c r="B27" s="79"/>
      <c r="C27" s="79" t="s">
        <v>4276</v>
      </c>
      <c r="D27" s="77" t="s">
        <v>3486</v>
      </c>
      <c r="E27" s="338"/>
      <c r="F27" s="179"/>
      <c r="G27" s="180"/>
      <c r="H27" s="180"/>
      <c r="I27" s="180"/>
      <c r="J27" s="180"/>
      <c r="K27" s="180"/>
      <c r="L27" s="180"/>
      <c r="M27" s="180"/>
      <c r="N27" s="180"/>
      <c r="O27" s="180"/>
      <c r="P27" s="180"/>
      <c r="Q27" s="180"/>
      <c r="R27" s="180"/>
      <c r="S27" s="180"/>
      <c r="T27" s="180"/>
      <c r="U27" s="180"/>
      <c r="V27" s="179"/>
      <c r="W27" s="179"/>
      <c r="X27" s="179"/>
      <c r="Y27" s="179"/>
      <c r="Z27" s="179"/>
      <c r="AA27" s="179"/>
      <c r="AB27" s="179"/>
      <c r="AC27" s="179"/>
      <c r="AD27" s="179"/>
      <c r="AE27" s="179"/>
      <c r="AF27" s="179"/>
      <c r="AG27" s="179"/>
      <c r="AH27" s="179"/>
      <c r="AI27" s="192"/>
    </row>
    <row r="28" spans="1:35" s="210" customFormat="1" ht="16.5" thickBot="1">
      <c r="A28" s="230" t="s">
        <v>3251</v>
      </c>
      <c r="B28" s="231"/>
      <c r="C28" s="231" t="s">
        <v>4277</v>
      </c>
      <c r="D28" s="232" t="s">
        <v>3487</v>
      </c>
      <c r="E28" s="334"/>
      <c r="F28" s="211"/>
      <c r="G28" s="212"/>
      <c r="H28" s="212"/>
      <c r="I28" s="212"/>
      <c r="J28" s="212"/>
      <c r="K28" s="212"/>
      <c r="L28" s="212"/>
      <c r="M28" s="212"/>
      <c r="N28" s="212"/>
      <c r="O28" s="212"/>
      <c r="P28" s="212"/>
      <c r="Q28" s="212"/>
      <c r="R28" s="212"/>
      <c r="S28" s="212"/>
      <c r="T28" s="212"/>
      <c r="U28" s="212"/>
      <c r="V28" s="211"/>
      <c r="W28" s="211"/>
      <c r="X28" s="211"/>
      <c r="Y28" s="211"/>
      <c r="Z28" s="211"/>
      <c r="AA28" s="211"/>
      <c r="AB28" s="211"/>
      <c r="AC28" s="211"/>
      <c r="AD28" s="211"/>
      <c r="AE28" s="211"/>
      <c r="AF28" s="211"/>
      <c r="AG28" s="211"/>
      <c r="AH28" s="211"/>
      <c r="AI28" s="209"/>
    </row>
    <row r="29" spans="1:35" ht="15.75" thickTop="1">
      <c r="A29" s="233" t="str">
        <f>LOWER(A27)</f>
        <v>product contribution</v>
      </c>
      <c r="B29" s="228"/>
      <c r="C29" s="228"/>
      <c r="D29" s="229" t="s">
        <v>3488</v>
      </c>
      <c r="E29" s="335"/>
      <c r="F29" s="184"/>
      <c r="G29" s="185"/>
      <c r="H29" s="185"/>
      <c r="I29" s="185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92"/>
    </row>
    <row r="30" spans="1:35" ht="15.75">
      <c r="A30" s="224" t="s">
        <v>3216</v>
      </c>
      <c r="B30" s="222"/>
      <c r="C30" s="222" t="s">
        <v>4278</v>
      </c>
      <c r="D30" s="223" t="s">
        <v>3489</v>
      </c>
      <c r="E30" s="336"/>
      <c r="F30" s="225"/>
      <c r="G30" s="190"/>
      <c r="H30" s="190"/>
      <c r="I30" s="190"/>
      <c r="J30" s="190"/>
      <c r="K30" s="190"/>
      <c r="L30" s="190"/>
      <c r="M30" s="190"/>
      <c r="N30" s="190"/>
      <c r="O30" s="190"/>
      <c r="P30" s="190"/>
      <c r="Q30" s="190"/>
      <c r="R30" s="190"/>
      <c r="S30" s="190"/>
      <c r="T30" s="190"/>
      <c r="U30" s="190"/>
      <c r="V30" s="225"/>
      <c r="W30" s="225"/>
      <c r="X30" s="225"/>
      <c r="Y30" s="225"/>
      <c r="Z30" s="225"/>
      <c r="AA30" s="225"/>
      <c r="AB30" s="225"/>
      <c r="AC30" s="225"/>
      <c r="AD30" s="225"/>
      <c r="AE30" s="225"/>
      <c r="AF30" s="225"/>
      <c r="AG30" s="225"/>
      <c r="AH30" s="225"/>
      <c r="AI30" s="192"/>
    </row>
    <row r="31" spans="1:35" ht="15.75">
      <c r="A31" s="224" t="s">
        <v>3217</v>
      </c>
      <c r="B31" s="222"/>
      <c r="C31" s="222" t="s">
        <v>3422</v>
      </c>
      <c r="D31" s="223" t="s">
        <v>3490</v>
      </c>
      <c r="E31" s="336"/>
      <c r="F31" s="225"/>
      <c r="G31" s="190"/>
      <c r="H31" s="190"/>
      <c r="I31" s="190"/>
      <c r="J31" s="190"/>
      <c r="K31" s="190"/>
      <c r="L31" s="190"/>
      <c r="M31" s="190"/>
      <c r="N31" s="190"/>
      <c r="O31" s="190"/>
      <c r="P31" s="190"/>
      <c r="Q31" s="190"/>
      <c r="R31" s="190"/>
      <c r="S31" s="190"/>
      <c r="T31" s="190"/>
      <c r="U31" s="190"/>
      <c r="V31" s="225"/>
      <c r="W31" s="225"/>
      <c r="X31" s="225"/>
      <c r="Y31" s="225"/>
      <c r="Z31" s="225"/>
      <c r="AA31" s="225"/>
      <c r="AB31" s="225"/>
      <c r="AC31" s="225"/>
      <c r="AD31" s="225"/>
      <c r="AE31" s="225"/>
      <c r="AF31" s="225"/>
      <c r="AG31" s="225"/>
      <c r="AH31" s="225"/>
      <c r="AI31" s="192"/>
    </row>
    <row r="32" spans="1:35" ht="15.75">
      <c r="A32" s="224" t="s">
        <v>3218</v>
      </c>
      <c r="B32" s="222"/>
      <c r="C32" s="222" t="s">
        <v>3423</v>
      </c>
      <c r="D32" s="223" t="s">
        <v>3491</v>
      </c>
      <c r="E32" s="336"/>
      <c r="F32" s="225"/>
      <c r="G32" s="190"/>
      <c r="H32" s="190"/>
      <c r="I32" s="190"/>
      <c r="J32" s="190"/>
      <c r="K32" s="190"/>
      <c r="L32" s="190"/>
      <c r="M32" s="190"/>
      <c r="N32" s="190"/>
      <c r="O32" s="190"/>
      <c r="P32" s="190"/>
      <c r="Q32" s="190"/>
      <c r="R32" s="190"/>
      <c r="S32" s="190"/>
      <c r="T32" s="190"/>
      <c r="U32" s="190"/>
      <c r="V32" s="225"/>
      <c r="W32" s="225"/>
      <c r="X32" s="225"/>
      <c r="Y32" s="225"/>
      <c r="Z32" s="225"/>
      <c r="AA32" s="225"/>
      <c r="AB32" s="225"/>
      <c r="AC32" s="225"/>
      <c r="AD32" s="225"/>
      <c r="AE32" s="225"/>
      <c r="AF32" s="225"/>
      <c r="AG32" s="225"/>
      <c r="AH32" s="225"/>
      <c r="AI32" s="192"/>
    </row>
    <row r="33" spans="1:35" ht="15.75">
      <c r="A33" s="224" t="s">
        <v>3222</v>
      </c>
      <c r="B33" s="222"/>
      <c r="C33" s="222" t="s">
        <v>4279</v>
      </c>
      <c r="D33" s="223" t="s">
        <v>3492</v>
      </c>
      <c r="E33" s="336"/>
      <c r="F33" s="225"/>
      <c r="G33" s="190"/>
      <c r="H33" s="190"/>
      <c r="I33" s="190"/>
      <c r="J33" s="190"/>
      <c r="K33" s="190"/>
      <c r="L33" s="190"/>
      <c r="M33" s="190"/>
      <c r="N33" s="190"/>
      <c r="O33" s="190"/>
      <c r="P33" s="190"/>
      <c r="Q33" s="190"/>
      <c r="R33" s="190"/>
      <c r="S33" s="190"/>
      <c r="T33" s="190"/>
      <c r="U33" s="190"/>
      <c r="V33" s="225"/>
      <c r="W33" s="225"/>
      <c r="X33" s="225"/>
      <c r="Y33" s="225"/>
      <c r="Z33" s="225"/>
      <c r="AA33" s="225"/>
      <c r="AB33" s="225"/>
      <c r="AC33" s="225"/>
      <c r="AD33" s="225"/>
      <c r="AE33" s="225"/>
      <c r="AF33" s="225"/>
      <c r="AG33" s="225"/>
      <c r="AH33" s="225"/>
      <c r="AI33" s="192"/>
    </row>
    <row r="34" spans="1:35" s="210" customFormat="1" ht="15.75">
      <c r="A34" s="218" t="s">
        <v>3251</v>
      </c>
      <c r="B34" s="219"/>
      <c r="C34" s="219" t="s">
        <v>4280</v>
      </c>
      <c r="D34" s="220" t="s">
        <v>3493</v>
      </c>
      <c r="E34" s="330"/>
      <c r="F34" s="207"/>
      <c r="G34" s="208"/>
      <c r="H34" s="208"/>
      <c r="I34" s="208"/>
      <c r="J34" s="208"/>
      <c r="K34" s="208"/>
      <c r="L34" s="208"/>
      <c r="M34" s="208"/>
      <c r="N34" s="208"/>
      <c r="O34" s="208"/>
      <c r="P34" s="208"/>
      <c r="Q34" s="208"/>
      <c r="R34" s="208"/>
      <c r="S34" s="208"/>
      <c r="T34" s="208"/>
      <c r="U34" s="208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9"/>
    </row>
    <row r="35" spans="1:35" ht="15.75">
      <c r="A35" s="224" t="s">
        <v>3211</v>
      </c>
      <c r="B35" s="222"/>
      <c r="C35" s="222" t="s">
        <v>4281</v>
      </c>
      <c r="D35" s="223" t="s">
        <v>3494</v>
      </c>
      <c r="E35" s="336"/>
      <c r="F35" s="237"/>
      <c r="G35" s="238"/>
      <c r="H35" s="238"/>
      <c r="I35" s="238"/>
      <c r="J35" s="238"/>
      <c r="K35" s="238"/>
      <c r="L35" s="238"/>
      <c r="M35" s="238"/>
      <c r="N35" s="238"/>
      <c r="O35" s="238"/>
      <c r="P35" s="238"/>
      <c r="Q35" s="238"/>
      <c r="R35" s="238"/>
      <c r="S35" s="238"/>
      <c r="T35" s="238"/>
      <c r="U35" s="238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192"/>
    </row>
    <row r="36" spans="1:35" ht="15.75">
      <c r="A36" s="71" t="s">
        <v>3254</v>
      </c>
      <c r="B36" s="79"/>
      <c r="C36" s="79" t="s">
        <v>4282</v>
      </c>
      <c r="D36" s="77" t="s">
        <v>3495</v>
      </c>
      <c r="E36" s="338"/>
      <c r="F36" s="179"/>
      <c r="G36" s="180"/>
      <c r="H36" s="180"/>
      <c r="I36" s="180"/>
      <c r="J36" s="180"/>
      <c r="K36" s="180"/>
      <c r="L36" s="180"/>
      <c r="M36" s="180"/>
      <c r="N36" s="180"/>
      <c r="O36" s="180"/>
      <c r="P36" s="180"/>
      <c r="Q36" s="180"/>
      <c r="R36" s="180"/>
      <c r="S36" s="180"/>
      <c r="T36" s="180"/>
      <c r="U36" s="180"/>
      <c r="V36" s="179"/>
      <c r="W36" s="179"/>
      <c r="X36" s="179"/>
      <c r="Y36" s="179"/>
      <c r="Z36" s="179"/>
      <c r="AA36" s="179"/>
      <c r="AB36" s="179"/>
      <c r="AC36" s="179"/>
      <c r="AD36" s="179"/>
      <c r="AE36" s="179"/>
      <c r="AF36" s="179"/>
      <c r="AG36" s="179"/>
      <c r="AH36" s="179"/>
      <c r="AI36" s="192"/>
    </row>
    <row r="37" spans="1:35" s="210" customFormat="1" ht="16.5" thickBot="1">
      <c r="A37" s="230" t="s">
        <v>3251</v>
      </c>
      <c r="B37" s="231"/>
      <c r="C37" s="231" t="s">
        <v>4283</v>
      </c>
      <c r="D37" s="232" t="s">
        <v>3496</v>
      </c>
      <c r="E37" s="334"/>
      <c r="F37" s="211"/>
      <c r="G37" s="212"/>
      <c r="H37" s="212"/>
      <c r="I37" s="212"/>
      <c r="J37" s="212"/>
      <c r="K37" s="212"/>
      <c r="L37" s="212"/>
      <c r="M37" s="212"/>
      <c r="N37" s="212"/>
      <c r="O37" s="212"/>
      <c r="P37" s="212"/>
      <c r="Q37" s="212"/>
      <c r="R37" s="212"/>
      <c r="S37" s="212"/>
      <c r="T37" s="212"/>
      <c r="U37" s="212"/>
      <c r="V37" s="211"/>
      <c r="W37" s="211"/>
      <c r="X37" s="211"/>
      <c r="Y37" s="211"/>
      <c r="Z37" s="211"/>
      <c r="AA37" s="211"/>
      <c r="AB37" s="211"/>
      <c r="AC37" s="211"/>
      <c r="AD37" s="211"/>
      <c r="AE37" s="211"/>
      <c r="AF37" s="211"/>
      <c r="AG37" s="211"/>
      <c r="AH37" s="211"/>
      <c r="AI37" s="209"/>
    </row>
    <row r="38" spans="1:35" ht="16.5" thickTop="1">
      <c r="A38" s="221"/>
      <c r="B38" s="222"/>
      <c r="C38" s="222"/>
      <c r="D38" s="223" t="s">
        <v>3497</v>
      </c>
      <c r="E38" s="330"/>
      <c r="F38" s="177"/>
      <c r="G38" s="190"/>
      <c r="H38" s="190"/>
      <c r="I38" s="190"/>
      <c r="J38" s="190"/>
      <c r="K38" s="190"/>
      <c r="L38" s="190"/>
      <c r="M38" s="190"/>
      <c r="N38" s="190"/>
      <c r="O38" s="190"/>
      <c r="P38" s="190"/>
      <c r="Q38" s="190"/>
      <c r="R38" s="190"/>
      <c r="S38" s="190"/>
      <c r="T38" s="190"/>
      <c r="U38" s="190"/>
      <c r="V38" s="177"/>
      <c r="W38" s="177"/>
      <c r="X38" s="177"/>
      <c r="Y38" s="177"/>
      <c r="Z38" s="177"/>
      <c r="AA38" s="177"/>
      <c r="AB38" s="177"/>
      <c r="AC38" s="177"/>
      <c r="AD38" s="177"/>
      <c r="AE38" s="177"/>
      <c r="AF38" s="177"/>
      <c r="AG38" s="177"/>
      <c r="AH38" s="177"/>
      <c r="AI38" s="192"/>
    </row>
    <row r="39" spans="1:35">
      <c r="A39" s="239" t="s">
        <v>3255</v>
      </c>
      <c r="B39" s="228"/>
      <c r="C39" s="228" t="s">
        <v>4284</v>
      </c>
      <c r="D39" s="229" t="s">
        <v>3498</v>
      </c>
      <c r="E39" s="340"/>
      <c r="F39" s="191"/>
      <c r="G39" s="190"/>
      <c r="H39" s="190"/>
      <c r="I39" s="190"/>
      <c r="J39" s="190"/>
      <c r="K39" s="190"/>
      <c r="L39" s="190"/>
      <c r="M39" s="190"/>
      <c r="N39" s="190"/>
      <c r="O39" s="190"/>
      <c r="P39" s="190"/>
      <c r="Q39" s="190"/>
      <c r="R39" s="190"/>
      <c r="S39" s="190"/>
      <c r="T39" s="190"/>
      <c r="U39" s="190"/>
      <c r="V39" s="191"/>
      <c r="W39" s="191"/>
      <c r="X39" s="191"/>
      <c r="Y39" s="191"/>
      <c r="Z39" s="191"/>
      <c r="AA39" s="191"/>
      <c r="AB39" s="191"/>
      <c r="AC39" s="191"/>
      <c r="AD39" s="191"/>
      <c r="AE39" s="191"/>
      <c r="AF39" s="191"/>
      <c r="AG39" s="191"/>
      <c r="AH39" s="191"/>
      <c r="AI39" s="192"/>
    </row>
    <row r="40" spans="1:35" ht="15.75">
      <c r="A40" s="224" t="s">
        <v>3209</v>
      </c>
      <c r="B40" s="222"/>
      <c r="C40" s="222" t="s">
        <v>3420</v>
      </c>
      <c r="D40" s="223" t="s">
        <v>3499</v>
      </c>
      <c r="E40" s="336"/>
      <c r="F40" s="225"/>
      <c r="G40" s="190"/>
      <c r="H40" s="190"/>
      <c r="I40" s="190"/>
      <c r="J40" s="190"/>
      <c r="K40" s="190"/>
      <c r="L40" s="190"/>
      <c r="M40" s="190"/>
      <c r="N40" s="190"/>
      <c r="O40" s="190"/>
      <c r="P40" s="190"/>
      <c r="Q40" s="190"/>
      <c r="R40" s="190"/>
      <c r="S40" s="190"/>
      <c r="T40" s="190"/>
      <c r="U40" s="190"/>
      <c r="V40" s="225"/>
      <c r="W40" s="225"/>
      <c r="X40" s="225"/>
      <c r="Y40" s="225"/>
      <c r="Z40" s="225"/>
      <c r="AA40" s="225"/>
      <c r="AB40" s="225"/>
      <c r="AC40" s="225"/>
      <c r="AD40" s="225"/>
      <c r="AE40" s="225"/>
      <c r="AF40" s="225"/>
      <c r="AG40" s="225"/>
      <c r="AH40" s="225"/>
      <c r="AI40" s="192"/>
    </row>
    <row r="41" spans="1:35" ht="15.75">
      <c r="A41" s="224" t="s">
        <v>3213</v>
      </c>
      <c r="B41" s="222"/>
      <c r="C41" s="222" t="s">
        <v>4285</v>
      </c>
      <c r="D41" s="223" t="s">
        <v>3500</v>
      </c>
      <c r="E41" s="341"/>
      <c r="F41" s="237"/>
      <c r="G41" s="240"/>
      <c r="H41" s="240"/>
      <c r="I41" s="240"/>
      <c r="J41" s="240"/>
      <c r="K41" s="240"/>
      <c r="L41" s="240"/>
      <c r="M41" s="240"/>
      <c r="N41" s="240"/>
      <c r="O41" s="240"/>
      <c r="P41" s="240"/>
      <c r="Q41" s="240"/>
      <c r="R41" s="240"/>
      <c r="S41" s="240"/>
      <c r="T41" s="240"/>
      <c r="U41" s="240"/>
      <c r="V41" s="241"/>
      <c r="W41" s="241"/>
      <c r="X41" s="241"/>
      <c r="Y41" s="241"/>
      <c r="Z41" s="241"/>
      <c r="AA41" s="241"/>
      <c r="AB41" s="241"/>
      <c r="AC41" s="241"/>
      <c r="AD41" s="241"/>
      <c r="AE41" s="241"/>
      <c r="AF41" s="241"/>
      <c r="AG41" s="241"/>
      <c r="AH41" s="241"/>
      <c r="AI41" s="192"/>
    </row>
    <row r="42" spans="1:35" ht="15.75">
      <c r="A42" s="71" t="s">
        <v>3256</v>
      </c>
      <c r="B42" s="79"/>
      <c r="C42" s="79" t="s">
        <v>4286</v>
      </c>
      <c r="D42" s="77" t="s">
        <v>3501</v>
      </c>
      <c r="E42" s="338"/>
      <c r="F42" s="179"/>
      <c r="G42" s="180"/>
      <c r="H42" s="180"/>
      <c r="I42" s="180"/>
      <c r="J42" s="180"/>
      <c r="K42" s="180"/>
      <c r="L42" s="180"/>
      <c r="M42" s="180"/>
      <c r="N42" s="180"/>
      <c r="O42" s="180"/>
      <c r="P42" s="180"/>
      <c r="Q42" s="180"/>
      <c r="R42" s="180"/>
      <c r="S42" s="180"/>
      <c r="T42" s="180"/>
      <c r="U42" s="180"/>
      <c r="V42" s="179"/>
      <c r="W42" s="179"/>
      <c r="X42" s="179"/>
      <c r="Y42" s="179"/>
      <c r="Z42" s="179"/>
      <c r="AA42" s="179"/>
      <c r="AB42" s="179"/>
      <c r="AC42" s="179"/>
      <c r="AD42" s="179"/>
      <c r="AE42" s="179"/>
      <c r="AF42" s="179"/>
      <c r="AG42" s="179"/>
      <c r="AH42" s="179"/>
      <c r="AI42" s="192"/>
    </row>
    <row r="43" spans="1:35" ht="16.5" thickBot="1">
      <c r="A43" s="242" t="s">
        <v>3251</v>
      </c>
      <c r="B43" s="243"/>
      <c r="C43" s="243" t="s">
        <v>4287</v>
      </c>
      <c r="D43" s="244" t="s">
        <v>3502</v>
      </c>
      <c r="E43" s="334"/>
      <c r="F43" s="182"/>
      <c r="G43" s="183"/>
      <c r="H43" s="183"/>
      <c r="I43" s="183"/>
      <c r="J43" s="183"/>
      <c r="K43" s="183"/>
      <c r="L43" s="183"/>
      <c r="M43" s="183"/>
      <c r="N43" s="183"/>
      <c r="O43" s="183"/>
      <c r="P43" s="183"/>
      <c r="Q43" s="183"/>
      <c r="R43" s="183"/>
      <c r="S43" s="183"/>
      <c r="T43" s="183"/>
      <c r="U43" s="183"/>
      <c r="V43" s="182"/>
      <c r="W43" s="182"/>
      <c r="X43" s="182"/>
      <c r="Y43" s="182"/>
      <c r="Z43" s="182"/>
      <c r="AA43" s="182"/>
      <c r="AB43" s="182"/>
      <c r="AC43" s="182"/>
      <c r="AD43" s="182"/>
      <c r="AE43" s="182"/>
      <c r="AF43" s="182"/>
      <c r="AG43" s="182"/>
      <c r="AH43" s="182"/>
      <c r="AI43" s="192"/>
    </row>
    <row r="44" spans="1:35" ht="15.75" thickTop="1">
      <c r="A44" s="233"/>
      <c r="B44" s="228"/>
      <c r="C44" s="228"/>
      <c r="D44" s="229" t="s">
        <v>3503</v>
      </c>
      <c r="E44" s="335"/>
      <c r="F44" s="184"/>
      <c r="G44" s="185"/>
      <c r="H44" s="185"/>
      <c r="I44" s="185"/>
      <c r="J44" s="185"/>
      <c r="K44" s="185"/>
      <c r="L44" s="185"/>
      <c r="M44" s="185"/>
      <c r="N44" s="185"/>
      <c r="O44" s="185"/>
      <c r="P44" s="185"/>
      <c r="Q44" s="185"/>
      <c r="R44" s="185"/>
      <c r="S44" s="185"/>
      <c r="T44" s="185"/>
      <c r="U44" s="185"/>
      <c r="V44" s="184"/>
      <c r="W44" s="184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4"/>
      <c r="AI44" s="192"/>
    </row>
    <row r="45" spans="1:35" ht="15.75">
      <c r="A45" s="224" t="s">
        <v>3219</v>
      </c>
      <c r="B45" s="222"/>
      <c r="C45" s="222" t="s">
        <v>3424</v>
      </c>
      <c r="D45" s="223" t="s">
        <v>3504</v>
      </c>
      <c r="E45" s="336"/>
      <c r="F45" s="237"/>
      <c r="G45" s="238"/>
      <c r="H45" s="238"/>
      <c r="I45" s="238"/>
      <c r="J45" s="238"/>
      <c r="K45" s="238"/>
      <c r="L45" s="238"/>
      <c r="M45" s="238"/>
      <c r="N45" s="238"/>
      <c r="O45" s="238"/>
      <c r="P45" s="238"/>
      <c r="Q45" s="238"/>
      <c r="R45" s="238"/>
      <c r="S45" s="238"/>
      <c r="T45" s="238"/>
      <c r="U45" s="238"/>
      <c r="V45" s="237"/>
      <c r="W45" s="237"/>
      <c r="X45" s="237"/>
      <c r="Y45" s="237"/>
      <c r="Z45" s="237"/>
      <c r="AA45" s="237"/>
      <c r="AB45" s="237"/>
      <c r="AC45" s="237"/>
      <c r="AD45" s="237"/>
      <c r="AE45" s="237"/>
      <c r="AF45" s="237"/>
      <c r="AG45" s="237"/>
      <c r="AH45" s="237"/>
      <c r="AI45" s="192"/>
    </row>
    <row r="46" spans="1:35" ht="15.75">
      <c r="A46" s="224" t="s">
        <v>3214</v>
      </c>
      <c r="B46" s="222"/>
      <c r="C46" s="222" t="s">
        <v>4288</v>
      </c>
      <c r="D46" s="223" t="s">
        <v>3505</v>
      </c>
      <c r="E46" s="336"/>
      <c r="F46" s="237"/>
      <c r="G46" s="238"/>
      <c r="H46" s="238"/>
      <c r="I46" s="238"/>
      <c r="J46" s="238"/>
      <c r="K46" s="238"/>
      <c r="L46" s="238"/>
      <c r="M46" s="238"/>
      <c r="N46" s="238"/>
      <c r="O46" s="238"/>
      <c r="P46" s="238"/>
      <c r="Q46" s="238"/>
      <c r="R46" s="238"/>
      <c r="S46" s="238"/>
      <c r="T46" s="238"/>
      <c r="U46" s="238"/>
      <c r="V46" s="237"/>
      <c r="W46" s="237"/>
      <c r="X46" s="237"/>
      <c r="Y46" s="237"/>
      <c r="Z46" s="237"/>
      <c r="AA46" s="237"/>
      <c r="AB46" s="237"/>
      <c r="AC46" s="237"/>
      <c r="AD46" s="237"/>
      <c r="AE46" s="237"/>
      <c r="AF46" s="237"/>
      <c r="AG46" s="237"/>
      <c r="AH46" s="237"/>
      <c r="AI46" s="192"/>
    </row>
    <row r="47" spans="1:35" ht="15.75">
      <c r="A47" s="224" t="s">
        <v>3210</v>
      </c>
      <c r="B47" s="222"/>
      <c r="C47" s="222" t="s">
        <v>4289</v>
      </c>
      <c r="D47" s="223" t="s">
        <v>3506</v>
      </c>
      <c r="E47" s="336"/>
      <c r="F47" s="237"/>
      <c r="G47" s="238"/>
      <c r="H47" s="238"/>
      <c r="I47" s="238"/>
      <c r="J47" s="238"/>
      <c r="K47" s="238"/>
      <c r="L47" s="238"/>
      <c r="M47" s="238"/>
      <c r="N47" s="238"/>
      <c r="O47" s="238"/>
      <c r="P47" s="238"/>
      <c r="Q47" s="238"/>
      <c r="R47" s="238"/>
      <c r="S47" s="238"/>
      <c r="T47" s="238"/>
      <c r="U47" s="238"/>
      <c r="V47" s="237"/>
      <c r="W47" s="237"/>
      <c r="X47" s="237"/>
      <c r="Y47" s="237"/>
      <c r="Z47" s="237"/>
      <c r="AA47" s="237"/>
      <c r="AB47" s="237"/>
      <c r="AC47" s="237"/>
      <c r="AD47" s="237"/>
      <c r="AE47" s="237"/>
      <c r="AF47" s="237"/>
      <c r="AG47" s="237"/>
      <c r="AH47" s="237"/>
      <c r="AI47" s="192"/>
    </row>
    <row r="48" spans="1:35" ht="15.75">
      <c r="A48" s="224" t="s">
        <v>3212</v>
      </c>
      <c r="B48" s="222"/>
      <c r="C48" s="222" t="s">
        <v>4290</v>
      </c>
      <c r="D48" s="223" t="s">
        <v>3507</v>
      </c>
      <c r="E48" s="336"/>
      <c r="F48" s="237"/>
      <c r="G48" s="238"/>
      <c r="H48" s="238"/>
      <c r="I48" s="238"/>
      <c r="J48" s="238"/>
      <c r="K48" s="238"/>
      <c r="L48" s="238"/>
      <c r="M48" s="238"/>
      <c r="N48" s="238"/>
      <c r="O48" s="238"/>
      <c r="P48" s="238"/>
      <c r="Q48" s="238"/>
      <c r="R48" s="238"/>
      <c r="S48" s="238"/>
      <c r="T48" s="238"/>
      <c r="U48" s="238"/>
      <c r="V48" s="237"/>
      <c r="W48" s="237"/>
      <c r="X48" s="237"/>
      <c r="Y48" s="237"/>
      <c r="Z48" s="237"/>
      <c r="AA48" s="237"/>
      <c r="AB48" s="237"/>
      <c r="AC48" s="237"/>
      <c r="AD48" s="237"/>
      <c r="AE48" s="237"/>
      <c r="AF48" s="237"/>
      <c r="AG48" s="237"/>
      <c r="AH48" s="237"/>
      <c r="AI48" s="192"/>
    </row>
    <row r="49" spans="1:35" ht="15.75">
      <c r="A49" s="224" t="s">
        <v>3223</v>
      </c>
      <c r="B49" s="222"/>
      <c r="C49" s="222" t="s">
        <v>3427</v>
      </c>
      <c r="D49" s="223" t="s">
        <v>3508</v>
      </c>
      <c r="E49" s="336"/>
      <c r="F49" s="225"/>
      <c r="G49" s="190"/>
      <c r="H49" s="190"/>
      <c r="I49" s="190"/>
      <c r="J49" s="190"/>
      <c r="K49" s="190"/>
      <c r="L49" s="190"/>
      <c r="M49" s="190"/>
      <c r="N49" s="190"/>
      <c r="O49" s="190"/>
      <c r="P49" s="190"/>
      <c r="Q49" s="190"/>
      <c r="R49" s="190"/>
      <c r="S49" s="190"/>
      <c r="T49" s="190"/>
      <c r="U49" s="190"/>
      <c r="V49" s="225"/>
      <c r="W49" s="225"/>
      <c r="X49" s="225"/>
      <c r="Y49" s="225"/>
      <c r="Z49" s="225"/>
      <c r="AA49" s="225"/>
      <c r="AB49" s="225"/>
      <c r="AC49" s="225"/>
      <c r="AD49" s="225"/>
      <c r="AE49" s="225"/>
      <c r="AF49" s="225"/>
      <c r="AG49" s="225"/>
      <c r="AH49" s="225"/>
      <c r="AI49" s="192"/>
    </row>
    <row r="50" spans="1:35" ht="15.75">
      <c r="A50" s="71" t="s">
        <v>3257</v>
      </c>
      <c r="B50" s="79"/>
      <c r="C50" s="79" t="s">
        <v>4291</v>
      </c>
      <c r="D50" s="77" t="s">
        <v>3509</v>
      </c>
      <c r="E50" s="338"/>
      <c r="F50" s="179"/>
      <c r="G50" s="180"/>
      <c r="H50" s="180"/>
      <c r="I50" s="180"/>
      <c r="J50" s="180"/>
      <c r="K50" s="180"/>
      <c r="L50" s="180"/>
      <c r="M50" s="180"/>
      <c r="N50" s="180"/>
      <c r="O50" s="180"/>
      <c r="P50" s="180"/>
      <c r="Q50" s="180"/>
      <c r="R50" s="180"/>
      <c r="S50" s="180"/>
      <c r="T50" s="180"/>
      <c r="U50" s="180"/>
      <c r="V50" s="179"/>
      <c r="W50" s="179"/>
      <c r="X50" s="179"/>
      <c r="Y50" s="179"/>
      <c r="Z50" s="179"/>
      <c r="AA50" s="179"/>
      <c r="AB50" s="179"/>
      <c r="AC50" s="179"/>
      <c r="AD50" s="179"/>
      <c r="AE50" s="179"/>
      <c r="AF50" s="179"/>
      <c r="AG50" s="179"/>
      <c r="AH50" s="179"/>
      <c r="AI50" s="192"/>
    </row>
    <row r="51" spans="1:35" s="210" customFormat="1" ht="16.5" thickBot="1">
      <c r="A51" s="245" t="s">
        <v>3251</v>
      </c>
      <c r="B51" s="246"/>
      <c r="C51" s="246" t="s">
        <v>4292</v>
      </c>
      <c r="D51" s="247" t="s">
        <v>3510</v>
      </c>
      <c r="E51" s="342"/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P51" s="217"/>
      <c r="Q51" s="217"/>
      <c r="R51" s="217"/>
      <c r="S51" s="217"/>
      <c r="T51" s="217"/>
      <c r="U51" s="217"/>
      <c r="V51" s="217"/>
      <c r="W51" s="217"/>
      <c r="X51" s="217"/>
      <c r="Y51" s="217"/>
      <c r="Z51" s="217"/>
      <c r="AA51" s="217"/>
      <c r="AB51" s="217"/>
      <c r="AC51" s="217"/>
      <c r="AD51" s="217"/>
      <c r="AE51" s="217"/>
      <c r="AF51" s="217"/>
      <c r="AG51" s="217"/>
      <c r="AH51" s="217"/>
      <c r="AI51" s="209"/>
    </row>
    <row r="52" spans="1:35">
      <c r="A52" s="248"/>
      <c r="B52" s="228"/>
      <c r="C52" s="228"/>
      <c r="D52" s="229" t="s">
        <v>3511</v>
      </c>
      <c r="E52" s="343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92"/>
    </row>
    <row r="53" spans="1:35" ht="15.75">
      <c r="A53" s="71" t="s">
        <v>3258</v>
      </c>
      <c r="B53" s="79"/>
      <c r="C53" s="79" t="s">
        <v>4293</v>
      </c>
      <c r="D53" s="77" t="s">
        <v>3512</v>
      </c>
      <c r="E53" s="338"/>
      <c r="F53" s="179"/>
      <c r="G53" s="179"/>
      <c r="H53" s="179"/>
      <c r="I53" s="179"/>
      <c r="J53" s="179"/>
      <c r="K53" s="179"/>
      <c r="L53" s="179"/>
      <c r="M53" s="179"/>
      <c r="N53" s="179"/>
      <c r="O53" s="179"/>
      <c r="P53" s="179"/>
      <c r="Q53" s="179"/>
      <c r="R53" s="179"/>
      <c r="S53" s="179"/>
      <c r="T53" s="179"/>
      <c r="U53" s="179"/>
      <c r="V53" s="179"/>
      <c r="W53" s="179"/>
      <c r="X53" s="179"/>
      <c r="Y53" s="179"/>
      <c r="Z53" s="179"/>
      <c r="AA53" s="179"/>
      <c r="AB53" s="179"/>
      <c r="AC53" s="179"/>
      <c r="AD53" s="179"/>
      <c r="AE53" s="179"/>
      <c r="AF53" s="179"/>
      <c r="AG53" s="179"/>
      <c r="AH53" s="179"/>
      <c r="AI53" s="192"/>
    </row>
    <row r="54" spans="1:35" s="210" customFormat="1" ht="16.5" thickBot="1">
      <c r="A54" s="230" t="s">
        <v>3251</v>
      </c>
      <c r="B54" s="231"/>
      <c r="C54" s="231" t="s">
        <v>4294</v>
      </c>
      <c r="D54" s="232" t="s">
        <v>3513</v>
      </c>
      <c r="E54" s="334"/>
      <c r="F54" s="211"/>
      <c r="G54" s="211"/>
      <c r="H54" s="211"/>
      <c r="I54" s="211"/>
      <c r="J54" s="211"/>
      <c r="K54" s="211"/>
      <c r="L54" s="211"/>
      <c r="M54" s="211"/>
      <c r="N54" s="211"/>
      <c r="O54" s="211"/>
      <c r="P54" s="211"/>
      <c r="Q54" s="211"/>
      <c r="R54" s="211"/>
      <c r="S54" s="211"/>
      <c r="T54" s="211"/>
      <c r="U54" s="211"/>
      <c r="V54" s="211"/>
      <c r="W54" s="211"/>
      <c r="X54" s="211"/>
      <c r="Y54" s="211"/>
      <c r="Z54" s="211"/>
      <c r="AA54" s="211"/>
      <c r="AB54" s="211"/>
      <c r="AC54" s="211"/>
      <c r="AD54" s="211"/>
      <c r="AE54" s="211"/>
      <c r="AF54" s="211"/>
      <c r="AG54" s="211"/>
      <c r="AH54" s="211"/>
      <c r="AI54" s="209"/>
    </row>
    <row r="55" spans="1:35" ht="16.5" thickTop="1">
      <c r="A55" s="224" t="s">
        <v>3202</v>
      </c>
      <c r="B55" s="222"/>
      <c r="C55" s="222" t="s">
        <v>4295</v>
      </c>
      <c r="D55" s="223" t="s">
        <v>3514</v>
      </c>
      <c r="E55" s="336"/>
      <c r="F55" s="237"/>
      <c r="G55" s="237"/>
      <c r="H55" s="237"/>
      <c r="I55" s="237"/>
      <c r="J55" s="237"/>
      <c r="K55" s="237"/>
      <c r="L55" s="237"/>
      <c r="M55" s="237"/>
      <c r="N55" s="237"/>
      <c r="O55" s="237"/>
      <c r="P55" s="237"/>
      <c r="Q55" s="237"/>
      <c r="R55" s="237"/>
      <c r="S55" s="237"/>
      <c r="T55" s="237"/>
      <c r="U55" s="237"/>
      <c r="V55" s="237"/>
      <c r="W55" s="237"/>
      <c r="X55" s="237"/>
      <c r="Y55" s="237"/>
      <c r="Z55" s="237"/>
      <c r="AA55" s="237"/>
      <c r="AB55" s="237"/>
      <c r="AC55" s="237"/>
      <c r="AD55" s="237"/>
      <c r="AE55" s="237"/>
      <c r="AF55" s="237"/>
      <c r="AG55" s="237"/>
      <c r="AH55" s="237"/>
      <c r="AI55" s="192"/>
    </row>
    <row r="56" spans="1:35" ht="15.75">
      <c r="A56" s="224" t="s">
        <v>3203</v>
      </c>
      <c r="B56" s="222"/>
      <c r="C56" s="222" t="s">
        <v>4296</v>
      </c>
      <c r="D56" s="223" t="s">
        <v>3515</v>
      </c>
      <c r="E56" s="336"/>
      <c r="F56" s="237"/>
      <c r="G56" s="237"/>
      <c r="H56" s="237"/>
      <c r="I56" s="237"/>
      <c r="J56" s="237"/>
      <c r="K56" s="237"/>
      <c r="L56" s="237"/>
      <c r="M56" s="237"/>
      <c r="N56" s="237"/>
      <c r="O56" s="237"/>
      <c r="P56" s="237"/>
      <c r="Q56" s="237"/>
      <c r="R56" s="237"/>
      <c r="S56" s="237"/>
      <c r="T56" s="237"/>
      <c r="U56" s="237"/>
      <c r="V56" s="237"/>
      <c r="W56" s="237"/>
      <c r="X56" s="237"/>
      <c r="Y56" s="237"/>
      <c r="Z56" s="237"/>
      <c r="AA56" s="237"/>
      <c r="AB56" s="237"/>
      <c r="AC56" s="237"/>
      <c r="AD56" s="237"/>
      <c r="AE56" s="237"/>
      <c r="AF56" s="237"/>
      <c r="AG56" s="237"/>
      <c r="AH56" s="237"/>
      <c r="AI56" s="192"/>
    </row>
    <row r="57" spans="1:35" ht="15.75">
      <c r="A57" s="224" t="s">
        <v>3199</v>
      </c>
      <c r="B57" s="222"/>
      <c r="C57" s="222" t="s">
        <v>3198</v>
      </c>
      <c r="D57" s="223" t="s">
        <v>3516</v>
      </c>
      <c r="E57" s="336"/>
      <c r="F57" s="225"/>
      <c r="G57" s="225"/>
      <c r="H57" s="225"/>
      <c r="I57" s="225"/>
      <c r="J57" s="225"/>
      <c r="K57" s="225"/>
      <c r="L57" s="225"/>
      <c r="M57" s="225"/>
      <c r="N57" s="225"/>
      <c r="O57" s="225"/>
      <c r="P57" s="225"/>
      <c r="Q57" s="225"/>
      <c r="R57" s="225"/>
      <c r="S57" s="225"/>
      <c r="T57" s="225"/>
      <c r="U57" s="225"/>
      <c r="V57" s="225"/>
      <c r="W57" s="225"/>
      <c r="X57" s="225"/>
      <c r="Y57" s="225"/>
      <c r="Z57" s="225"/>
      <c r="AA57" s="225"/>
      <c r="AB57" s="225"/>
      <c r="AC57" s="225"/>
      <c r="AD57" s="225"/>
      <c r="AE57" s="225"/>
      <c r="AF57" s="225"/>
      <c r="AG57" s="225"/>
      <c r="AH57" s="225"/>
      <c r="AI57" s="192"/>
    </row>
    <row r="58" spans="1:35" ht="15.75">
      <c r="A58" s="71" t="s">
        <v>3259</v>
      </c>
      <c r="B58" s="79"/>
      <c r="C58" s="79" t="s">
        <v>4297</v>
      </c>
      <c r="D58" s="77" t="s">
        <v>3517</v>
      </c>
      <c r="E58" s="338"/>
      <c r="F58" s="179"/>
      <c r="G58" s="179"/>
      <c r="H58" s="179"/>
      <c r="I58" s="179"/>
      <c r="J58" s="179"/>
      <c r="K58" s="179"/>
      <c r="L58" s="179"/>
      <c r="M58" s="179"/>
      <c r="N58" s="179"/>
      <c r="O58" s="179"/>
      <c r="P58" s="179"/>
      <c r="Q58" s="179"/>
      <c r="R58" s="179"/>
      <c r="S58" s="179"/>
      <c r="T58" s="179"/>
      <c r="U58" s="179"/>
      <c r="V58" s="179"/>
      <c r="W58" s="179"/>
      <c r="X58" s="179"/>
      <c r="Y58" s="179"/>
      <c r="Z58" s="179"/>
      <c r="AA58" s="179"/>
      <c r="AB58" s="179"/>
      <c r="AC58" s="179"/>
      <c r="AD58" s="179"/>
      <c r="AE58" s="179"/>
      <c r="AF58" s="179"/>
      <c r="AG58" s="179"/>
      <c r="AH58" s="179"/>
      <c r="AI58" s="192"/>
    </row>
    <row r="59" spans="1:35" s="210" customFormat="1" ht="16.5" thickBot="1">
      <c r="A59" s="245" t="s">
        <v>3251</v>
      </c>
      <c r="B59" s="246"/>
      <c r="C59" s="246" t="s">
        <v>4298</v>
      </c>
      <c r="D59" s="247" t="s">
        <v>3518</v>
      </c>
      <c r="E59" s="342"/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P59" s="217"/>
      <c r="Q59" s="217"/>
      <c r="R59" s="217"/>
      <c r="S59" s="217"/>
      <c r="T59" s="217"/>
      <c r="U59" s="217"/>
      <c r="V59" s="217"/>
      <c r="W59" s="217"/>
      <c r="X59" s="217"/>
      <c r="Y59" s="217"/>
      <c r="Z59" s="217"/>
      <c r="AA59" s="217"/>
      <c r="AB59" s="217"/>
      <c r="AC59" s="217"/>
      <c r="AD59" s="217"/>
      <c r="AE59" s="217"/>
      <c r="AF59" s="217"/>
      <c r="AG59" s="217"/>
      <c r="AH59" s="217"/>
      <c r="AI59" s="209"/>
    </row>
    <row r="60" spans="1:35">
      <c r="A60" s="250"/>
      <c r="B60" s="251"/>
      <c r="C60" s="251"/>
      <c r="D60" s="252"/>
      <c r="E60" s="344"/>
      <c r="F60" s="192"/>
      <c r="G60" s="192"/>
      <c r="H60" s="192"/>
      <c r="I60" s="192"/>
      <c r="J60" s="192"/>
      <c r="K60" s="192"/>
      <c r="L60" s="192"/>
      <c r="M60" s="192"/>
      <c r="N60" s="192"/>
      <c r="O60" s="192"/>
      <c r="P60" s="192"/>
      <c r="Q60" s="192"/>
      <c r="R60" s="192"/>
      <c r="S60" s="192"/>
      <c r="T60" s="192"/>
      <c r="U60" s="192"/>
      <c r="V60" s="192"/>
      <c r="W60" s="192"/>
      <c r="X60" s="192"/>
      <c r="Y60" s="192"/>
      <c r="Z60" s="192"/>
      <c r="AA60" s="192"/>
      <c r="AB60" s="192"/>
      <c r="AC60" s="192"/>
      <c r="AD60" s="192"/>
      <c r="AE60" s="192"/>
      <c r="AF60" s="192"/>
      <c r="AG60" s="192"/>
      <c r="AH60" s="192"/>
      <c r="AI60" s="192"/>
    </row>
  </sheetData>
  <dataValidations count="10">
    <dataValidation type="decimal" allowBlank="1" showErrorMessage="1" errorTitle="Only negative figure" error="R&amp;D Expense is expressed with MINUS" sqref="F30:AH32">
      <formula1>-99999</formula1>
      <formula2>0</formula2>
    </dataValidation>
    <dataValidation type="decimal" allowBlank="1" showErrorMessage="1" sqref="F41:AH41 F35:AH35">
      <formula1>-99999</formula1>
      <formula2>99999</formula2>
    </dataValidation>
    <dataValidation type="decimal" allowBlank="1" showInputMessage="1" showErrorMessage="1" errorTitle="Only negative figure" error="Restructuring is expressed with MINUS" sqref="F45:AH45">
      <formula1>-99999</formula1>
      <formula2>0</formula2>
    </dataValidation>
    <dataValidation type="decimal" allowBlank="1" showErrorMessage="1" errorTitle="Only positive figure" error="Proceeds from asset sales are  expressed with PLUS" sqref="F46:AH46">
      <formula1>0</formula1>
      <formula2>99999</formula2>
    </dataValidation>
    <dataValidation type="decimal" allowBlank="1" showErrorMessage="1" errorTitle="Only negative figure" error="Asset´s NBV is expressed with MINUS" sqref="F47:AH47">
      <formula1>-99999</formula1>
      <formula2>0</formula2>
    </dataValidation>
    <dataValidation type="decimal" allowBlank="1" showErrorMessage="1" errorTitle="Only negative figure" error="Other costs are expressed with MINUS" sqref="F48:AH48">
      <formula1>-99999</formula1>
      <formula2>0</formula2>
    </dataValidation>
    <dataValidation type="decimal" allowBlank="1" showErrorMessage="1" errorTitle="Only positive figure" error="Depreciation here must be expressed with PLUS (are being excluded from EBIT) " sqref="F55:AH56">
      <formula1>0</formula1>
      <formula2>99999</formula2>
    </dataValidation>
    <dataValidation type="decimal" operator="greaterThan" showErrorMessage="1" errorTitle="Only positive %" error="Only positive % in the range 1%-20%" sqref="F15:AH15">
      <formula1>0</formula1>
    </dataValidation>
    <dataValidation type="decimal" operator="greaterThan" allowBlank="1" showErrorMessage="1" errorTitle="Only positive %" error="Only positive % in the range 0%-10%" sqref="F17:AH17">
      <formula1>0</formula1>
    </dataValidation>
    <dataValidation type="decimal" operator="greaterThan" allowBlank="1" showErrorMessage="1" errorTitle="Only positive %" error="Only positive % in the range 0%-50%" sqref="F23:AH23 F25:AH25 F34:AH34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2" tint="-9.9978637043366805E-2"/>
  </sheetPr>
  <dimension ref="A1:AJ13"/>
  <sheetViews>
    <sheetView showGridLines="0" zoomScale="70" zoomScaleNormal="70" workbookViewId="0"/>
  </sheetViews>
  <sheetFormatPr defaultRowHeight="15"/>
  <cols>
    <col min="1" max="1" width="4.28515625" style="203" customWidth="1"/>
    <col min="2" max="2" width="38.140625" style="203" bestFit="1" customWidth="1"/>
    <col min="3" max="3" width="9.140625" style="203"/>
    <col min="4" max="4" width="23.85546875" style="203" hidden="1" customWidth="1"/>
    <col min="5" max="5" width="20.140625" style="203" hidden="1" customWidth="1"/>
    <col min="6" max="6" width="11.5703125" style="203" bestFit="1" customWidth="1"/>
    <col min="7" max="12" width="8.140625" style="203" bestFit="1" customWidth="1"/>
    <col min="13" max="15" width="9.42578125" style="203" bestFit="1" customWidth="1"/>
    <col min="16" max="35" width="8.140625" style="203" bestFit="1" customWidth="1"/>
    <col min="36" max="16384" width="9.140625" style="203"/>
  </cols>
  <sheetData>
    <row r="1" spans="1:36" ht="30">
      <c r="A1" s="294" t="s">
        <v>4445</v>
      </c>
    </row>
    <row r="2" spans="1:36" s="309" customFormat="1" ht="15.75" thickBot="1">
      <c r="A2" s="295"/>
      <c r="B2" s="295"/>
      <c r="C2" s="295"/>
      <c r="D2" s="295"/>
      <c r="E2" s="295"/>
      <c r="F2" s="295"/>
      <c r="G2" s="308">
        <f t="shared" ref="G2:K2" si="0">IF(SUM(G6:G10)&lt;&gt;0,1,0)</f>
        <v>0</v>
      </c>
      <c r="H2" s="308">
        <f t="shared" si="0"/>
        <v>0</v>
      </c>
      <c r="I2" s="308">
        <f t="shared" si="0"/>
        <v>0</v>
      </c>
      <c r="J2" s="308">
        <f t="shared" si="0"/>
        <v>0</v>
      </c>
      <c r="K2" s="308">
        <f t="shared" si="0"/>
        <v>0</v>
      </c>
      <c r="L2" s="308">
        <f>IF(SUM(L6:L10)&lt;&gt;0,1,0)</f>
        <v>0</v>
      </c>
      <c r="M2" s="308">
        <f t="shared" ref="M2:AI2" si="1">IF(SUM(M6:M10)&lt;&gt;0,1,0)</f>
        <v>0</v>
      </c>
      <c r="N2" s="308">
        <f t="shared" si="1"/>
        <v>0</v>
      </c>
      <c r="O2" s="308">
        <f t="shared" si="1"/>
        <v>0</v>
      </c>
      <c r="P2" s="308">
        <f t="shared" si="1"/>
        <v>0</v>
      </c>
      <c r="Q2" s="308">
        <f t="shared" si="1"/>
        <v>0</v>
      </c>
      <c r="R2" s="308">
        <f t="shared" si="1"/>
        <v>0</v>
      </c>
      <c r="S2" s="308">
        <f t="shared" si="1"/>
        <v>0</v>
      </c>
      <c r="T2" s="308">
        <f t="shared" si="1"/>
        <v>0</v>
      </c>
      <c r="U2" s="308">
        <f t="shared" si="1"/>
        <v>0</v>
      </c>
      <c r="V2" s="308">
        <f t="shared" si="1"/>
        <v>0</v>
      </c>
      <c r="W2" s="308">
        <f t="shared" si="1"/>
        <v>0</v>
      </c>
      <c r="X2" s="308">
        <f t="shared" si="1"/>
        <v>0</v>
      </c>
      <c r="Y2" s="308">
        <f t="shared" si="1"/>
        <v>0</v>
      </c>
      <c r="Z2" s="308">
        <f t="shared" si="1"/>
        <v>0</v>
      </c>
      <c r="AA2" s="308">
        <f t="shared" si="1"/>
        <v>0</v>
      </c>
      <c r="AB2" s="308">
        <f t="shared" si="1"/>
        <v>0</v>
      </c>
      <c r="AC2" s="308">
        <f t="shared" si="1"/>
        <v>0</v>
      </c>
      <c r="AD2" s="308">
        <f t="shared" si="1"/>
        <v>0</v>
      </c>
      <c r="AE2" s="308">
        <f t="shared" si="1"/>
        <v>0</v>
      </c>
      <c r="AF2" s="308">
        <f t="shared" si="1"/>
        <v>0</v>
      </c>
      <c r="AG2" s="308">
        <f t="shared" si="1"/>
        <v>0</v>
      </c>
      <c r="AH2" s="308">
        <f t="shared" si="1"/>
        <v>0</v>
      </c>
      <c r="AI2" s="308">
        <f t="shared" si="1"/>
        <v>0</v>
      </c>
    </row>
    <row r="3" spans="1:36" ht="21" thickBot="1">
      <c r="A3" s="296"/>
      <c r="AJ3" s="310"/>
    </row>
    <row r="4" spans="1:36" s="278" customFormat="1" ht="20.25">
      <c r="A4" s="297"/>
      <c r="B4" s="298" t="s">
        <v>4453</v>
      </c>
      <c r="C4" s="298"/>
      <c r="D4" s="299" t="s">
        <v>4459</v>
      </c>
      <c r="E4" s="300" t="s">
        <v>4458</v>
      </c>
      <c r="F4" s="276" t="s">
        <v>3365</v>
      </c>
      <c r="G4" s="277">
        <v>41274</v>
      </c>
      <c r="H4" s="277">
        <v>41639</v>
      </c>
      <c r="I4" s="277">
        <v>42004</v>
      </c>
      <c r="J4" s="277">
        <v>42369</v>
      </c>
      <c r="K4" s="277">
        <v>42735</v>
      </c>
      <c r="L4" s="277">
        <v>43100</v>
      </c>
      <c r="M4" s="277">
        <v>43465</v>
      </c>
      <c r="N4" s="277">
        <v>43830</v>
      </c>
      <c r="O4" s="277">
        <v>44196</v>
      </c>
      <c r="P4" s="277">
        <v>44561</v>
      </c>
      <c r="Q4" s="277">
        <v>44926</v>
      </c>
      <c r="R4" s="277">
        <v>45291</v>
      </c>
      <c r="S4" s="277">
        <v>45657</v>
      </c>
      <c r="T4" s="277">
        <v>46022</v>
      </c>
      <c r="U4" s="277">
        <v>46387</v>
      </c>
      <c r="V4" s="277">
        <v>46752</v>
      </c>
      <c r="W4" s="277">
        <v>47118</v>
      </c>
      <c r="X4" s="277">
        <v>47483</v>
      </c>
      <c r="Y4" s="277">
        <v>47848</v>
      </c>
      <c r="Z4" s="277">
        <v>48213</v>
      </c>
      <c r="AA4" s="277">
        <v>48579</v>
      </c>
      <c r="AB4" s="277">
        <v>48944</v>
      </c>
      <c r="AC4" s="277">
        <v>49309</v>
      </c>
      <c r="AD4" s="277">
        <v>49674</v>
      </c>
      <c r="AE4" s="277">
        <v>50040</v>
      </c>
      <c r="AF4" s="277">
        <v>50405</v>
      </c>
      <c r="AG4" s="277">
        <v>50770</v>
      </c>
      <c r="AH4" s="277">
        <v>51135</v>
      </c>
      <c r="AI4" s="277">
        <v>51501</v>
      </c>
      <c r="AJ4" s="280"/>
    </row>
    <row r="5" spans="1:36" s="278" customFormat="1" ht="9" customHeight="1">
      <c r="A5" s="297"/>
      <c r="B5" s="301"/>
      <c r="C5" s="301"/>
      <c r="D5" s="301"/>
      <c r="E5" s="301"/>
      <c r="F5" s="279"/>
      <c r="G5" s="279"/>
      <c r="H5" s="279"/>
      <c r="I5" s="279"/>
      <c r="J5" s="279"/>
      <c r="K5" s="279"/>
      <c r="L5" s="279"/>
      <c r="M5" s="279"/>
      <c r="N5" s="279"/>
      <c r="O5" s="279"/>
      <c r="P5" s="279"/>
      <c r="Q5" s="279"/>
      <c r="R5" s="279"/>
      <c r="S5" s="279"/>
      <c r="T5" s="279"/>
      <c r="U5" s="279"/>
      <c r="V5" s="279"/>
      <c r="W5" s="279"/>
      <c r="X5" s="279"/>
      <c r="Y5" s="279"/>
      <c r="Z5" s="279"/>
      <c r="AA5" s="279"/>
      <c r="AB5" s="279"/>
      <c r="AC5" s="279"/>
      <c r="AD5" s="279"/>
      <c r="AE5" s="279"/>
      <c r="AF5" s="279"/>
      <c r="AG5" s="279"/>
      <c r="AH5" s="279"/>
      <c r="AI5" s="279"/>
      <c r="AJ5" s="281"/>
    </row>
    <row r="6" spans="1:36" s="278" customFormat="1" ht="15.75">
      <c r="A6" s="297"/>
      <c r="B6" s="302" t="s">
        <v>4447</v>
      </c>
      <c r="C6" s="303"/>
      <c r="D6" s="302" t="s">
        <v>4456</v>
      </c>
      <c r="E6" s="302" t="s">
        <v>4466</v>
      </c>
      <c r="F6" s="267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68"/>
      <c r="AH6" s="268"/>
      <c r="AI6" s="268"/>
      <c r="AJ6" s="281"/>
    </row>
    <row r="7" spans="1:36" s="278" customFormat="1" ht="15.75">
      <c r="A7" s="297"/>
      <c r="B7" s="304" t="s">
        <v>4448</v>
      </c>
      <c r="C7" s="305"/>
      <c r="D7" s="304" t="s">
        <v>4455</v>
      </c>
      <c r="E7" s="304" t="s">
        <v>4466</v>
      </c>
      <c r="F7" s="269"/>
      <c r="G7" s="270"/>
      <c r="H7" s="271"/>
      <c r="I7" s="271"/>
      <c r="J7" s="271"/>
      <c r="K7" s="271"/>
      <c r="L7" s="271"/>
      <c r="M7" s="271"/>
      <c r="N7" s="271"/>
      <c r="O7" s="271"/>
      <c r="P7" s="271"/>
      <c r="Q7" s="271"/>
      <c r="R7" s="271"/>
      <c r="S7" s="271"/>
      <c r="T7" s="271"/>
      <c r="U7" s="271"/>
      <c r="V7" s="271"/>
      <c r="W7" s="271"/>
      <c r="X7" s="271"/>
      <c r="Y7" s="271"/>
      <c r="Z7" s="271"/>
      <c r="AA7" s="271"/>
      <c r="AB7" s="271"/>
      <c r="AC7" s="271"/>
      <c r="AD7" s="271"/>
      <c r="AE7" s="271"/>
      <c r="AF7" s="271"/>
      <c r="AG7" s="271"/>
      <c r="AH7" s="271"/>
      <c r="AI7" s="271"/>
      <c r="AJ7" s="281"/>
    </row>
    <row r="8" spans="1:36" s="278" customFormat="1" ht="15.75">
      <c r="A8" s="297"/>
      <c r="B8" s="304" t="s">
        <v>4449</v>
      </c>
      <c r="C8" s="305"/>
      <c r="D8" s="304" t="s">
        <v>4455</v>
      </c>
      <c r="E8" s="304" t="s">
        <v>4467</v>
      </c>
      <c r="F8" s="269"/>
      <c r="G8" s="270"/>
      <c r="H8" s="271"/>
      <c r="I8" s="271"/>
      <c r="J8" s="271"/>
      <c r="K8" s="271"/>
      <c r="L8" s="271"/>
      <c r="M8" s="271"/>
      <c r="N8" s="271"/>
      <c r="O8" s="271"/>
      <c r="P8" s="271"/>
      <c r="Q8" s="271"/>
      <c r="R8" s="271"/>
      <c r="S8" s="271"/>
      <c r="T8" s="271"/>
      <c r="U8" s="271"/>
      <c r="V8" s="271"/>
      <c r="W8" s="271"/>
      <c r="X8" s="271"/>
      <c r="Y8" s="271"/>
      <c r="Z8" s="271"/>
      <c r="AA8" s="271"/>
      <c r="AB8" s="271"/>
      <c r="AC8" s="271"/>
      <c r="AD8" s="271"/>
      <c r="AE8" s="271"/>
      <c r="AF8" s="271"/>
      <c r="AG8" s="271"/>
      <c r="AH8" s="271"/>
      <c r="AI8" s="271"/>
      <c r="AJ8" s="281"/>
    </row>
    <row r="9" spans="1:36" s="278" customFormat="1" ht="15.75">
      <c r="A9" s="297"/>
      <c r="B9" s="304" t="s">
        <v>4450</v>
      </c>
      <c r="C9" s="305"/>
      <c r="D9" s="304" t="s">
        <v>4454</v>
      </c>
      <c r="E9" s="304" t="s">
        <v>4467</v>
      </c>
      <c r="F9" s="269"/>
      <c r="G9" s="270"/>
      <c r="H9" s="271"/>
      <c r="I9" s="271"/>
      <c r="J9" s="271"/>
      <c r="K9" s="271"/>
      <c r="L9" s="271"/>
      <c r="M9" s="271"/>
      <c r="N9" s="271"/>
      <c r="O9" s="271"/>
      <c r="P9" s="271"/>
      <c r="Q9" s="271"/>
      <c r="R9" s="271"/>
      <c r="S9" s="271"/>
      <c r="T9" s="271"/>
      <c r="U9" s="271"/>
      <c r="V9" s="271"/>
      <c r="W9" s="271"/>
      <c r="X9" s="271"/>
      <c r="Y9" s="271"/>
      <c r="Z9" s="271"/>
      <c r="AA9" s="271"/>
      <c r="AB9" s="271"/>
      <c r="AC9" s="271"/>
      <c r="AD9" s="271"/>
      <c r="AE9" s="271"/>
      <c r="AF9" s="271"/>
      <c r="AG9" s="271"/>
      <c r="AH9" s="271"/>
      <c r="AI9" s="271"/>
      <c r="AJ9" s="281"/>
    </row>
    <row r="10" spans="1:36" s="278" customFormat="1" ht="15.75">
      <c r="A10" s="297"/>
      <c r="B10" s="304" t="s">
        <v>4446</v>
      </c>
      <c r="C10" s="305"/>
      <c r="D10" s="304" t="s">
        <v>4457</v>
      </c>
      <c r="E10" s="304" t="s">
        <v>4467</v>
      </c>
      <c r="F10" s="269"/>
      <c r="G10" s="270"/>
      <c r="H10" s="271"/>
      <c r="I10" s="271"/>
      <c r="J10" s="271"/>
      <c r="K10" s="271"/>
      <c r="L10" s="271"/>
      <c r="M10" s="271"/>
      <c r="N10" s="271"/>
      <c r="O10" s="271"/>
      <c r="P10" s="271"/>
      <c r="Q10" s="271"/>
      <c r="R10" s="271"/>
      <c r="S10" s="271"/>
      <c r="T10" s="271"/>
      <c r="U10" s="271"/>
      <c r="V10" s="271"/>
      <c r="W10" s="271"/>
      <c r="X10" s="271"/>
      <c r="Y10" s="271"/>
      <c r="Z10" s="271"/>
      <c r="AA10" s="271"/>
      <c r="AB10" s="271"/>
      <c r="AC10" s="271"/>
      <c r="AD10" s="271"/>
      <c r="AE10" s="271"/>
      <c r="AF10" s="271"/>
      <c r="AG10" s="271"/>
      <c r="AH10" s="271"/>
      <c r="AI10" s="271"/>
      <c r="AJ10" s="282"/>
    </row>
    <row r="11" spans="1:36" s="278" customFormat="1" ht="16.5" thickBot="1">
      <c r="A11" s="297"/>
      <c r="B11" s="306" t="s">
        <v>4451</v>
      </c>
      <c r="C11" s="307"/>
      <c r="D11" s="307"/>
      <c r="E11" s="307"/>
      <c r="F11" s="272"/>
      <c r="G11" s="266"/>
      <c r="H11" s="266"/>
      <c r="I11" s="266"/>
      <c r="J11" s="266"/>
      <c r="K11" s="266"/>
      <c r="L11" s="266"/>
      <c r="M11" s="266"/>
      <c r="N11" s="266"/>
      <c r="O11" s="266"/>
      <c r="P11" s="266"/>
      <c r="Q11" s="266"/>
      <c r="R11" s="266"/>
      <c r="S11" s="266"/>
      <c r="T11" s="266"/>
      <c r="U11" s="266"/>
      <c r="V11" s="266"/>
      <c r="W11" s="266"/>
      <c r="X11" s="266"/>
      <c r="Y11" s="266"/>
      <c r="Z11" s="266"/>
      <c r="AA11" s="266"/>
      <c r="AB11" s="266"/>
      <c r="AC11" s="266"/>
      <c r="AD11" s="266"/>
      <c r="AE11" s="266"/>
      <c r="AF11" s="266"/>
      <c r="AG11" s="266"/>
      <c r="AH11" s="266"/>
      <c r="AI11" s="266"/>
      <c r="AJ11" s="280"/>
    </row>
    <row r="12" spans="1:36" s="278" customFormat="1" ht="15.75">
      <c r="A12" s="297"/>
      <c r="B12" s="301"/>
      <c r="C12" s="301"/>
      <c r="D12" s="301"/>
      <c r="E12" s="301"/>
      <c r="F12" s="279"/>
      <c r="G12" s="279"/>
      <c r="H12" s="279"/>
      <c r="I12" s="279"/>
      <c r="J12" s="279"/>
      <c r="K12" s="279"/>
      <c r="L12" s="279"/>
      <c r="M12" s="279"/>
      <c r="N12" s="279"/>
      <c r="O12" s="279"/>
      <c r="P12" s="279"/>
      <c r="Q12" s="279"/>
      <c r="R12" s="279"/>
      <c r="S12" s="279"/>
      <c r="T12" s="279"/>
      <c r="U12" s="279"/>
      <c r="V12" s="279"/>
      <c r="W12" s="279"/>
      <c r="X12" s="279"/>
      <c r="Y12" s="279"/>
      <c r="Z12" s="279"/>
      <c r="AA12" s="279"/>
      <c r="AB12" s="279"/>
      <c r="AC12" s="279"/>
      <c r="AD12" s="279"/>
      <c r="AE12" s="279"/>
      <c r="AF12" s="279"/>
      <c r="AG12" s="279"/>
      <c r="AH12" s="279"/>
      <c r="AI12" s="279"/>
      <c r="AJ12" s="282"/>
    </row>
    <row r="13" spans="1:36" customFormat="1" ht="16.5" thickBot="1">
      <c r="A13" s="203"/>
      <c r="B13" s="306" t="s">
        <v>4452</v>
      </c>
      <c r="C13" s="307"/>
      <c r="D13" s="307"/>
      <c r="E13" s="307"/>
      <c r="F13" s="273"/>
      <c r="G13" s="274"/>
      <c r="H13" s="275"/>
      <c r="I13" s="275"/>
      <c r="J13" s="275"/>
      <c r="K13" s="275"/>
      <c r="L13" s="275"/>
      <c r="M13" s="275"/>
      <c r="N13" s="275"/>
      <c r="O13" s="275"/>
      <c r="P13" s="275"/>
      <c r="Q13" s="275"/>
      <c r="R13" s="275"/>
      <c r="S13" s="275"/>
      <c r="T13" s="275"/>
      <c r="U13" s="275"/>
      <c r="V13" s="275"/>
      <c r="W13" s="275"/>
      <c r="X13" s="275"/>
      <c r="Y13" s="275"/>
      <c r="Z13" s="275"/>
      <c r="AA13" s="275"/>
      <c r="AB13" s="275"/>
      <c r="AC13" s="275"/>
      <c r="AD13" s="275"/>
      <c r="AE13" s="275"/>
      <c r="AF13" s="275"/>
      <c r="AG13" s="275"/>
      <c r="AH13" s="275"/>
      <c r="AI13" s="275"/>
    </row>
  </sheetData>
  <pageMargins left="0.7" right="0.7" top="0.75" bottom="0.75" header="0.3" footer="0.3"/>
  <pageSetup paperSize="9" orientation="portrait" r:id="rId1"/>
  <ignoredErrors>
    <ignoredError sqref="G2:AI2" formulaRang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4"/>
  <sheetViews>
    <sheetView workbookViewId="0"/>
  </sheetViews>
  <sheetFormatPr defaultRowHeight="15"/>
  <cols>
    <col min="1" max="1" width="16.85546875" bestFit="1" customWidth="1"/>
    <col min="2" max="2" width="23.7109375" bestFit="1" customWidth="1"/>
    <col min="10" max="15" width="25.7109375" customWidth="1"/>
    <col min="16" max="16" width="23.7109375" bestFit="1" customWidth="1"/>
  </cols>
  <sheetData>
    <row r="1" spans="1:16" ht="15.75" thickBot="1">
      <c r="C1" s="122">
        <v>2008</v>
      </c>
      <c r="D1" s="122">
        <v>2009</v>
      </c>
      <c r="E1" s="122">
        <v>2010</v>
      </c>
      <c r="F1" s="123">
        <v>2011</v>
      </c>
      <c r="J1" s="194" t="s">
        <v>3767</v>
      </c>
      <c r="K1" s="194" t="s">
        <v>3768</v>
      </c>
      <c r="L1" s="194" t="s">
        <v>3732</v>
      </c>
      <c r="M1" s="194" t="s">
        <v>3733</v>
      </c>
      <c r="N1" s="194"/>
      <c r="O1" s="194"/>
      <c r="P1" s="194"/>
    </row>
    <row r="2" spans="1:16">
      <c r="A2" s="375" t="s">
        <v>3765</v>
      </c>
      <c r="B2" s="124" t="s">
        <v>3761</v>
      </c>
      <c r="J2" s="374" t="s">
        <v>3765</v>
      </c>
      <c r="K2" s="374" t="s">
        <v>3766</v>
      </c>
      <c r="L2" s="374">
        <v>200</v>
      </c>
      <c r="M2" s="374">
        <v>10</v>
      </c>
      <c r="N2" s="374">
        <v>9.86</v>
      </c>
      <c r="O2" s="373">
        <v>1</v>
      </c>
      <c r="P2" s="193" t="s">
        <v>3761</v>
      </c>
    </row>
    <row r="3" spans="1:16" ht="15.75" thickBot="1">
      <c r="A3" s="375"/>
      <c r="B3" s="128" t="s">
        <v>3746</v>
      </c>
      <c r="J3" s="374"/>
      <c r="K3" s="374"/>
      <c r="L3" s="374"/>
      <c r="M3" s="374"/>
      <c r="N3" s="374"/>
      <c r="O3" s="373"/>
      <c r="P3" s="193" t="s">
        <v>3746</v>
      </c>
    </row>
    <row r="4" spans="1:16" ht="15.75" thickTop="1">
      <c r="A4" s="375"/>
      <c r="B4" s="131" t="s">
        <v>3747</v>
      </c>
      <c r="J4" s="374"/>
      <c r="K4" s="374"/>
      <c r="L4" s="374"/>
      <c r="M4" s="374"/>
      <c r="N4" s="374"/>
      <c r="O4" s="373"/>
      <c r="P4" s="193" t="s">
        <v>3747</v>
      </c>
    </row>
    <row r="5" spans="1:16" ht="15.75" thickBot="1">
      <c r="A5" s="375"/>
      <c r="B5" s="128" t="s">
        <v>3748</v>
      </c>
      <c r="J5" s="374"/>
      <c r="K5" s="374"/>
      <c r="L5" s="374"/>
      <c r="M5" s="374"/>
      <c r="N5" s="374"/>
      <c r="O5" s="373"/>
      <c r="P5" s="193" t="s">
        <v>3748</v>
      </c>
    </row>
    <row r="6" spans="1:16" ht="15.75" thickTop="1">
      <c r="A6" s="375"/>
      <c r="B6" s="135" t="s">
        <v>3762</v>
      </c>
      <c r="J6" s="374"/>
      <c r="K6" s="374"/>
      <c r="L6" s="374"/>
      <c r="M6" s="374"/>
      <c r="N6" s="374"/>
      <c r="O6" s="373"/>
      <c r="P6" s="193" t="s">
        <v>3762</v>
      </c>
    </row>
    <row r="7" spans="1:16" ht="15.75" thickBot="1">
      <c r="A7" s="375"/>
      <c r="B7" s="128" t="s">
        <v>3763</v>
      </c>
      <c r="J7" s="374"/>
      <c r="K7" s="374"/>
      <c r="L7" s="374"/>
      <c r="M7" s="374"/>
      <c r="N7" s="374"/>
      <c r="O7" s="373"/>
      <c r="P7" s="193" t="s">
        <v>3763</v>
      </c>
    </row>
    <row r="8" spans="1:16" ht="15.75" thickTop="1">
      <c r="J8" s="374"/>
      <c r="K8" s="374"/>
      <c r="L8" s="374"/>
      <c r="M8" s="374"/>
      <c r="N8" s="374"/>
      <c r="O8" s="373"/>
      <c r="P8" s="193" t="s">
        <v>3749</v>
      </c>
    </row>
    <row r="9" spans="1:16">
      <c r="J9" s="374"/>
      <c r="K9" s="374"/>
      <c r="L9" s="374"/>
      <c r="M9" s="374"/>
      <c r="N9" s="374"/>
      <c r="O9" s="373"/>
      <c r="P9" s="193" t="s">
        <v>3750</v>
      </c>
    </row>
    <row r="10" spans="1:16" ht="15.75" thickBot="1">
      <c r="B10" s="139"/>
      <c r="C10" s="139">
        <v>2012</v>
      </c>
      <c r="D10" s="139">
        <v>2013</v>
      </c>
      <c r="E10" s="139">
        <v>2014</v>
      </c>
      <c r="F10" s="139">
        <v>2015</v>
      </c>
      <c r="J10" s="374"/>
      <c r="K10" s="374"/>
      <c r="L10" s="374"/>
      <c r="M10" s="374"/>
      <c r="N10" s="374"/>
      <c r="O10" s="373"/>
      <c r="P10" s="193" t="s">
        <v>3751</v>
      </c>
    </row>
    <row r="11" spans="1:16">
      <c r="A11" s="375" t="s">
        <v>3765</v>
      </c>
      <c r="B11" s="119" t="s">
        <v>3749</v>
      </c>
      <c r="C11" s="143"/>
      <c r="D11" s="144"/>
      <c r="E11" s="144"/>
      <c r="F11" s="144"/>
      <c r="J11" s="374"/>
      <c r="K11" s="374"/>
      <c r="L11" s="374"/>
      <c r="M11" s="374"/>
      <c r="N11" s="374"/>
      <c r="O11" s="373"/>
      <c r="P11" s="193" t="s">
        <v>3752</v>
      </c>
    </row>
    <row r="12" spans="1:16" ht="15.75" thickBot="1">
      <c r="A12" s="375"/>
      <c r="B12" s="146" t="s">
        <v>3750</v>
      </c>
      <c r="C12" s="147"/>
      <c r="D12" s="147"/>
      <c r="E12" s="147"/>
      <c r="F12" s="147"/>
      <c r="J12" s="374"/>
      <c r="K12" s="374"/>
      <c r="L12" s="374"/>
      <c r="M12" s="374"/>
      <c r="N12" s="374"/>
      <c r="O12" s="373"/>
      <c r="P12" s="193" t="s">
        <v>3753</v>
      </c>
    </row>
    <row r="13" spans="1:16" ht="15.75" thickTop="1">
      <c r="A13" s="375"/>
      <c r="B13" s="149" t="s">
        <v>3751</v>
      </c>
      <c r="C13" s="150"/>
      <c r="D13" s="150">
        <v>0</v>
      </c>
      <c r="E13" s="150">
        <v>0</v>
      </c>
      <c r="F13" s="150">
        <v>0</v>
      </c>
      <c r="J13" s="374"/>
      <c r="K13" s="374"/>
      <c r="L13" s="374"/>
      <c r="M13" s="374"/>
      <c r="N13" s="374"/>
      <c r="O13" s="373"/>
      <c r="P13" s="193" t="s">
        <v>3755</v>
      </c>
    </row>
    <row r="14" spans="1:16">
      <c r="A14" s="375"/>
      <c r="B14" s="112" t="s">
        <v>3752</v>
      </c>
      <c r="C14" s="151"/>
      <c r="D14" s="151"/>
      <c r="E14" s="151"/>
      <c r="F14" s="151"/>
      <c r="J14" s="374"/>
      <c r="K14" s="374"/>
      <c r="L14" s="374"/>
      <c r="M14" s="374"/>
      <c r="N14" s="374"/>
      <c r="O14" s="373"/>
      <c r="P14" s="193" t="s">
        <v>3756</v>
      </c>
    </row>
    <row r="15" spans="1:16" ht="15.75" thickBot="1">
      <c r="A15" s="375"/>
      <c r="B15" s="112" t="s">
        <v>3753</v>
      </c>
      <c r="C15" s="152"/>
      <c r="D15" s="153"/>
      <c r="E15" s="153"/>
      <c r="F15" s="153"/>
      <c r="J15" s="374"/>
      <c r="K15" s="374"/>
      <c r="L15" s="374"/>
      <c r="M15" s="374"/>
      <c r="N15" s="374"/>
      <c r="O15" s="373"/>
      <c r="P15" s="193" t="s">
        <v>3757</v>
      </c>
    </row>
    <row r="16" spans="1:16" ht="15.75" thickTop="1">
      <c r="A16" s="375"/>
      <c r="B16" s="141"/>
      <c r="C16" s="154"/>
      <c r="D16" s="154"/>
      <c r="E16" s="154"/>
      <c r="F16" s="154"/>
      <c r="J16" s="374"/>
      <c r="K16" s="374"/>
      <c r="L16" s="374"/>
      <c r="M16" s="374"/>
      <c r="N16" s="374"/>
      <c r="O16" s="373"/>
      <c r="P16" s="193" t="s">
        <v>3250</v>
      </c>
    </row>
    <row r="17" spans="2:16" ht="15.75" thickBot="1">
      <c r="B17" s="155" t="s">
        <v>3754</v>
      </c>
      <c r="C17" s="156">
        <v>2012</v>
      </c>
      <c r="D17" s="156">
        <v>2013</v>
      </c>
      <c r="E17" s="156">
        <v>2014</v>
      </c>
      <c r="F17" s="156">
        <v>2015</v>
      </c>
      <c r="J17" s="374"/>
      <c r="K17" s="374"/>
      <c r="L17" s="374"/>
      <c r="M17" s="374"/>
      <c r="N17" s="374"/>
      <c r="O17" s="373"/>
      <c r="P17" s="193" t="s">
        <v>3758</v>
      </c>
    </row>
    <row r="18" spans="2:16">
      <c r="B18" s="158" t="s">
        <v>3755</v>
      </c>
      <c r="C18" s="159">
        <v>0</v>
      </c>
      <c r="D18" s="159">
        <v>0</v>
      </c>
      <c r="E18" s="159">
        <v>0</v>
      </c>
      <c r="F18" s="159">
        <v>0</v>
      </c>
      <c r="J18" s="374"/>
      <c r="K18" s="374"/>
      <c r="L18" s="374"/>
      <c r="M18" s="374"/>
      <c r="N18" s="374"/>
      <c r="O18" s="373"/>
      <c r="P18" s="193" t="s">
        <v>3759</v>
      </c>
    </row>
    <row r="19" spans="2:16">
      <c r="B19" s="161" t="s">
        <v>3756</v>
      </c>
      <c r="C19" s="162"/>
      <c r="D19" s="162"/>
      <c r="E19" s="162"/>
      <c r="F19" s="162"/>
    </row>
    <row r="20" spans="2:16">
      <c r="B20" s="161" t="s">
        <v>3757</v>
      </c>
      <c r="C20" s="132">
        <v>0</v>
      </c>
      <c r="D20" s="132">
        <v>0</v>
      </c>
      <c r="E20" s="132">
        <v>0</v>
      </c>
      <c r="F20" s="132">
        <v>0</v>
      </c>
    </row>
    <row r="21" spans="2:16">
      <c r="B21" s="161" t="s">
        <v>3250</v>
      </c>
      <c r="C21" s="132">
        <v>0</v>
      </c>
      <c r="D21" s="132">
        <v>0</v>
      </c>
      <c r="E21" s="132">
        <v>0</v>
      </c>
      <c r="F21" s="132">
        <v>0</v>
      </c>
    </row>
    <row r="22" spans="2:16">
      <c r="B22" s="161" t="s">
        <v>3758</v>
      </c>
      <c r="C22" s="132">
        <v>0</v>
      </c>
      <c r="D22" s="132">
        <v>0</v>
      </c>
      <c r="E22" s="132">
        <v>0</v>
      </c>
      <c r="F22" s="132">
        <v>0</v>
      </c>
    </row>
    <row r="23" spans="2:16" ht="15.75" thickBot="1">
      <c r="B23" s="163" t="s">
        <v>3759</v>
      </c>
      <c r="C23" s="129" t="s">
        <v>3760</v>
      </c>
      <c r="D23" s="129" t="s">
        <v>3760</v>
      </c>
      <c r="E23" s="129" t="s">
        <v>3760</v>
      </c>
      <c r="F23" s="129" t="s">
        <v>3760</v>
      </c>
    </row>
    <row r="24" spans="2:16" ht="15.75" thickTop="1"/>
  </sheetData>
  <mergeCells count="8">
    <mergeCell ref="O2:O18"/>
    <mergeCell ref="N2:N18"/>
    <mergeCell ref="A2:A7"/>
    <mergeCell ref="A11:A16"/>
    <mergeCell ref="J2:J18"/>
    <mergeCell ref="L2:L18"/>
    <mergeCell ref="M2:M18"/>
    <mergeCell ref="K2:K18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/>
  </sheetPr>
  <dimension ref="A1:I1"/>
  <sheetViews>
    <sheetView zoomScaleNormal="100" workbookViewId="0"/>
  </sheetViews>
  <sheetFormatPr defaultRowHeight="15"/>
  <cols>
    <col min="1" max="2" width="32.140625" style="1" customWidth="1"/>
    <col min="3" max="3" width="6.5703125" customWidth="1"/>
    <col min="4" max="5" width="32.140625" customWidth="1"/>
    <col min="6" max="6" width="4" style="1" customWidth="1"/>
    <col min="7" max="7" width="22.5703125" style="1" customWidth="1"/>
    <col min="8" max="8" width="71.140625" style="1" bestFit="1" customWidth="1"/>
    <col min="9" max="9" width="9.140625" style="1"/>
    <col min="10" max="13" width="10.140625" customWidth="1"/>
    <col min="14" max="14" width="2.42578125" customWidth="1"/>
  </cols>
  <sheetData>
    <row r="1" spans="1:9" s="69" customFormat="1" ht="15.75">
      <c r="A1" s="67" t="s">
        <v>3288</v>
      </c>
      <c r="B1" s="67" t="s">
        <v>3289</v>
      </c>
      <c r="C1"/>
      <c r="D1" s="67" t="s">
        <v>3286</v>
      </c>
      <c r="E1" s="67" t="s">
        <v>3287</v>
      </c>
      <c r="F1" s="68"/>
      <c r="G1" s="67" t="s">
        <v>3536</v>
      </c>
      <c r="H1" s="67" t="s">
        <v>3537</v>
      </c>
      <c r="I1" s="68"/>
    </row>
  </sheetData>
  <sortState ref="D2:D97">
    <sortCondition ref="D2:D97"/>
  </sortState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T57"/>
  <sheetViews>
    <sheetView showGridLines="0" workbookViewId="0">
      <selection sqref="A1:I1"/>
    </sheetView>
  </sheetViews>
  <sheetFormatPr defaultRowHeight="15"/>
  <cols>
    <col min="1" max="4" width="9.140625" style="203"/>
    <col min="5" max="5" width="2.28515625" style="203" customWidth="1"/>
    <col min="6" max="9" width="9.140625" style="203"/>
    <col min="10" max="10" width="3.5703125" style="203" customWidth="1"/>
    <col min="11" max="14" width="9.140625" style="203"/>
    <col min="15" max="15" width="2.28515625" style="203" customWidth="1"/>
    <col min="16" max="20" width="9.140625" style="203"/>
    <col min="21" max="21" width="19" style="203" bestFit="1" customWidth="1"/>
    <col min="22" max="22" width="18.85546875" style="203" bestFit="1" customWidth="1"/>
    <col min="23" max="30" width="9.42578125" style="203" bestFit="1" customWidth="1"/>
    <col min="31" max="33" width="9.140625" style="203"/>
    <col min="34" max="34" width="26.7109375" style="203" customWidth="1"/>
    <col min="35" max="35" width="14.140625" style="203" customWidth="1"/>
    <col min="36" max="16384" width="9.140625" style="203"/>
  </cols>
  <sheetData>
    <row r="1" spans="1:46" s="261" customFormat="1" ht="15.75">
      <c r="A1" s="376" t="s">
        <v>3745</v>
      </c>
      <c r="B1" s="376"/>
      <c r="C1" s="376"/>
      <c r="D1" s="376"/>
      <c r="E1" s="376"/>
      <c r="F1" s="376"/>
      <c r="G1" s="376"/>
      <c r="H1" s="376"/>
      <c r="I1" s="376"/>
      <c r="K1" s="376" t="s">
        <v>3764</v>
      </c>
      <c r="L1" s="376"/>
      <c r="M1" s="376"/>
      <c r="N1" s="376"/>
      <c r="O1" s="376"/>
      <c r="P1" s="376"/>
      <c r="Q1" s="376"/>
      <c r="R1" s="376"/>
      <c r="S1" s="376"/>
      <c r="U1" s="262" t="s">
        <v>3795</v>
      </c>
      <c r="V1" s="262" t="s">
        <v>3792</v>
      </c>
      <c r="W1" s="262" t="s">
        <v>3811</v>
      </c>
      <c r="X1" s="262" t="s">
        <v>3796</v>
      </c>
      <c r="Y1" s="262" t="s">
        <v>3797</v>
      </c>
      <c r="Z1" s="262" t="s">
        <v>3798</v>
      </c>
      <c r="AA1" s="262" t="s">
        <v>3799</v>
      </c>
      <c r="AB1" s="262" t="s">
        <v>3800</v>
      </c>
      <c r="AC1" s="262" t="s">
        <v>3801</v>
      </c>
      <c r="AD1" s="262" t="s">
        <v>3802</v>
      </c>
      <c r="AE1" s="262" t="s">
        <v>3803</v>
      </c>
      <c r="AF1" s="262" t="s">
        <v>3804</v>
      </c>
      <c r="AH1" s="263" t="s">
        <v>3795</v>
      </c>
      <c r="AI1" s="263" t="s">
        <v>3792</v>
      </c>
      <c r="AJ1" s="263" t="s">
        <v>4301</v>
      </c>
      <c r="AL1" s="376" t="s">
        <v>4460</v>
      </c>
      <c r="AM1" s="376"/>
      <c r="AN1" s="376"/>
      <c r="AO1" s="376"/>
      <c r="AP1" s="376"/>
      <c r="AQ1" s="376"/>
      <c r="AR1" s="376"/>
      <c r="AS1" s="376"/>
      <c r="AT1" s="376"/>
    </row>
    <row r="2" spans="1:46" ht="15.75">
      <c r="A2" s="204" t="s">
        <v>3734</v>
      </c>
      <c r="B2" s="204" t="s">
        <v>3735</v>
      </c>
      <c r="C2" s="204" t="s">
        <v>3736</v>
      </c>
      <c r="D2" s="204" t="s">
        <v>3737</v>
      </c>
      <c r="F2" s="204" t="s">
        <v>3741</v>
      </c>
      <c r="G2" s="204" t="s">
        <v>3742</v>
      </c>
      <c r="H2" s="204" t="s">
        <v>3743</v>
      </c>
      <c r="I2" s="204" t="s">
        <v>3744</v>
      </c>
      <c r="K2" s="204" t="s">
        <v>3734</v>
      </c>
      <c r="L2" s="204" t="s">
        <v>3735</v>
      </c>
      <c r="M2" s="204" t="s">
        <v>3736</v>
      </c>
      <c r="N2" s="204" t="s">
        <v>3737</v>
      </c>
      <c r="P2" s="204" t="s">
        <v>3741</v>
      </c>
      <c r="Q2" s="204" t="s">
        <v>3742</v>
      </c>
      <c r="R2" s="204" t="s">
        <v>3743</v>
      </c>
      <c r="S2" s="204" t="s">
        <v>3744</v>
      </c>
      <c r="U2" s="205" t="s">
        <v>3775</v>
      </c>
      <c r="V2" s="205" t="s">
        <v>3794</v>
      </c>
      <c r="W2" s="205">
        <v>1</v>
      </c>
      <c r="X2" s="205">
        <v>29</v>
      </c>
      <c r="Y2" s="205">
        <v>55</v>
      </c>
      <c r="Z2" s="205">
        <v>81</v>
      </c>
      <c r="AA2" s="205">
        <v>107</v>
      </c>
      <c r="AB2" s="205">
        <v>133</v>
      </c>
      <c r="AC2" s="205">
        <v>159</v>
      </c>
      <c r="AD2" s="205">
        <v>185</v>
      </c>
      <c r="AE2" s="205">
        <v>211</v>
      </c>
      <c r="AF2" s="205">
        <v>237</v>
      </c>
      <c r="AH2" s="205" t="s">
        <v>3419</v>
      </c>
      <c r="AI2" s="205" t="s">
        <v>3794</v>
      </c>
      <c r="AJ2" s="205">
        <v>4</v>
      </c>
      <c r="AL2" s="204" t="s">
        <v>3734</v>
      </c>
      <c r="AM2" s="204" t="s">
        <v>3735</v>
      </c>
      <c r="AN2" s="204" t="s">
        <v>3736</v>
      </c>
      <c r="AO2" s="204" t="s">
        <v>3737</v>
      </c>
      <c r="AQ2" s="204" t="s">
        <v>3741</v>
      </c>
      <c r="AR2" s="204" t="s">
        <v>3742</v>
      </c>
      <c r="AS2" s="204" t="s">
        <v>3743</v>
      </c>
      <c r="AT2" s="204" t="s">
        <v>3744</v>
      </c>
    </row>
    <row r="3" spans="1:46">
      <c r="A3" s="205">
        <v>40</v>
      </c>
      <c r="B3" s="205">
        <v>54</v>
      </c>
      <c r="C3" s="205">
        <v>3</v>
      </c>
      <c r="D3" s="205">
        <v>5</v>
      </c>
      <c r="F3" s="205">
        <v>7</v>
      </c>
      <c r="G3" s="205">
        <v>21</v>
      </c>
      <c r="H3" s="205">
        <v>3</v>
      </c>
      <c r="I3" s="205">
        <v>5</v>
      </c>
      <c r="K3" s="205">
        <v>14</v>
      </c>
      <c r="L3" s="205">
        <v>70</v>
      </c>
      <c r="M3" s="205">
        <v>6</v>
      </c>
      <c r="N3" s="205">
        <v>35</v>
      </c>
      <c r="P3" s="205">
        <v>3</v>
      </c>
      <c r="Q3" s="205">
        <v>59</v>
      </c>
      <c r="R3" s="205">
        <v>5</v>
      </c>
      <c r="S3" s="205">
        <v>34</v>
      </c>
      <c r="U3" s="205" t="s">
        <v>3776</v>
      </c>
      <c r="V3" s="205" t="s">
        <v>3793</v>
      </c>
      <c r="W3" s="205">
        <v>1</v>
      </c>
      <c r="X3" s="205">
        <v>30</v>
      </c>
      <c r="Y3" s="205">
        <v>56</v>
      </c>
      <c r="Z3" s="205">
        <v>82</v>
      </c>
      <c r="AA3" s="205">
        <v>108</v>
      </c>
      <c r="AB3" s="205">
        <v>134</v>
      </c>
      <c r="AC3" s="205">
        <v>160</v>
      </c>
      <c r="AD3" s="205">
        <v>186</v>
      </c>
      <c r="AE3" s="205">
        <v>212</v>
      </c>
      <c r="AF3" s="205">
        <v>238</v>
      </c>
      <c r="AH3" s="205" t="s">
        <v>4268</v>
      </c>
      <c r="AI3" s="205" t="s">
        <v>3793</v>
      </c>
      <c r="AJ3" s="205">
        <v>5</v>
      </c>
      <c r="AL3" s="205">
        <v>46</v>
      </c>
      <c r="AM3" s="205">
        <v>53</v>
      </c>
      <c r="AN3" s="205">
        <v>6</v>
      </c>
      <c r="AO3" s="205">
        <v>35</v>
      </c>
      <c r="AQ3" s="205">
        <v>6</v>
      </c>
      <c r="AR3" s="205">
        <v>13</v>
      </c>
      <c r="AS3" s="205">
        <v>6</v>
      </c>
      <c r="AT3" s="205">
        <v>35</v>
      </c>
    </row>
    <row r="4" spans="1:46">
      <c r="A4" s="205">
        <v>40</v>
      </c>
      <c r="B4" s="205">
        <v>54</v>
      </c>
      <c r="C4" s="205">
        <v>39</v>
      </c>
      <c r="D4" s="205">
        <v>39</v>
      </c>
      <c r="F4" s="205">
        <v>7</v>
      </c>
      <c r="G4" s="205">
        <v>21</v>
      </c>
      <c r="H4" s="205">
        <v>7</v>
      </c>
      <c r="I4" s="205">
        <v>7</v>
      </c>
      <c r="U4" s="205" t="s">
        <v>3777</v>
      </c>
      <c r="V4" s="205" t="s">
        <v>3794</v>
      </c>
      <c r="W4" s="205">
        <v>1</v>
      </c>
      <c r="X4" s="205">
        <v>31</v>
      </c>
      <c r="Y4" s="205">
        <v>57</v>
      </c>
      <c r="Z4" s="205">
        <v>83</v>
      </c>
      <c r="AA4" s="205">
        <v>109</v>
      </c>
      <c r="AB4" s="205">
        <v>135</v>
      </c>
      <c r="AC4" s="205">
        <v>161</v>
      </c>
      <c r="AD4" s="205">
        <v>187</v>
      </c>
      <c r="AE4" s="205">
        <v>213</v>
      </c>
      <c r="AF4" s="205">
        <v>239</v>
      </c>
      <c r="AH4" s="205" t="s">
        <v>3417</v>
      </c>
      <c r="AI4" s="205" t="s">
        <v>3794</v>
      </c>
      <c r="AJ4" s="205">
        <v>7</v>
      </c>
    </row>
    <row r="5" spans="1:46">
      <c r="A5" s="205">
        <v>67</v>
      </c>
      <c r="B5" s="205">
        <v>79</v>
      </c>
      <c r="C5" s="205">
        <v>2</v>
      </c>
      <c r="D5" s="205">
        <v>35</v>
      </c>
      <c r="F5" s="205">
        <v>26</v>
      </c>
      <c r="G5" s="205">
        <v>38</v>
      </c>
      <c r="H5" s="205">
        <v>2</v>
      </c>
      <c r="I5" s="205">
        <v>35</v>
      </c>
      <c r="U5" s="205" t="s">
        <v>3778</v>
      </c>
      <c r="V5" s="205" t="s">
        <v>3793</v>
      </c>
      <c r="W5" s="205">
        <v>1</v>
      </c>
      <c r="X5" s="205">
        <v>32</v>
      </c>
      <c r="Y5" s="205">
        <v>58</v>
      </c>
      <c r="Z5" s="205">
        <v>84</v>
      </c>
      <c r="AA5" s="205">
        <v>110</v>
      </c>
      <c r="AB5" s="205">
        <v>136</v>
      </c>
      <c r="AC5" s="205">
        <v>162</v>
      </c>
      <c r="AD5" s="205">
        <v>188</v>
      </c>
      <c r="AE5" s="205">
        <v>214</v>
      </c>
      <c r="AF5" s="205">
        <v>240</v>
      </c>
      <c r="AH5" s="205" t="s">
        <v>4267</v>
      </c>
      <c r="AI5" s="205" t="s">
        <v>3793</v>
      </c>
      <c r="AJ5" s="205">
        <v>8</v>
      </c>
    </row>
    <row r="6" spans="1:46">
      <c r="A6" s="205">
        <v>80</v>
      </c>
      <c r="B6" s="205">
        <v>90</v>
      </c>
      <c r="C6" s="205">
        <v>6</v>
      </c>
      <c r="D6" s="205">
        <v>35</v>
      </c>
      <c r="F6" s="205">
        <v>39</v>
      </c>
      <c r="G6" s="205">
        <v>49</v>
      </c>
      <c r="H6" s="205">
        <v>6</v>
      </c>
      <c r="I6" s="205">
        <v>35</v>
      </c>
      <c r="U6" s="205" t="s">
        <v>3779</v>
      </c>
      <c r="V6" s="205" t="s">
        <v>3794</v>
      </c>
      <c r="W6" s="205">
        <v>1</v>
      </c>
      <c r="X6" s="205">
        <v>33</v>
      </c>
      <c r="Y6" s="205">
        <v>59</v>
      </c>
      <c r="Z6" s="205">
        <v>85</v>
      </c>
      <c r="AA6" s="205">
        <v>111</v>
      </c>
      <c r="AB6" s="205">
        <v>137</v>
      </c>
      <c r="AC6" s="205">
        <v>163</v>
      </c>
      <c r="AD6" s="205">
        <v>189</v>
      </c>
      <c r="AE6" s="205">
        <v>215</v>
      </c>
      <c r="AF6" s="205">
        <v>241</v>
      </c>
      <c r="AH6" s="205" t="s">
        <v>3293</v>
      </c>
      <c r="AI6" s="205" t="s">
        <v>3794</v>
      </c>
      <c r="AJ6" s="205">
        <v>10</v>
      </c>
    </row>
    <row r="7" spans="1:46">
      <c r="A7" s="205">
        <v>93</v>
      </c>
      <c r="B7" s="205">
        <v>105</v>
      </c>
      <c r="C7" s="205">
        <v>2</v>
      </c>
      <c r="D7" s="205">
        <v>35</v>
      </c>
      <c r="F7" s="205">
        <v>52</v>
      </c>
      <c r="G7" s="205">
        <v>64</v>
      </c>
      <c r="H7" s="205">
        <v>2</v>
      </c>
      <c r="I7" s="205">
        <v>35</v>
      </c>
      <c r="U7" s="205" t="s">
        <v>3780</v>
      </c>
      <c r="V7" s="205" t="s">
        <v>3793</v>
      </c>
      <c r="W7" s="205">
        <v>1</v>
      </c>
      <c r="X7" s="205">
        <v>34</v>
      </c>
      <c r="Y7" s="205">
        <v>60</v>
      </c>
      <c r="Z7" s="205">
        <v>86</v>
      </c>
      <c r="AA7" s="205">
        <v>112</v>
      </c>
      <c r="AB7" s="205">
        <v>138</v>
      </c>
      <c r="AC7" s="205">
        <v>164</v>
      </c>
      <c r="AD7" s="205">
        <v>190</v>
      </c>
      <c r="AE7" s="205">
        <v>216</v>
      </c>
      <c r="AF7" s="205">
        <v>242</v>
      </c>
      <c r="AH7" s="205" t="s">
        <v>4269</v>
      </c>
      <c r="AI7" s="205" t="s">
        <v>3793</v>
      </c>
      <c r="AJ7" s="205">
        <v>11</v>
      </c>
    </row>
    <row r="8" spans="1:46">
      <c r="A8" s="205">
        <v>106</v>
      </c>
      <c r="B8" s="205">
        <v>116</v>
      </c>
      <c r="C8" s="205">
        <v>6</v>
      </c>
      <c r="D8" s="205">
        <v>35</v>
      </c>
      <c r="F8" s="205">
        <v>65</v>
      </c>
      <c r="G8" s="205">
        <v>75</v>
      </c>
      <c r="H8" s="205">
        <v>6</v>
      </c>
      <c r="I8" s="205">
        <v>35</v>
      </c>
      <c r="U8" s="205" t="s">
        <v>3781</v>
      </c>
      <c r="V8" s="205" t="s">
        <v>3794</v>
      </c>
      <c r="W8" s="205">
        <v>2</v>
      </c>
      <c r="X8" s="205">
        <v>37</v>
      </c>
      <c r="Y8" s="205">
        <v>63</v>
      </c>
      <c r="Z8" s="205">
        <v>89</v>
      </c>
      <c r="AA8" s="205">
        <v>115</v>
      </c>
      <c r="AB8" s="205">
        <v>141</v>
      </c>
      <c r="AC8" s="205">
        <v>167</v>
      </c>
      <c r="AD8" s="205">
        <v>193</v>
      </c>
      <c r="AE8" s="205">
        <v>219</v>
      </c>
      <c r="AF8" s="205">
        <v>245</v>
      </c>
      <c r="AH8" s="205" t="s">
        <v>3416</v>
      </c>
      <c r="AI8" s="205" t="s">
        <v>3794</v>
      </c>
      <c r="AJ8" s="205">
        <v>13</v>
      </c>
    </row>
    <row r="9" spans="1:46">
      <c r="A9" s="205">
        <v>119</v>
      </c>
      <c r="B9" s="205">
        <v>131</v>
      </c>
      <c r="C9" s="205">
        <v>2</v>
      </c>
      <c r="D9" s="205">
        <v>35</v>
      </c>
      <c r="F9" s="205">
        <v>78</v>
      </c>
      <c r="G9" s="205">
        <v>90</v>
      </c>
      <c r="H9" s="205">
        <v>2</v>
      </c>
      <c r="I9" s="205">
        <v>35</v>
      </c>
      <c r="U9" s="205" t="s">
        <v>3782</v>
      </c>
      <c r="V9" s="205" t="s">
        <v>3793</v>
      </c>
      <c r="W9" s="205">
        <v>2</v>
      </c>
      <c r="X9" s="205">
        <v>38</v>
      </c>
      <c r="Y9" s="205">
        <v>64</v>
      </c>
      <c r="Z9" s="205">
        <v>90</v>
      </c>
      <c r="AA9" s="205">
        <v>116</v>
      </c>
      <c r="AB9" s="205">
        <v>142</v>
      </c>
      <c r="AC9" s="205">
        <v>168</v>
      </c>
      <c r="AD9" s="205">
        <v>194</v>
      </c>
      <c r="AE9" s="205">
        <v>220</v>
      </c>
      <c r="AF9" s="205">
        <v>246</v>
      </c>
      <c r="AH9" s="205" t="s">
        <v>3418</v>
      </c>
      <c r="AI9" s="205" t="s">
        <v>3794</v>
      </c>
      <c r="AJ9" s="205">
        <v>14</v>
      </c>
    </row>
    <row r="10" spans="1:46">
      <c r="A10" s="205">
        <v>132</v>
      </c>
      <c r="B10" s="205">
        <v>142</v>
      </c>
      <c r="C10" s="205">
        <v>6</v>
      </c>
      <c r="D10" s="205">
        <v>35</v>
      </c>
      <c r="F10" s="205">
        <v>91</v>
      </c>
      <c r="G10" s="205">
        <v>101</v>
      </c>
      <c r="H10" s="205">
        <v>6</v>
      </c>
      <c r="I10" s="205">
        <v>35</v>
      </c>
      <c r="U10" s="205" t="s">
        <v>3783</v>
      </c>
      <c r="V10" s="205" t="s">
        <v>3794</v>
      </c>
      <c r="W10" s="205">
        <v>2</v>
      </c>
      <c r="X10" s="205">
        <v>39</v>
      </c>
      <c r="Y10" s="205">
        <v>65</v>
      </c>
      <c r="Z10" s="205">
        <v>91</v>
      </c>
      <c r="AA10" s="205">
        <v>117</v>
      </c>
      <c r="AB10" s="205">
        <v>143</v>
      </c>
      <c r="AC10" s="205">
        <v>169</v>
      </c>
      <c r="AD10" s="205">
        <v>195</v>
      </c>
      <c r="AE10" s="205">
        <v>221</v>
      </c>
      <c r="AF10" s="205">
        <v>247</v>
      </c>
      <c r="AH10" s="205" t="s">
        <v>4270</v>
      </c>
      <c r="AI10" s="205" t="s">
        <v>3793</v>
      </c>
      <c r="AJ10" s="205">
        <v>15</v>
      </c>
    </row>
    <row r="11" spans="1:46">
      <c r="A11" s="205">
        <v>145</v>
      </c>
      <c r="B11" s="205">
        <v>157</v>
      </c>
      <c r="C11" s="205">
        <v>2</v>
      </c>
      <c r="D11" s="205">
        <v>35</v>
      </c>
      <c r="F11" s="205">
        <v>104</v>
      </c>
      <c r="G11" s="205">
        <v>116</v>
      </c>
      <c r="H11" s="205">
        <v>2</v>
      </c>
      <c r="I11" s="205">
        <v>35</v>
      </c>
      <c r="U11" s="205" t="s">
        <v>3784</v>
      </c>
      <c r="V11" s="205" t="s">
        <v>3793</v>
      </c>
      <c r="W11" s="205">
        <v>2</v>
      </c>
      <c r="X11" s="205">
        <v>40</v>
      </c>
      <c r="Y11" s="205">
        <v>66</v>
      </c>
      <c r="Z11" s="205">
        <v>92</v>
      </c>
      <c r="AA11" s="205">
        <v>118</v>
      </c>
      <c r="AB11" s="205">
        <v>144</v>
      </c>
      <c r="AC11" s="205">
        <v>170</v>
      </c>
      <c r="AD11" s="205">
        <v>196</v>
      </c>
      <c r="AE11" s="205">
        <v>222</v>
      </c>
      <c r="AF11" s="205">
        <v>248</v>
      </c>
      <c r="AH11" s="205" t="s">
        <v>3425</v>
      </c>
      <c r="AI11" s="205" t="s">
        <v>3794</v>
      </c>
      <c r="AJ11" s="205">
        <v>16</v>
      </c>
    </row>
    <row r="12" spans="1:46">
      <c r="A12" s="205">
        <v>158</v>
      </c>
      <c r="B12" s="205">
        <v>168</v>
      </c>
      <c r="C12" s="205">
        <v>6</v>
      </c>
      <c r="D12" s="205">
        <v>35</v>
      </c>
      <c r="F12" s="205">
        <v>117</v>
      </c>
      <c r="G12" s="205">
        <v>127</v>
      </c>
      <c r="H12" s="205">
        <v>6</v>
      </c>
      <c r="I12" s="205">
        <v>35</v>
      </c>
      <c r="U12" s="205" t="s">
        <v>3785</v>
      </c>
      <c r="V12" s="205" t="s">
        <v>3794</v>
      </c>
      <c r="W12" s="205">
        <v>2</v>
      </c>
      <c r="X12" s="205">
        <v>41</v>
      </c>
      <c r="Y12" s="205">
        <v>67</v>
      </c>
      <c r="Z12" s="205">
        <v>93</v>
      </c>
      <c r="AA12" s="205">
        <v>119</v>
      </c>
      <c r="AB12" s="205">
        <v>145</v>
      </c>
      <c r="AC12" s="205">
        <v>171</v>
      </c>
      <c r="AD12" s="205">
        <v>197</v>
      </c>
      <c r="AE12" s="205">
        <v>223</v>
      </c>
      <c r="AF12" s="205">
        <v>249</v>
      </c>
      <c r="AH12" s="205" t="s">
        <v>4272</v>
      </c>
      <c r="AI12" s="205" t="s">
        <v>3793</v>
      </c>
      <c r="AJ12" s="205">
        <v>17</v>
      </c>
    </row>
    <row r="13" spans="1:46">
      <c r="A13" s="205">
        <v>171</v>
      </c>
      <c r="B13" s="205">
        <v>183</v>
      </c>
      <c r="C13" s="205">
        <v>2</v>
      </c>
      <c r="D13" s="205">
        <v>35</v>
      </c>
      <c r="F13" s="205">
        <v>130</v>
      </c>
      <c r="G13" s="205">
        <v>142</v>
      </c>
      <c r="H13" s="205">
        <v>2</v>
      </c>
      <c r="I13" s="205">
        <v>35</v>
      </c>
      <c r="U13" s="205" t="s">
        <v>3786</v>
      </c>
      <c r="V13" s="205" t="s">
        <v>3794</v>
      </c>
      <c r="W13" s="205">
        <v>2</v>
      </c>
      <c r="X13" s="205">
        <v>44</v>
      </c>
      <c r="Y13" s="205">
        <v>70</v>
      </c>
      <c r="Z13" s="205">
        <v>96</v>
      </c>
      <c r="AA13" s="205">
        <v>122</v>
      </c>
      <c r="AB13" s="205">
        <v>148</v>
      </c>
      <c r="AC13" s="205">
        <v>174</v>
      </c>
      <c r="AD13" s="205">
        <v>200</v>
      </c>
      <c r="AE13" s="205">
        <v>226</v>
      </c>
      <c r="AF13" s="205">
        <v>252</v>
      </c>
      <c r="AH13" s="205" t="s">
        <v>3200</v>
      </c>
      <c r="AI13" s="205" t="s">
        <v>3794</v>
      </c>
      <c r="AJ13" s="205">
        <v>18</v>
      </c>
    </row>
    <row r="14" spans="1:46">
      <c r="A14" s="205">
        <v>184</v>
      </c>
      <c r="B14" s="205">
        <v>194</v>
      </c>
      <c r="C14" s="205">
        <v>6</v>
      </c>
      <c r="D14" s="205">
        <v>35</v>
      </c>
      <c r="F14" s="205">
        <v>143</v>
      </c>
      <c r="G14" s="205">
        <v>153</v>
      </c>
      <c r="H14" s="205">
        <v>6</v>
      </c>
      <c r="I14" s="205">
        <v>35</v>
      </c>
      <c r="U14" s="205" t="s">
        <v>3787</v>
      </c>
      <c r="V14" s="205" t="s">
        <v>3793</v>
      </c>
      <c r="W14" s="205">
        <v>2</v>
      </c>
      <c r="X14" s="205">
        <v>45</v>
      </c>
      <c r="Y14" s="205">
        <v>71</v>
      </c>
      <c r="Z14" s="205">
        <v>97</v>
      </c>
      <c r="AA14" s="205">
        <v>123</v>
      </c>
      <c r="AB14" s="205">
        <v>149</v>
      </c>
      <c r="AC14" s="205">
        <v>175</v>
      </c>
      <c r="AD14" s="205">
        <v>201</v>
      </c>
      <c r="AE14" s="205">
        <v>227</v>
      </c>
      <c r="AF14" s="205">
        <v>253</v>
      </c>
      <c r="AH14" s="205" t="s">
        <v>4271</v>
      </c>
      <c r="AI14" s="205" t="s">
        <v>3794</v>
      </c>
      <c r="AJ14" s="205">
        <v>19</v>
      </c>
    </row>
    <row r="15" spans="1:46">
      <c r="A15" s="205">
        <v>197</v>
      </c>
      <c r="B15" s="205">
        <v>209</v>
      </c>
      <c r="C15" s="205">
        <v>2</v>
      </c>
      <c r="D15" s="205">
        <v>35</v>
      </c>
      <c r="F15" s="205">
        <v>156</v>
      </c>
      <c r="G15" s="205">
        <v>168</v>
      </c>
      <c r="H15" s="205">
        <v>2</v>
      </c>
      <c r="I15" s="205">
        <v>35</v>
      </c>
      <c r="U15" s="205" t="s">
        <v>3788</v>
      </c>
      <c r="V15" s="205" t="s">
        <v>3794</v>
      </c>
      <c r="W15" s="205">
        <v>2</v>
      </c>
      <c r="X15" s="205">
        <v>46</v>
      </c>
      <c r="Y15" s="205">
        <v>72</v>
      </c>
      <c r="Z15" s="205">
        <v>98</v>
      </c>
      <c r="AA15" s="205">
        <v>124</v>
      </c>
      <c r="AB15" s="205">
        <v>150</v>
      </c>
      <c r="AC15" s="205">
        <v>176</v>
      </c>
      <c r="AD15" s="205">
        <v>202</v>
      </c>
      <c r="AE15" s="205">
        <v>228</v>
      </c>
      <c r="AF15" s="205">
        <v>254</v>
      </c>
      <c r="AH15" s="205" t="s">
        <v>4273</v>
      </c>
      <c r="AI15" s="205" t="s">
        <v>3793</v>
      </c>
      <c r="AJ15" s="205">
        <v>20</v>
      </c>
    </row>
    <row r="16" spans="1:46">
      <c r="A16" s="205">
        <v>210</v>
      </c>
      <c r="B16" s="205">
        <v>220</v>
      </c>
      <c r="C16" s="205">
        <v>6</v>
      </c>
      <c r="D16" s="205">
        <v>35</v>
      </c>
      <c r="F16" s="205">
        <v>169</v>
      </c>
      <c r="G16" s="205">
        <v>179</v>
      </c>
      <c r="H16" s="205">
        <v>6</v>
      </c>
      <c r="I16" s="205">
        <v>35</v>
      </c>
      <c r="U16" s="205" t="s">
        <v>3789</v>
      </c>
      <c r="V16" s="205" t="s">
        <v>3794</v>
      </c>
      <c r="W16" s="205">
        <v>2</v>
      </c>
      <c r="X16" s="205">
        <v>47</v>
      </c>
      <c r="Y16" s="205">
        <v>73</v>
      </c>
      <c r="Z16" s="205">
        <v>99</v>
      </c>
      <c r="AA16" s="205">
        <v>125</v>
      </c>
      <c r="AB16" s="205">
        <v>151</v>
      </c>
      <c r="AC16" s="205">
        <v>177</v>
      </c>
      <c r="AD16" s="205">
        <v>203</v>
      </c>
      <c r="AE16" s="205">
        <v>229</v>
      </c>
      <c r="AF16" s="205">
        <v>255</v>
      </c>
      <c r="AH16" s="205" t="s">
        <v>3426</v>
      </c>
      <c r="AI16" s="205" t="s">
        <v>3794</v>
      </c>
      <c r="AJ16" s="205">
        <v>22</v>
      </c>
    </row>
    <row r="17" spans="1:36">
      <c r="A17" s="205">
        <v>223</v>
      </c>
      <c r="B17" s="205">
        <v>235</v>
      </c>
      <c r="C17" s="205">
        <v>2</v>
      </c>
      <c r="D17" s="205">
        <v>35</v>
      </c>
      <c r="F17" s="205">
        <v>182</v>
      </c>
      <c r="G17" s="205">
        <v>194</v>
      </c>
      <c r="H17" s="205">
        <v>2</v>
      </c>
      <c r="I17" s="205">
        <v>35</v>
      </c>
      <c r="U17" s="205" t="s">
        <v>3790</v>
      </c>
      <c r="V17" s="205" t="s">
        <v>3794</v>
      </c>
      <c r="W17" s="205">
        <v>2</v>
      </c>
      <c r="X17" s="205">
        <v>48</v>
      </c>
      <c r="Y17" s="205">
        <v>74</v>
      </c>
      <c r="Z17" s="205">
        <v>100</v>
      </c>
      <c r="AA17" s="205">
        <v>126</v>
      </c>
      <c r="AB17" s="205">
        <v>152</v>
      </c>
      <c r="AC17" s="205">
        <v>178</v>
      </c>
      <c r="AD17" s="205">
        <v>204</v>
      </c>
      <c r="AE17" s="205">
        <v>230</v>
      </c>
      <c r="AF17" s="205">
        <v>256</v>
      </c>
      <c r="AH17" s="205" t="s">
        <v>4274</v>
      </c>
      <c r="AI17" s="205" t="s">
        <v>3793</v>
      </c>
      <c r="AJ17" s="205">
        <v>23</v>
      </c>
    </row>
    <row r="18" spans="1:36">
      <c r="A18" s="205">
        <v>236</v>
      </c>
      <c r="B18" s="205">
        <v>246</v>
      </c>
      <c r="C18" s="205">
        <v>6</v>
      </c>
      <c r="D18" s="205">
        <v>35</v>
      </c>
      <c r="F18" s="205">
        <v>195</v>
      </c>
      <c r="G18" s="205">
        <v>205</v>
      </c>
      <c r="H18" s="205">
        <v>6</v>
      </c>
      <c r="I18" s="205">
        <v>35</v>
      </c>
      <c r="U18" s="205" t="s">
        <v>3791</v>
      </c>
      <c r="V18" s="205" t="s">
        <v>3793</v>
      </c>
      <c r="W18" s="205">
        <v>2</v>
      </c>
      <c r="X18" s="205">
        <v>49</v>
      </c>
      <c r="Y18" s="205">
        <v>75</v>
      </c>
      <c r="Z18" s="205">
        <v>101</v>
      </c>
      <c r="AA18" s="205">
        <v>127</v>
      </c>
      <c r="AB18" s="205">
        <v>153</v>
      </c>
      <c r="AC18" s="205">
        <v>179</v>
      </c>
      <c r="AD18" s="205">
        <v>205</v>
      </c>
      <c r="AE18" s="205">
        <v>231</v>
      </c>
      <c r="AF18" s="205">
        <v>257</v>
      </c>
      <c r="AH18" s="205" t="s">
        <v>3421</v>
      </c>
      <c r="AI18" s="205" t="s">
        <v>3794</v>
      </c>
      <c r="AJ18" s="205">
        <v>24</v>
      </c>
    </row>
    <row r="19" spans="1:36">
      <c r="A19" s="205">
        <v>249</v>
      </c>
      <c r="B19" s="205">
        <v>261</v>
      </c>
      <c r="C19" s="205">
        <v>2</v>
      </c>
      <c r="D19" s="205">
        <v>35</v>
      </c>
      <c r="F19" s="205">
        <v>208</v>
      </c>
      <c r="G19" s="205">
        <v>220</v>
      </c>
      <c r="H19" s="205">
        <v>2</v>
      </c>
      <c r="I19" s="205">
        <v>35</v>
      </c>
      <c r="AH19" s="205" t="s">
        <v>4275</v>
      </c>
      <c r="AI19" s="205" t="s">
        <v>3793</v>
      </c>
      <c r="AJ19" s="205">
        <v>25</v>
      </c>
    </row>
    <row r="20" spans="1:36">
      <c r="A20" s="205">
        <v>262</v>
      </c>
      <c r="B20" s="205">
        <v>272</v>
      </c>
      <c r="C20" s="205">
        <v>6</v>
      </c>
      <c r="D20" s="205">
        <v>35</v>
      </c>
      <c r="F20" s="205">
        <v>221</v>
      </c>
      <c r="G20" s="205">
        <v>231</v>
      </c>
      <c r="H20" s="205">
        <v>6</v>
      </c>
      <c r="I20" s="205">
        <v>35</v>
      </c>
      <c r="AH20" s="205" t="s">
        <v>3206</v>
      </c>
      <c r="AI20" s="205" t="s">
        <v>3794</v>
      </c>
      <c r="AJ20" s="205">
        <v>26</v>
      </c>
    </row>
    <row r="21" spans="1:36">
      <c r="A21" s="205">
        <v>275</v>
      </c>
      <c r="B21" s="205">
        <v>287</v>
      </c>
      <c r="C21" s="205">
        <v>2</v>
      </c>
      <c r="D21" s="205">
        <v>35</v>
      </c>
      <c r="F21" s="205">
        <v>234</v>
      </c>
      <c r="G21" s="205">
        <v>246</v>
      </c>
      <c r="H21" s="205">
        <v>2</v>
      </c>
      <c r="I21" s="205">
        <v>35</v>
      </c>
      <c r="AH21" s="205" t="s">
        <v>4276</v>
      </c>
      <c r="AI21" s="205" t="s">
        <v>3794</v>
      </c>
      <c r="AJ21" s="205">
        <v>27</v>
      </c>
    </row>
    <row r="22" spans="1:36">
      <c r="A22" s="205">
        <v>288</v>
      </c>
      <c r="B22" s="205">
        <v>298</v>
      </c>
      <c r="C22" s="205">
        <v>6</v>
      </c>
      <c r="D22" s="205">
        <v>35</v>
      </c>
      <c r="F22" s="205">
        <v>247</v>
      </c>
      <c r="G22" s="205">
        <v>257</v>
      </c>
      <c r="H22" s="205">
        <v>6</v>
      </c>
      <c r="I22" s="205">
        <v>35</v>
      </c>
      <c r="AH22" s="205" t="s">
        <v>4277</v>
      </c>
      <c r="AI22" s="205" t="s">
        <v>3793</v>
      </c>
      <c r="AJ22" s="205">
        <v>28</v>
      </c>
    </row>
    <row r="23" spans="1:36">
      <c r="A23" s="205">
        <v>301</v>
      </c>
      <c r="B23" s="205">
        <v>313</v>
      </c>
      <c r="C23" s="205">
        <v>2</v>
      </c>
      <c r="D23" s="205">
        <v>35</v>
      </c>
      <c r="F23" s="205">
        <v>260</v>
      </c>
      <c r="G23" s="205">
        <v>272</v>
      </c>
      <c r="H23" s="205">
        <v>2</v>
      </c>
      <c r="I23" s="205">
        <v>35</v>
      </c>
      <c r="AH23" s="205" t="s">
        <v>4278</v>
      </c>
      <c r="AI23" s="205" t="s">
        <v>3794</v>
      </c>
      <c r="AJ23" s="205">
        <v>30</v>
      </c>
    </row>
    <row r="24" spans="1:36">
      <c r="A24" s="205">
        <v>314</v>
      </c>
      <c r="B24" s="205">
        <v>324</v>
      </c>
      <c r="C24" s="205">
        <v>6</v>
      </c>
      <c r="D24" s="205">
        <v>35</v>
      </c>
      <c r="F24" s="205">
        <v>273</v>
      </c>
      <c r="G24" s="205">
        <v>283</v>
      </c>
      <c r="H24" s="205">
        <v>6</v>
      </c>
      <c r="I24" s="205">
        <v>35</v>
      </c>
      <c r="AH24" s="205" t="s">
        <v>3422</v>
      </c>
      <c r="AI24" s="205" t="s">
        <v>3794</v>
      </c>
      <c r="AJ24" s="205">
        <v>31</v>
      </c>
    </row>
    <row r="25" spans="1:36">
      <c r="A25" s="205">
        <v>327</v>
      </c>
      <c r="B25" s="205">
        <v>339</v>
      </c>
      <c r="C25" s="205">
        <v>2</v>
      </c>
      <c r="D25" s="205">
        <v>35</v>
      </c>
      <c r="F25" s="205">
        <v>286</v>
      </c>
      <c r="G25" s="205">
        <v>298</v>
      </c>
      <c r="H25" s="205">
        <v>2</v>
      </c>
      <c r="I25" s="205">
        <v>35</v>
      </c>
      <c r="AH25" s="205" t="s">
        <v>3423</v>
      </c>
      <c r="AI25" s="205" t="s">
        <v>3794</v>
      </c>
      <c r="AJ25" s="205">
        <v>32</v>
      </c>
    </row>
    <row r="26" spans="1:36">
      <c r="A26" s="205">
        <v>340</v>
      </c>
      <c r="B26" s="205">
        <v>350</v>
      </c>
      <c r="C26" s="205">
        <v>6</v>
      </c>
      <c r="D26" s="205">
        <v>35</v>
      </c>
      <c r="F26" s="205">
        <v>299</v>
      </c>
      <c r="G26" s="205">
        <v>309</v>
      </c>
      <c r="H26" s="205">
        <v>6</v>
      </c>
      <c r="I26" s="205">
        <v>35</v>
      </c>
      <c r="AH26" s="205" t="s">
        <v>4279</v>
      </c>
      <c r="AI26" s="205" t="s">
        <v>3794</v>
      </c>
      <c r="AJ26" s="205">
        <v>33</v>
      </c>
    </row>
    <row r="27" spans="1:36">
      <c r="A27" s="205">
        <v>353</v>
      </c>
      <c r="B27" s="205">
        <v>365</v>
      </c>
      <c r="C27" s="205">
        <v>2</v>
      </c>
      <c r="D27" s="205">
        <v>35</v>
      </c>
      <c r="F27" s="205">
        <v>312</v>
      </c>
      <c r="G27" s="205">
        <v>324</v>
      </c>
      <c r="H27" s="205">
        <v>2</v>
      </c>
      <c r="I27" s="205">
        <v>35</v>
      </c>
      <c r="AH27" s="205" t="s">
        <v>4280</v>
      </c>
      <c r="AI27" s="205" t="s">
        <v>3793</v>
      </c>
      <c r="AJ27" s="205">
        <v>34</v>
      </c>
    </row>
    <row r="28" spans="1:36">
      <c r="A28" s="205">
        <v>366</v>
      </c>
      <c r="B28" s="205">
        <v>376</v>
      </c>
      <c r="C28" s="205">
        <v>6</v>
      </c>
      <c r="D28" s="205">
        <v>35</v>
      </c>
      <c r="F28" s="205">
        <v>325</v>
      </c>
      <c r="G28" s="205">
        <v>335</v>
      </c>
      <c r="H28" s="205">
        <v>6</v>
      </c>
      <c r="I28" s="205">
        <v>35</v>
      </c>
      <c r="AH28" s="205" t="s">
        <v>4281</v>
      </c>
      <c r="AI28" s="205" t="s">
        <v>3794</v>
      </c>
      <c r="AJ28" s="205">
        <v>35</v>
      </c>
    </row>
    <row r="29" spans="1:36">
      <c r="A29" s="205">
        <v>379</v>
      </c>
      <c r="B29" s="205">
        <v>391</v>
      </c>
      <c r="C29" s="205">
        <v>2</v>
      </c>
      <c r="D29" s="205">
        <v>35</v>
      </c>
      <c r="F29" s="205">
        <v>338</v>
      </c>
      <c r="G29" s="205">
        <v>350</v>
      </c>
      <c r="H29" s="205">
        <v>2</v>
      </c>
      <c r="I29" s="205">
        <v>35</v>
      </c>
      <c r="AH29" s="205" t="s">
        <v>4282</v>
      </c>
      <c r="AI29" s="205" t="s">
        <v>3794</v>
      </c>
      <c r="AJ29" s="205">
        <v>36</v>
      </c>
    </row>
    <row r="30" spans="1:36">
      <c r="A30" s="205">
        <v>392</v>
      </c>
      <c r="B30" s="205">
        <v>402</v>
      </c>
      <c r="C30" s="205">
        <v>6</v>
      </c>
      <c r="D30" s="205">
        <v>35</v>
      </c>
      <c r="F30" s="205">
        <v>351</v>
      </c>
      <c r="G30" s="205">
        <v>361</v>
      </c>
      <c r="H30" s="205">
        <v>6</v>
      </c>
      <c r="I30" s="205">
        <v>35</v>
      </c>
      <c r="AH30" s="205" t="s">
        <v>4283</v>
      </c>
      <c r="AI30" s="205" t="s">
        <v>3793</v>
      </c>
      <c r="AJ30" s="205">
        <v>37</v>
      </c>
    </row>
    <row r="31" spans="1:36">
      <c r="A31" s="205">
        <v>405</v>
      </c>
      <c r="B31" s="205">
        <v>417</v>
      </c>
      <c r="C31" s="205">
        <v>2</v>
      </c>
      <c r="D31" s="205">
        <v>35</v>
      </c>
      <c r="F31" s="205">
        <v>364</v>
      </c>
      <c r="G31" s="205">
        <v>376</v>
      </c>
      <c r="H31" s="205">
        <v>2</v>
      </c>
      <c r="I31" s="205">
        <v>35</v>
      </c>
      <c r="AH31" s="205" t="s">
        <v>4284</v>
      </c>
      <c r="AI31" s="205" t="s">
        <v>3793</v>
      </c>
      <c r="AJ31" s="205">
        <v>39</v>
      </c>
    </row>
    <row r="32" spans="1:36">
      <c r="A32" s="205">
        <v>418</v>
      </c>
      <c r="B32" s="205">
        <v>428</v>
      </c>
      <c r="C32" s="205">
        <v>6</v>
      </c>
      <c r="D32" s="205">
        <v>35</v>
      </c>
      <c r="F32" s="205">
        <v>377</v>
      </c>
      <c r="G32" s="205">
        <v>387</v>
      </c>
      <c r="H32" s="205">
        <v>6</v>
      </c>
      <c r="I32" s="205">
        <v>35</v>
      </c>
      <c r="AH32" s="205" t="s">
        <v>3420</v>
      </c>
      <c r="AI32" s="205" t="s">
        <v>3794</v>
      </c>
      <c r="AJ32" s="205">
        <v>40</v>
      </c>
    </row>
    <row r="33" spans="1:36">
      <c r="A33" s="205">
        <v>431</v>
      </c>
      <c r="B33" s="205">
        <v>443</v>
      </c>
      <c r="C33" s="205">
        <v>2</v>
      </c>
      <c r="D33" s="205">
        <v>35</v>
      </c>
      <c r="F33" s="205">
        <v>390</v>
      </c>
      <c r="G33" s="205">
        <v>402</v>
      </c>
      <c r="H33" s="205">
        <v>2</v>
      </c>
      <c r="I33" s="205">
        <v>35</v>
      </c>
      <c r="AH33" s="205" t="s">
        <v>4285</v>
      </c>
      <c r="AI33" s="205" t="s">
        <v>3794</v>
      </c>
      <c r="AJ33" s="205">
        <v>41</v>
      </c>
    </row>
    <row r="34" spans="1:36">
      <c r="A34" s="205">
        <v>444</v>
      </c>
      <c r="B34" s="205">
        <v>454</v>
      </c>
      <c r="C34" s="205">
        <v>6</v>
      </c>
      <c r="D34" s="205">
        <v>35</v>
      </c>
      <c r="F34" s="205">
        <v>403</v>
      </c>
      <c r="G34" s="205">
        <v>413</v>
      </c>
      <c r="H34" s="205">
        <v>6</v>
      </c>
      <c r="I34" s="205">
        <v>35</v>
      </c>
      <c r="AH34" s="205" t="s">
        <v>4286</v>
      </c>
      <c r="AI34" s="205" t="s">
        <v>3794</v>
      </c>
      <c r="AJ34" s="205">
        <v>42</v>
      </c>
    </row>
    <row r="35" spans="1:36">
      <c r="AH35" s="205" t="s">
        <v>4287</v>
      </c>
      <c r="AI35" s="205" t="s">
        <v>3793</v>
      </c>
      <c r="AJ35" s="205">
        <v>43</v>
      </c>
    </row>
    <row r="36" spans="1:36">
      <c r="AH36" s="205" t="s">
        <v>3424</v>
      </c>
      <c r="AI36" s="205" t="s">
        <v>3794</v>
      </c>
      <c r="AJ36" s="205">
        <v>45</v>
      </c>
    </row>
    <row r="37" spans="1:36">
      <c r="AH37" s="205" t="s">
        <v>4288</v>
      </c>
      <c r="AI37" s="205" t="s">
        <v>3794</v>
      </c>
      <c r="AJ37" s="205">
        <v>46</v>
      </c>
    </row>
    <row r="38" spans="1:36">
      <c r="AH38" s="205" t="s">
        <v>4289</v>
      </c>
      <c r="AI38" s="205" t="s">
        <v>3794</v>
      </c>
      <c r="AJ38" s="205">
        <v>47</v>
      </c>
    </row>
    <row r="39" spans="1:36">
      <c r="AH39" s="205" t="s">
        <v>4290</v>
      </c>
      <c r="AI39" s="205" t="s">
        <v>3794</v>
      </c>
      <c r="AJ39" s="205">
        <v>48</v>
      </c>
    </row>
    <row r="40" spans="1:36">
      <c r="AH40" s="205" t="s">
        <v>3427</v>
      </c>
      <c r="AI40" s="205" t="s">
        <v>3794</v>
      </c>
      <c r="AJ40" s="205">
        <v>49</v>
      </c>
    </row>
    <row r="41" spans="1:36">
      <c r="AH41" s="205" t="s">
        <v>4291</v>
      </c>
      <c r="AI41" s="205" t="s">
        <v>3794</v>
      </c>
      <c r="AJ41" s="205">
        <v>50</v>
      </c>
    </row>
    <row r="42" spans="1:36">
      <c r="AH42" s="205" t="s">
        <v>4292</v>
      </c>
      <c r="AI42" s="205" t="s">
        <v>3793</v>
      </c>
      <c r="AJ42" s="205">
        <v>51</v>
      </c>
    </row>
    <row r="43" spans="1:36">
      <c r="AH43" s="205" t="s">
        <v>4293</v>
      </c>
      <c r="AI43" s="205" t="s">
        <v>3794</v>
      </c>
      <c r="AJ43" s="205">
        <v>53</v>
      </c>
    </row>
    <row r="44" spans="1:36">
      <c r="AH44" s="205" t="s">
        <v>4294</v>
      </c>
      <c r="AI44" s="205" t="s">
        <v>3793</v>
      </c>
      <c r="AJ44" s="205">
        <v>54</v>
      </c>
    </row>
    <row r="45" spans="1:36">
      <c r="AH45" s="205" t="s">
        <v>4295</v>
      </c>
      <c r="AI45" s="205" t="s">
        <v>3794</v>
      </c>
      <c r="AJ45" s="205">
        <v>55</v>
      </c>
    </row>
    <row r="46" spans="1:36">
      <c r="AH46" s="205" t="s">
        <v>4296</v>
      </c>
      <c r="AI46" s="205" t="s">
        <v>3794</v>
      </c>
      <c r="AJ46" s="205">
        <v>56</v>
      </c>
    </row>
    <row r="47" spans="1:36">
      <c r="AH47" s="205" t="s">
        <v>3198</v>
      </c>
      <c r="AI47" s="205" t="s">
        <v>3794</v>
      </c>
      <c r="AJ47" s="205">
        <v>57</v>
      </c>
    </row>
    <row r="48" spans="1:36">
      <c r="AH48" s="205" t="s">
        <v>4297</v>
      </c>
      <c r="AI48" s="205" t="s">
        <v>3794</v>
      </c>
      <c r="AJ48" s="205">
        <v>58</v>
      </c>
    </row>
    <row r="49" spans="34:36">
      <c r="AH49" s="205" t="s">
        <v>4298</v>
      </c>
      <c r="AI49" s="205" t="s">
        <v>3793</v>
      </c>
      <c r="AJ49" s="205">
        <v>59</v>
      </c>
    </row>
    <row r="51" spans="34:36">
      <c r="AH51" s="203">
        <f>COLUMN()</f>
        <v>34</v>
      </c>
      <c r="AI51" s="203">
        <f>COLUMN()</f>
        <v>35</v>
      </c>
      <c r="AJ51" s="203">
        <f>COLUMN()</f>
        <v>36</v>
      </c>
    </row>
    <row r="52" spans="34:36">
      <c r="AH52"/>
    </row>
    <row r="53" spans="34:36">
      <c r="AH53"/>
    </row>
    <row r="54" spans="34:36">
      <c r="AH54"/>
    </row>
    <row r="55" spans="34:36">
      <c r="AH55"/>
    </row>
    <row r="56" spans="34:36">
      <c r="AH56"/>
    </row>
    <row r="57" spans="34:36">
      <c r="AH57"/>
    </row>
  </sheetData>
  <sheetProtection selectLockedCells="1" selectUnlockedCells="1"/>
  <mergeCells count="3">
    <mergeCell ref="A1:I1"/>
    <mergeCell ref="K1:S1"/>
    <mergeCell ref="AL1:AT1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C10453"/>
  <sheetViews>
    <sheetView zoomScale="60" zoomScaleNormal="60" workbookViewId="0"/>
  </sheetViews>
  <sheetFormatPr defaultRowHeight="12.75"/>
  <cols>
    <col min="1" max="1" width="151" style="1" customWidth="1"/>
    <col min="2" max="2" width="9.140625" style="1"/>
    <col min="3" max="3" width="28.140625" style="1" customWidth="1"/>
    <col min="4" max="16384" width="9.140625" style="1"/>
  </cols>
  <sheetData>
    <row r="1" spans="1:3" ht="409.5">
      <c r="A1" s="17" t="s">
        <v>5043</v>
      </c>
      <c r="C1" s="17"/>
    </row>
    <row r="249" spans="1:1">
      <c r="A249" s="17"/>
    </row>
    <row r="263" spans="1:1">
      <c r="A263" s="17"/>
    </row>
    <row r="293" spans="1:1">
      <c r="A293" s="17"/>
    </row>
    <row r="307" spans="1:1">
      <c r="A307" s="17"/>
    </row>
    <row r="321" spans="1:1">
      <c r="A321" s="17"/>
    </row>
    <row r="335" spans="1:1">
      <c r="A335" s="17"/>
    </row>
    <row r="381" spans="1:1">
      <c r="A381" s="17"/>
    </row>
    <row r="395" spans="1:1">
      <c r="A395" s="17"/>
    </row>
    <row r="409" spans="1:1">
      <c r="A409" s="17"/>
    </row>
    <row r="423" spans="1:1">
      <c r="A423" s="17"/>
    </row>
    <row r="439" spans="1:1">
      <c r="A439" s="17"/>
    </row>
    <row r="453" spans="1:1">
      <c r="A453" s="17"/>
    </row>
    <row r="568" spans="1:1">
      <c r="A568" s="17"/>
    </row>
    <row r="602" spans="1:1">
      <c r="A602" s="17"/>
    </row>
    <row r="629" spans="1:1">
      <c r="A629" s="17"/>
    </row>
    <row r="643" spans="1:1">
      <c r="A643" s="17"/>
    </row>
    <row r="655" spans="1:1">
      <c r="A655" s="17"/>
    </row>
    <row r="667" spans="1:1">
      <c r="A667" s="17"/>
    </row>
    <row r="680" spans="1:1">
      <c r="A680" s="17"/>
    </row>
    <row r="692" spans="1:1">
      <c r="A692" s="17"/>
    </row>
    <row r="709" spans="1:1">
      <c r="A709" s="17"/>
    </row>
    <row r="722" spans="1:1">
      <c r="A722" s="17"/>
    </row>
    <row r="734" spans="1:1">
      <c r="A734" s="17"/>
    </row>
    <row r="746" spans="1:1">
      <c r="A746" s="17"/>
    </row>
    <row r="759" spans="1:1">
      <c r="A759" s="17"/>
    </row>
    <row r="771" spans="1:1">
      <c r="A771" s="17"/>
    </row>
    <row r="783" spans="1:1">
      <c r="A783" s="17"/>
    </row>
    <row r="796" spans="1:1">
      <c r="A796" s="17"/>
    </row>
    <row r="808" spans="1:1">
      <c r="A808" s="17"/>
    </row>
    <row r="820" spans="1:1">
      <c r="A820" s="17"/>
    </row>
    <row r="832" spans="1:1">
      <c r="A832" s="17"/>
    </row>
    <row r="845" spans="1:1">
      <c r="A845" s="17"/>
    </row>
    <row r="858" spans="1:1">
      <c r="A858" s="17"/>
    </row>
    <row r="859" spans="1:1">
      <c r="A859" s="1" t="s">
        <v>8</v>
      </c>
    </row>
    <row r="860" spans="1:1">
      <c r="A860" s="1" t="s">
        <v>8</v>
      </c>
    </row>
    <row r="861" spans="1:1">
      <c r="A861" s="1" t="s">
        <v>9</v>
      </c>
    </row>
    <row r="862" spans="1:1">
      <c r="A862" s="1" t="s">
        <v>9</v>
      </c>
    </row>
    <row r="863" spans="1:1">
      <c r="A863" s="1" t="s">
        <v>9</v>
      </c>
    </row>
    <row r="864" spans="1:1">
      <c r="A864" s="1" t="s">
        <v>9</v>
      </c>
    </row>
    <row r="865" spans="1:1">
      <c r="A865" s="1" t="s">
        <v>8</v>
      </c>
    </row>
    <row r="866" spans="1:1">
      <c r="A866" s="1" t="s">
        <v>8</v>
      </c>
    </row>
    <row r="867" spans="1:1">
      <c r="A867" s="1" t="s">
        <v>8</v>
      </c>
    </row>
    <row r="868" spans="1:1">
      <c r="A868" s="1" t="s">
        <v>9</v>
      </c>
    </row>
    <row r="869" spans="1:1">
      <c r="A869" s="1" t="s">
        <v>9</v>
      </c>
    </row>
    <row r="870" spans="1:1">
      <c r="A870" s="1" t="s">
        <v>9</v>
      </c>
    </row>
    <row r="871" spans="1:1">
      <c r="A871" s="1" t="s">
        <v>9</v>
      </c>
    </row>
    <row r="872" spans="1:1">
      <c r="A872" s="1" t="s">
        <v>8</v>
      </c>
    </row>
    <row r="873" spans="1:1">
      <c r="A873" s="1" t="s">
        <v>8</v>
      </c>
    </row>
    <row r="874" spans="1:1">
      <c r="A874" s="1" t="s">
        <v>8</v>
      </c>
    </row>
    <row r="875" spans="1:1">
      <c r="A875" s="1" t="s">
        <v>9</v>
      </c>
    </row>
    <row r="876" spans="1:1">
      <c r="A876" s="1" t="s">
        <v>9</v>
      </c>
    </row>
    <row r="877" spans="1:1">
      <c r="A877" s="1" t="s">
        <v>9</v>
      </c>
    </row>
    <row r="878" spans="1:1">
      <c r="A878" s="1" t="s">
        <v>9</v>
      </c>
    </row>
    <row r="879" spans="1:1">
      <c r="A879" s="1" t="s">
        <v>8</v>
      </c>
    </row>
    <row r="880" spans="1:1">
      <c r="A880" s="1" t="s">
        <v>8</v>
      </c>
    </row>
    <row r="881" spans="1:1">
      <c r="A881" s="1" t="s">
        <v>8</v>
      </c>
    </row>
    <row r="882" spans="1:1">
      <c r="A882" s="1" t="s">
        <v>9</v>
      </c>
    </row>
    <row r="883" spans="1:1">
      <c r="A883" s="1" t="s">
        <v>9</v>
      </c>
    </row>
    <row r="884" spans="1:1">
      <c r="A884" s="1" t="s">
        <v>9</v>
      </c>
    </row>
    <row r="885" spans="1:1">
      <c r="A885" s="1" t="s">
        <v>9</v>
      </c>
    </row>
    <row r="886" spans="1:1">
      <c r="A886" s="1" t="s">
        <v>8</v>
      </c>
    </row>
    <row r="887" spans="1:1">
      <c r="A887" s="1" t="s">
        <v>10</v>
      </c>
    </row>
    <row r="888" spans="1:1">
      <c r="A888" s="1" t="s">
        <v>10</v>
      </c>
    </row>
    <row r="889" spans="1:1">
      <c r="A889" s="1" t="s">
        <v>11</v>
      </c>
    </row>
    <row r="890" spans="1:1">
      <c r="A890" s="1" t="s">
        <v>11</v>
      </c>
    </row>
    <row r="891" spans="1:1">
      <c r="A891" s="1" t="s">
        <v>11</v>
      </c>
    </row>
    <row r="892" spans="1:1">
      <c r="A892" s="1" t="s">
        <v>11</v>
      </c>
    </row>
    <row r="893" spans="1:1">
      <c r="A893" s="1" t="s">
        <v>10</v>
      </c>
    </row>
    <row r="894" spans="1:1">
      <c r="A894" s="1" t="s">
        <v>10</v>
      </c>
    </row>
    <row r="895" spans="1:1">
      <c r="A895" s="1" t="s">
        <v>10</v>
      </c>
    </row>
    <row r="896" spans="1:1">
      <c r="A896" s="1" t="s">
        <v>11</v>
      </c>
    </row>
    <row r="897" spans="1:1">
      <c r="A897" s="1" t="s">
        <v>11</v>
      </c>
    </row>
    <row r="898" spans="1:1">
      <c r="A898" s="1" t="s">
        <v>11</v>
      </c>
    </row>
    <row r="899" spans="1:1">
      <c r="A899" s="1" t="s">
        <v>11</v>
      </c>
    </row>
    <row r="900" spans="1:1">
      <c r="A900" s="1" t="s">
        <v>10</v>
      </c>
    </row>
    <row r="901" spans="1:1">
      <c r="A901" s="1" t="s">
        <v>10</v>
      </c>
    </row>
    <row r="902" spans="1:1">
      <c r="A902" s="1" t="s">
        <v>10</v>
      </c>
    </row>
    <row r="903" spans="1:1">
      <c r="A903" s="1" t="s">
        <v>11</v>
      </c>
    </row>
    <row r="904" spans="1:1">
      <c r="A904" s="1" t="s">
        <v>11</v>
      </c>
    </row>
    <row r="905" spans="1:1">
      <c r="A905" s="1" t="s">
        <v>11</v>
      </c>
    </row>
    <row r="906" spans="1:1">
      <c r="A906" s="1" t="s">
        <v>11</v>
      </c>
    </row>
    <row r="907" spans="1:1">
      <c r="A907" s="1" t="s">
        <v>10</v>
      </c>
    </row>
    <row r="908" spans="1:1">
      <c r="A908" s="1" t="s">
        <v>10</v>
      </c>
    </row>
    <row r="909" spans="1:1">
      <c r="A909" s="1" t="s">
        <v>10</v>
      </c>
    </row>
    <row r="910" spans="1:1">
      <c r="A910" s="1" t="s">
        <v>11</v>
      </c>
    </row>
    <row r="911" spans="1:1">
      <c r="A911" s="1" t="s">
        <v>11</v>
      </c>
    </row>
    <row r="912" spans="1:1">
      <c r="A912" s="1" t="s">
        <v>11</v>
      </c>
    </row>
    <row r="913" spans="1:1">
      <c r="A913" s="1" t="s">
        <v>11</v>
      </c>
    </row>
    <row r="914" spans="1:1">
      <c r="A914" s="1" t="s">
        <v>10</v>
      </c>
    </row>
    <row r="915" spans="1:1">
      <c r="A915" s="1" t="s">
        <v>12</v>
      </c>
    </row>
    <row r="916" spans="1:1">
      <c r="A916" s="1" t="s">
        <v>12</v>
      </c>
    </row>
    <row r="917" spans="1:1">
      <c r="A917" s="1" t="s">
        <v>13</v>
      </c>
    </row>
    <row r="918" spans="1:1">
      <c r="A918" s="1" t="s">
        <v>13</v>
      </c>
    </row>
    <row r="919" spans="1:1">
      <c r="A919" s="1" t="s">
        <v>13</v>
      </c>
    </row>
    <row r="920" spans="1:1">
      <c r="A920" s="1" t="s">
        <v>13</v>
      </c>
    </row>
    <row r="921" spans="1:1">
      <c r="A921" s="1" t="s">
        <v>12</v>
      </c>
    </row>
    <row r="922" spans="1:1">
      <c r="A922" s="1" t="s">
        <v>12</v>
      </c>
    </row>
    <row r="923" spans="1:1">
      <c r="A923" s="1" t="s">
        <v>12</v>
      </c>
    </row>
    <row r="924" spans="1:1">
      <c r="A924" s="1" t="s">
        <v>13</v>
      </c>
    </row>
    <row r="925" spans="1:1">
      <c r="A925" s="1" t="s">
        <v>13</v>
      </c>
    </row>
    <row r="926" spans="1:1">
      <c r="A926" s="1" t="s">
        <v>13</v>
      </c>
    </row>
    <row r="927" spans="1:1">
      <c r="A927" s="1" t="s">
        <v>13</v>
      </c>
    </row>
    <row r="928" spans="1:1">
      <c r="A928" s="1" t="s">
        <v>12</v>
      </c>
    </row>
    <row r="929" spans="1:1">
      <c r="A929" s="1" t="s">
        <v>12</v>
      </c>
    </row>
    <row r="930" spans="1:1">
      <c r="A930" s="1" t="s">
        <v>12</v>
      </c>
    </row>
    <row r="931" spans="1:1">
      <c r="A931" s="1" t="s">
        <v>13</v>
      </c>
    </row>
    <row r="932" spans="1:1">
      <c r="A932" s="1" t="s">
        <v>13</v>
      </c>
    </row>
    <row r="933" spans="1:1">
      <c r="A933" s="1" t="s">
        <v>13</v>
      </c>
    </row>
    <row r="934" spans="1:1">
      <c r="A934" s="1" t="s">
        <v>13</v>
      </c>
    </row>
    <row r="935" spans="1:1">
      <c r="A935" s="1" t="s">
        <v>12</v>
      </c>
    </row>
    <row r="936" spans="1:1">
      <c r="A936" s="1" t="s">
        <v>12</v>
      </c>
    </row>
    <row r="937" spans="1:1">
      <c r="A937" s="1" t="s">
        <v>12</v>
      </c>
    </row>
    <row r="938" spans="1:1">
      <c r="A938" s="1" t="s">
        <v>13</v>
      </c>
    </row>
    <row r="939" spans="1:1">
      <c r="A939" s="1" t="s">
        <v>13</v>
      </c>
    </row>
    <row r="940" spans="1:1">
      <c r="A940" s="1" t="s">
        <v>13</v>
      </c>
    </row>
    <row r="941" spans="1:1">
      <c r="A941" s="1" t="s">
        <v>13</v>
      </c>
    </row>
    <row r="942" spans="1:1">
      <c r="A942" s="1" t="s">
        <v>12</v>
      </c>
    </row>
    <row r="943" spans="1:1">
      <c r="A943" s="1" t="s">
        <v>14</v>
      </c>
    </row>
    <row r="944" spans="1:1">
      <c r="A944" s="1" t="s">
        <v>15</v>
      </c>
    </row>
    <row r="945" spans="1:1">
      <c r="A945" s="1" t="s">
        <v>16</v>
      </c>
    </row>
    <row r="946" spans="1:1">
      <c r="A946" s="1" t="s">
        <v>17</v>
      </c>
    </row>
    <row r="947" spans="1:1">
      <c r="A947" s="1" t="s">
        <v>18</v>
      </c>
    </row>
    <row r="948" spans="1:1">
      <c r="A948" s="1" t="s">
        <v>19</v>
      </c>
    </row>
    <row r="949" spans="1:1">
      <c r="A949" s="1" t="s">
        <v>20</v>
      </c>
    </row>
    <row r="950" spans="1:1">
      <c r="A950" s="1" t="s">
        <v>21</v>
      </c>
    </row>
    <row r="951" spans="1:1">
      <c r="A951" s="1" t="s">
        <v>22</v>
      </c>
    </row>
    <row r="952" spans="1:1">
      <c r="A952" s="1" t="s">
        <v>23</v>
      </c>
    </row>
    <row r="953" spans="1:1">
      <c r="A953" s="1" t="s">
        <v>24</v>
      </c>
    </row>
    <row r="954" spans="1:1">
      <c r="A954" s="1" t="s">
        <v>25</v>
      </c>
    </row>
    <row r="955" spans="1:1">
      <c r="A955" s="1" t="s">
        <v>26</v>
      </c>
    </row>
    <row r="956" spans="1:1">
      <c r="A956" s="1" t="s">
        <v>27</v>
      </c>
    </row>
    <row r="957" spans="1:1">
      <c r="A957" s="1" t="s">
        <v>26</v>
      </c>
    </row>
    <row r="958" spans="1:1">
      <c r="A958" s="1" t="s">
        <v>27</v>
      </c>
    </row>
    <row r="959" spans="1:1">
      <c r="A959" s="1" t="s">
        <v>28</v>
      </c>
    </row>
    <row r="960" spans="1:1">
      <c r="A960" s="1" t="s">
        <v>29</v>
      </c>
    </row>
    <row r="961" spans="1:1">
      <c r="A961" s="1" t="s">
        <v>28</v>
      </c>
    </row>
    <row r="962" spans="1:1">
      <c r="A962" s="1" t="s">
        <v>29</v>
      </c>
    </row>
    <row r="963" spans="1:1">
      <c r="A963" s="1" t="s">
        <v>28</v>
      </c>
    </row>
    <row r="964" spans="1:1">
      <c r="A964" s="1" t="s">
        <v>29</v>
      </c>
    </row>
    <row r="965" spans="1:1">
      <c r="A965" s="1" t="s">
        <v>30</v>
      </c>
    </row>
    <row r="966" spans="1:1">
      <c r="A966" s="1" t="s">
        <v>31</v>
      </c>
    </row>
    <row r="967" spans="1:1">
      <c r="A967" s="1" t="s">
        <v>32</v>
      </c>
    </row>
    <row r="968" spans="1:1">
      <c r="A968" s="1" t="s">
        <v>33</v>
      </c>
    </row>
    <row r="969" spans="1:1">
      <c r="A969" s="1" t="s">
        <v>32</v>
      </c>
    </row>
    <row r="970" spans="1:1">
      <c r="A970" s="1" t="s">
        <v>33</v>
      </c>
    </row>
    <row r="971" spans="1:1">
      <c r="A971" s="1" t="s">
        <v>34</v>
      </c>
    </row>
    <row r="972" spans="1:1">
      <c r="A972" s="1" t="s">
        <v>35</v>
      </c>
    </row>
    <row r="973" spans="1:1">
      <c r="A973" s="1" t="s">
        <v>36</v>
      </c>
    </row>
    <row r="974" spans="1:1">
      <c r="A974" s="1" t="s">
        <v>37</v>
      </c>
    </row>
    <row r="975" spans="1:1">
      <c r="A975" s="1" t="s">
        <v>38</v>
      </c>
    </row>
    <row r="976" spans="1:1">
      <c r="A976" s="1" t="s">
        <v>39</v>
      </c>
    </row>
    <row r="977" spans="1:1" ht="51">
      <c r="A977" s="17" t="s">
        <v>40</v>
      </c>
    </row>
    <row r="978" spans="1:1">
      <c r="A978" s="1" t="s">
        <v>41</v>
      </c>
    </row>
    <row r="979" spans="1:1">
      <c r="A979" s="1" t="s">
        <v>42</v>
      </c>
    </row>
    <row r="980" spans="1:1">
      <c r="A980" s="1" t="s">
        <v>43</v>
      </c>
    </row>
    <row r="981" spans="1:1">
      <c r="A981" s="1" t="s">
        <v>44</v>
      </c>
    </row>
    <row r="982" spans="1:1">
      <c r="A982" s="1" t="s">
        <v>45</v>
      </c>
    </row>
    <row r="983" spans="1:1">
      <c r="A983" s="1" t="s">
        <v>46</v>
      </c>
    </row>
    <row r="984" spans="1:1">
      <c r="A984" s="1" t="s">
        <v>47</v>
      </c>
    </row>
    <row r="985" spans="1:1">
      <c r="A985" s="1" t="s">
        <v>48</v>
      </c>
    </row>
    <row r="986" spans="1:1">
      <c r="A986" s="1" t="s">
        <v>49</v>
      </c>
    </row>
    <row r="987" spans="1:1">
      <c r="A987" s="1" t="s">
        <v>50</v>
      </c>
    </row>
    <row r="988" spans="1:1">
      <c r="A988" s="1" t="s">
        <v>51</v>
      </c>
    </row>
    <row r="989" spans="1:1" ht="51">
      <c r="A989" s="17" t="s">
        <v>52</v>
      </c>
    </row>
    <row r="990" spans="1:1">
      <c r="A990" s="1" t="s">
        <v>53</v>
      </c>
    </row>
    <row r="991" spans="1:1">
      <c r="A991" s="1" t="s">
        <v>54</v>
      </c>
    </row>
    <row r="992" spans="1:1">
      <c r="A992" s="1" t="s">
        <v>55</v>
      </c>
    </row>
    <row r="993" spans="1:1">
      <c r="A993" s="1" t="s">
        <v>56</v>
      </c>
    </row>
    <row r="994" spans="1:1">
      <c r="A994" s="1" t="s">
        <v>57</v>
      </c>
    </row>
    <row r="995" spans="1:1">
      <c r="A995" s="1" t="s">
        <v>58</v>
      </c>
    </row>
    <row r="996" spans="1:1">
      <c r="A996" s="1" t="s">
        <v>59</v>
      </c>
    </row>
    <row r="997" spans="1:1">
      <c r="A997" s="1" t="s">
        <v>60</v>
      </c>
    </row>
    <row r="998" spans="1:1">
      <c r="A998" s="1" t="s">
        <v>61</v>
      </c>
    </row>
    <row r="999" spans="1:1">
      <c r="A999" s="1" t="s">
        <v>62</v>
      </c>
    </row>
    <row r="1000" spans="1:1">
      <c r="A1000" s="1" t="s">
        <v>63</v>
      </c>
    </row>
    <row r="1001" spans="1:1">
      <c r="A1001" s="1" t="s">
        <v>64</v>
      </c>
    </row>
    <row r="1002" spans="1:1">
      <c r="A1002" s="1" t="s">
        <v>65</v>
      </c>
    </row>
    <row r="1003" spans="1:1">
      <c r="A1003" s="1" t="s">
        <v>66</v>
      </c>
    </row>
    <row r="1004" spans="1:1">
      <c r="A1004" s="1" t="s">
        <v>67</v>
      </c>
    </row>
    <row r="1005" spans="1:1" ht="51">
      <c r="A1005" s="17" t="s">
        <v>68</v>
      </c>
    </row>
    <row r="1006" spans="1:1">
      <c r="A1006" s="1" t="s">
        <v>69</v>
      </c>
    </row>
    <row r="1007" spans="1:1">
      <c r="A1007" s="1" t="s">
        <v>70</v>
      </c>
    </row>
    <row r="1008" spans="1:1">
      <c r="A1008" s="1" t="s">
        <v>71</v>
      </c>
    </row>
    <row r="1009" spans="1:1">
      <c r="A1009" s="1" t="s">
        <v>72</v>
      </c>
    </row>
    <row r="1010" spans="1:1">
      <c r="A1010" s="1" t="s">
        <v>73</v>
      </c>
    </row>
    <row r="1011" spans="1:1">
      <c r="A1011" s="1" t="s">
        <v>74</v>
      </c>
    </row>
    <row r="1012" spans="1:1">
      <c r="A1012" s="1" t="s">
        <v>75</v>
      </c>
    </row>
    <row r="1013" spans="1:1">
      <c r="A1013" s="1" t="s">
        <v>76</v>
      </c>
    </row>
    <row r="1014" spans="1:1">
      <c r="A1014" s="1" t="s">
        <v>77</v>
      </c>
    </row>
    <row r="1015" spans="1:1">
      <c r="A1015" s="1" t="s">
        <v>78</v>
      </c>
    </row>
    <row r="1016" spans="1:1">
      <c r="A1016" s="1" t="s">
        <v>79</v>
      </c>
    </row>
    <row r="1017" spans="1:1" ht="51">
      <c r="A1017" s="17" t="s">
        <v>80</v>
      </c>
    </row>
    <row r="1018" spans="1:1">
      <c r="A1018" s="1" t="s">
        <v>81</v>
      </c>
    </row>
    <row r="1019" spans="1:1">
      <c r="A1019" s="1" t="s">
        <v>82</v>
      </c>
    </row>
    <row r="1020" spans="1:1">
      <c r="A1020" s="1" t="s">
        <v>83</v>
      </c>
    </row>
    <row r="1021" spans="1:1">
      <c r="A1021" s="1" t="s">
        <v>84</v>
      </c>
    </row>
    <row r="1022" spans="1:1">
      <c r="A1022" s="1" t="s">
        <v>84</v>
      </c>
    </row>
    <row r="1023" spans="1:1">
      <c r="A1023" s="1" t="s">
        <v>85</v>
      </c>
    </row>
    <row r="1024" spans="1:1">
      <c r="A1024" s="1" t="s">
        <v>85</v>
      </c>
    </row>
    <row r="1025" spans="1:1">
      <c r="A1025" s="1" t="s">
        <v>85</v>
      </c>
    </row>
    <row r="1026" spans="1:1">
      <c r="A1026" s="1" t="s">
        <v>85</v>
      </c>
    </row>
    <row r="1027" spans="1:1">
      <c r="A1027" s="1" t="s">
        <v>84</v>
      </c>
    </row>
    <row r="1028" spans="1:1">
      <c r="A1028" s="1" t="s">
        <v>84</v>
      </c>
    </row>
    <row r="1029" spans="1:1">
      <c r="A1029" s="1" t="s">
        <v>84</v>
      </c>
    </row>
    <row r="1030" spans="1:1">
      <c r="A1030" s="1" t="s">
        <v>85</v>
      </c>
    </row>
    <row r="1031" spans="1:1">
      <c r="A1031" s="1" t="s">
        <v>85</v>
      </c>
    </row>
    <row r="1032" spans="1:1">
      <c r="A1032" s="1" t="s">
        <v>85</v>
      </c>
    </row>
    <row r="1033" spans="1:1">
      <c r="A1033" s="1" t="s">
        <v>85</v>
      </c>
    </row>
    <row r="1034" spans="1:1">
      <c r="A1034" s="1" t="s">
        <v>84</v>
      </c>
    </row>
    <row r="1035" spans="1:1">
      <c r="A1035" s="1" t="s">
        <v>84</v>
      </c>
    </row>
    <row r="1036" spans="1:1">
      <c r="A1036" s="1" t="s">
        <v>84</v>
      </c>
    </row>
    <row r="1037" spans="1:1">
      <c r="A1037" s="1" t="s">
        <v>85</v>
      </c>
    </row>
    <row r="1038" spans="1:1">
      <c r="A1038" s="1" t="s">
        <v>85</v>
      </c>
    </row>
    <row r="1039" spans="1:1">
      <c r="A1039" s="1" t="s">
        <v>85</v>
      </c>
    </row>
    <row r="1040" spans="1:1">
      <c r="A1040" s="1" t="s">
        <v>85</v>
      </c>
    </row>
    <row r="1041" spans="1:1">
      <c r="A1041" s="1" t="s">
        <v>84</v>
      </c>
    </row>
    <row r="1042" spans="1:1">
      <c r="A1042" s="1" t="s">
        <v>84</v>
      </c>
    </row>
    <row r="1043" spans="1:1">
      <c r="A1043" s="1" t="s">
        <v>84</v>
      </c>
    </row>
    <row r="1044" spans="1:1">
      <c r="A1044" s="1" t="s">
        <v>85</v>
      </c>
    </row>
    <row r="1045" spans="1:1">
      <c r="A1045" s="1" t="s">
        <v>85</v>
      </c>
    </row>
    <row r="1046" spans="1:1">
      <c r="A1046" s="1" t="s">
        <v>85</v>
      </c>
    </row>
    <row r="1047" spans="1:1">
      <c r="A1047" s="1" t="s">
        <v>85</v>
      </c>
    </row>
    <row r="1048" spans="1:1">
      <c r="A1048" s="1" t="s">
        <v>84</v>
      </c>
    </row>
    <row r="1049" spans="1:1">
      <c r="A1049" s="1" t="s">
        <v>86</v>
      </c>
    </row>
    <row r="1050" spans="1:1">
      <c r="A1050" s="1" t="s">
        <v>86</v>
      </c>
    </row>
    <row r="1051" spans="1:1">
      <c r="A1051" s="1" t="s">
        <v>87</v>
      </c>
    </row>
    <row r="1052" spans="1:1">
      <c r="A1052" s="1" t="s">
        <v>87</v>
      </c>
    </row>
    <row r="1053" spans="1:1">
      <c r="A1053" s="1" t="s">
        <v>87</v>
      </c>
    </row>
    <row r="1054" spans="1:1">
      <c r="A1054" s="1" t="s">
        <v>87</v>
      </c>
    </row>
    <row r="1055" spans="1:1">
      <c r="A1055" s="1" t="s">
        <v>86</v>
      </c>
    </row>
    <row r="1056" spans="1:1">
      <c r="A1056" s="1" t="s">
        <v>86</v>
      </c>
    </row>
    <row r="1057" spans="1:1">
      <c r="A1057" s="1" t="s">
        <v>86</v>
      </c>
    </row>
    <row r="1058" spans="1:1">
      <c r="A1058" s="1" t="s">
        <v>87</v>
      </c>
    </row>
    <row r="1059" spans="1:1">
      <c r="A1059" s="1" t="s">
        <v>87</v>
      </c>
    </row>
    <row r="1060" spans="1:1">
      <c r="A1060" s="1" t="s">
        <v>87</v>
      </c>
    </row>
    <row r="1061" spans="1:1">
      <c r="A1061" s="1" t="s">
        <v>87</v>
      </c>
    </row>
    <row r="1062" spans="1:1">
      <c r="A1062" s="1" t="s">
        <v>86</v>
      </c>
    </row>
    <row r="1063" spans="1:1">
      <c r="A1063" s="1" t="s">
        <v>86</v>
      </c>
    </row>
    <row r="1064" spans="1:1">
      <c r="A1064" s="1" t="s">
        <v>86</v>
      </c>
    </row>
    <row r="1065" spans="1:1">
      <c r="A1065" s="1" t="s">
        <v>87</v>
      </c>
    </row>
    <row r="1066" spans="1:1">
      <c r="A1066" s="1" t="s">
        <v>87</v>
      </c>
    </row>
    <row r="1067" spans="1:1">
      <c r="A1067" s="1" t="s">
        <v>87</v>
      </c>
    </row>
    <row r="1068" spans="1:1">
      <c r="A1068" s="1" t="s">
        <v>87</v>
      </c>
    </row>
    <row r="1069" spans="1:1">
      <c r="A1069" s="1" t="s">
        <v>86</v>
      </c>
    </row>
    <row r="1070" spans="1:1">
      <c r="A1070" s="1" t="s">
        <v>86</v>
      </c>
    </row>
    <row r="1071" spans="1:1">
      <c r="A1071" s="1" t="s">
        <v>86</v>
      </c>
    </row>
    <row r="1072" spans="1:1">
      <c r="A1072" s="1" t="s">
        <v>87</v>
      </c>
    </row>
    <row r="1073" spans="1:1">
      <c r="A1073" s="1" t="s">
        <v>87</v>
      </c>
    </row>
    <row r="1074" spans="1:1">
      <c r="A1074" s="1" t="s">
        <v>87</v>
      </c>
    </row>
    <row r="1075" spans="1:1">
      <c r="A1075" s="1" t="s">
        <v>87</v>
      </c>
    </row>
    <row r="1076" spans="1:1">
      <c r="A1076" s="1" t="s">
        <v>86</v>
      </c>
    </row>
    <row r="1077" spans="1:1">
      <c r="A1077" s="1" t="s">
        <v>88</v>
      </c>
    </row>
    <row r="1078" spans="1:1">
      <c r="A1078" s="1" t="s">
        <v>88</v>
      </c>
    </row>
    <row r="1079" spans="1:1">
      <c r="A1079" s="1" t="s">
        <v>89</v>
      </c>
    </row>
    <row r="1080" spans="1:1">
      <c r="A1080" s="1" t="s">
        <v>89</v>
      </c>
    </row>
    <row r="1081" spans="1:1">
      <c r="A1081" s="1" t="s">
        <v>89</v>
      </c>
    </row>
    <row r="1082" spans="1:1">
      <c r="A1082" s="1" t="s">
        <v>89</v>
      </c>
    </row>
    <row r="1083" spans="1:1">
      <c r="A1083" s="1" t="s">
        <v>88</v>
      </c>
    </row>
    <row r="1084" spans="1:1">
      <c r="A1084" s="1" t="s">
        <v>88</v>
      </c>
    </row>
    <row r="1085" spans="1:1">
      <c r="A1085" s="1" t="s">
        <v>88</v>
      </c>
    </row>
    <row r="1086" spans="1:1">
      <c r="A1086" s="1" t="s">
        <v>89</v>
      </c>
    </row>
    <row r="1087" spans="1:1">
      <c r="A1087" s="1" t="s">
        <v>89</v>
      </c>
    </row>
    <row r="1088" spans="1:1">
      <c r="A1088" s="1" t="s">
        <v>89</v>
      </c>
    </row>
    <row r="1089" spans="1:1">
      <c r="A1089" s="1" t="s">
        <v>89</v>
      </c>
    </row>
    <row r="1090" spans="1:1">
      <c r="A1090" s="1" t="s">
        <v>88</v>
      </c>
    </row>
    <row r="1091" spans="1:1">
      <c r="A1091" s="1" t="s">
        <v>88</v>
      </c>
    </row>
    <row r="1092" spans="1:1">
      <c r="A1092" s="1" t="s">
        <v>88</v>
      </c>
    </row>
    <row r="1093" spans="1:1">
      <c r="A1093" s="1" t="s">
        <v>89</v>
      </c>
    </row>
    <row r="1094" spans="1:1">
      <c r="A1094" s="1" t="s">
        <v>89</v>
      </c>
    </row>
    <row r="1095" spans="1:1">
      <c r="A1095" s="1" t="s">
        <v>89</v>
      </c>
    </row>
    <row r="1096" spans="1:1">
      <c r="A1096" s="1" t="s">
        <v>89</v>
      </c>
    </row>
    <row r="1097" spans="1:1">
      <c r="A1097" s="1" t="s">
        <v>88</v>
      </c>
    </row>
    <row r="1098" spans="1:1">
      <c r="A1098" s="1" t="s">
        <v>88</v>
      </c>
    </row>
    <row r="1099" spans="1:1">
      <c r="A1099" s="1" t="s">
        <v>88</v>
      </c>
    </row>
    <row r="1100" spans="1:1">
      <c r="A1100" s="1" t="s">
        <v>89</v>
      </c>
    </row>
    <row r="1101" spans="1:1">
      <c r="A1101" s="1" t="s">
        <v>89</v>
      </c>
    </row>
    <row r="1102" spans="1:1">
      <c r="A1102" s="1" t="s">
        <v>89</v>
      </c>
    </row>
    <row r="1103" spans="1:1">
      <c r="A1103" s="1" t="s">
        <v>89</v>
      </c>
    </row>
    <row r="1104" spans="1:1">
      <c r="A1104" s="1" t="s">
        <v>88</v>
      </c>
    </row>
    <row r="1105" spans="1:1">
      <c r="A1105" s="1" t="s">
        <v>90</v>
      </c>
    </row>
    <row r="1106" spans="1:1">
      <c r="A1106" s="1" t="s">
        <v>90</v>
      </c>
    </row>
    <row r="1107" spans="1:1">
      <c r="A1107" s="1" t="s">
        <v>91</v>
      </c>
    </row>
    <row r="1108" spans="1:1">
      <c r="A1108" s="1" t="s">
        <v>91</v>
      </c>
    </row>
    <row r="1109" spans="1:1">
      <c r="A1109" s="1" t="s">
        <v>91</v>
      </c>
    </row>
    <row r="1110" spans="1:1">
      <c r="A1110" s="1" t="s">
        <v>91</v>
      </c>
    </row>
    <row r="1111" spans="1:1">
      <c r="A1111" s="1" t="s">
        <v>90</v>
      </c>
    </row>
    <row r="1112" spans="1:1">
      <c r="A1112" s="1" t="s">
        <v>90</v>
      </c>
    </row>
    <row r="1113" spans="1:1">
      <c r="A1113" s="1" t="s">
        <v>90</v>
      </c>
    </row>
    <row r="1114" spans="1:1">
      <c r="A1114" s="1" t="s">
        <v>91</v>
      </c>
    </row>
    <row r="1115" spans="1:1">
      <c r="A1115" s="1" t="s">
        <v>91</v>
      </c>
    </row>
    <row r="1116" spans="1:1">
      <c r="A1116" s="1" t="s">
        <v>91</v>
      </c>
    </row>
    <row r="1117" spans="1:1">
      <c r="A1117" s="1" t="s">
        <v>91</v>
      </c>
    </row>
    <row r="1118" spans="1:1">
      <c r="A1118" s="1" t="s">
        <v>90</v>
      </c>
    </row>
    <row r="1119" spans="1:1">
      <c r="A1119" s="1" t="s">
        <v>90</v>
      </c>
    </row>
    <row r="1120" spans="1:1">
      <c r="A1120" s="1" t="s">
        <v>90</v>
      </c>
    </row>
    <row r="1121" spans="1:1">
      <c r="A1121" s="1" t="s">
        <v>91</v>
      </c>
    </row>
    <row r="1122" spans="1:1">
      <c r="A1122" s="1" t="s">
        <v>91</v>
      </c>
    </row>
    <row r="1123" spans="1:1">
      <c r="A1123" s="1" t="s">
        <v>91</v>
      </c>
    </row>
    <row r="1124" spans="1:1">
      <c r="A1124" s="1" t="s">
        <v>91</v>
      </c>
    </row>
    <row r="1125" spans="1:1">
      <c r="A1125" s="1" t="s">
        <v>90</v>
      </c>
    </row>
    <row r="1126" spans="1:1">
      <c r="A1126" s="1" t="s">
        <v>90</v>
      </c>
    </row>
    <row r="1127" spans="1:1">
      <c r="A1127" s="1" t="s">
        <v>90</v>
      </c>
    </row>
    <row r="1128" spans="1:1">
      <c r="A1128" s="1" t="s">
        <v>91</v>
      </c>
    </row>
    <row r="1129" spans="1:1">
      <c r="A1129" s="1" t="s">
        <v>91</v>
      </c>
    </row>
    <row r="1130" spans="1:1">
      <c r="A1130" s="1" t="s">
        <v>91</v>
      </c>
    </row>
    <row r="1131" spans="1:1">
      <c r="A1131" s="1" t="s">
        <v>91</v>
      </c>
    </row>
    <row r="1132" spans="1:1">
      <c r="A1132" s="1" t="s">
        <v>90</v>
      </c>
    </row>
    <row r="1133" spans="1:1">
      <c r="A1133" s="1" t="s">
        <v>92</v>
      </c>
    </row>
    <row r="1134" spans="1:1">
      <c r="A1134" s="1" t="s">
        <v>93</v>
      </c>
    </row>
    <row r="1135" spans="1:1">
      <c r="A1135" s="1" t="s">
        <v>94</v>
      </c>
    </row>
    <row r="1136" spans="1:1">
      <c r="A1136" s="1" t="s">
        <v>95</v>
      </c>
    </row>
    <row r="1137" spans="1:1">
      <c r="A1137" s="1" t="s">
        <v>96</v>
      </c>
    </row>
    <row r="1138" spans="1:1">
      <c r="A1138" s="1" t="s">
        <v>97</v>
      </c>
    </row>
    <row r="1139" spans="1:1">
      <c r="A1139" s="1" t="s">
        <v>98</v>
      </c>
    </row>
    <row r="1140" spans="1:1">
      <c r="A1140" s="1" t="s">
        <v>99</v>
      </c>
    </row>
    <row r="1141" spans="1:1" ht="51">
      <c r="A1141" s="17" t="s">
        <v>100</v>
      </c>
    </row>
    <row r="1142" spans="1:1">
      <c r="A1142" s="1" t="s">
        <v>101</v>
      </c>
    </row>
    <row r="1143" spans="1:1">
      <c r="A1143" s="1" t="s">
        <v>102</v>
      </c>
    </row>
    <row r="1144" spans="1:1">
      <c r="A1144" s="1" t="s">
        <v>103</v>
      </c>
    </row>
    <row r="1145" spans="1:1">
      <c r="A1145" s="1" t="s">
        <v>104</v>
      </c>
    </row>
    <row r="1146" spans="1:1">
      <c r="A1146" s="1" t="s">
        <v>105</v>
      </c>
    </row>
    <row r="1147" spans="1:1">
      <c r="A1147" s="1" t="s">
        <v>106</v>
      </c>
    </row>
    <row r="1148" spans="1:1">
      <c r="A1148" s="1" t="s">
        <v>107</v>
      </c>
    </row>
    <row r="1149" spans="1:1">
      <c r="A1149" s="1" t="s">
        <v>108</v>
      </c>
    </row>
    <row r="1150" spans="1:1">
      <c r="A1150" s="1" t="s">
        <v>109</v>
      </c>
    </row>
    <row r="1151" spans="1:1">
      <c r="A1151" s="1" t="s">
        <v>110</v>
      </c>
    </row>
    <row r="1152" spans="1:1">
      <c r="A1152" s="1" t="s">
        <v>111</v>
      </c>
    </row>
    <row r="1153" spans="1:1" ht="51">
      <c r="A1153" s="17" t="s">
        <v>112</v>
      </c>
    </row>
    <row r="1154" spans="1:1">
      <c r="A1154" s="1" t="s">
        <v>113</v>
      </c>
    </row>
    <row r="1155" spans="1:1">
      <c r="A1155" s="1" t="s">
        <v>114</v>
      </c>
    </row>
    <row r="1156" spans="1:1">
      <c r="A1156" s="1" t="s">
        <v>115</v>
      </c>
    </row>
    <row r="1157" spans="1:1">
      <c r="A1157" s="1" t="s">
        <v>116</v>
      </c>
    </row>
    <row r="1158" spans="1:1">
      <c r="A1158" s="1" t="s">
        <v>117</v>
      </c>
    </row>
    <row r="1159" spans="1:1">
      <c r="A1159" s="1" t="s">
        <v>118</v>
      </c>
    </row>
    <row r="1160" spans="1:1">
      <c r="A1160" s="1" t="s">
        <v>119</v>
      </c>
    </row>
    <row r="1161" spans="1:1">
      <c r="A1161" s="1" t="s">
        <v>120</v>
      </c>
    </row>
    <row r="1162" spans="1:1">
      <c r="A1162" s="1" t="s">
        <v>121</v>
      </c>
    </row>
    <row r="1163" spans="1:1">
      <c r="A1163" s="1" t="s">
        <v>122</v>
      </c>
    </row>
    <row r="1164" spans="1:1">
      <c r="A1164" s="1" t="s">
        <v>123</v>
      </c>
    </row>
    <row r="1165" spans="1:1" ht="51">
      <c r="A1165" s="17" t="s">
        <v>124</v>
      </c>
    </row>
    <row r="1166" spans="1:1">
      <c r="A1166" s="1" t="s">
        <v>125</v>
      </c>
    </row>
    <row r="1167" spans="1:1">
      <c r="A1167" s="1" t="s">
        <v>126</v>
      </c>
    </row>
    <row r="1168" spans="1:1">
      <c r="A1168" s="1" t="s">
        <v>127</v>
      </c>
    </row>
    <row r="1169" spans="1:1">
      <c r="A1169" s="1" t="s">
        <v>116</v>
      </c>
    </row>
    <row r="1170" spans="1:1">
      <c r="A1170" s="1" t="s">
        <v>117</v>
      </c>
    </row>
    <row r="1171" spans="1:1">
      <c r="A1171" s="1" t="s">
        <v>118</v>
      </c>
    </row>
    <row r="1172" spans="1:1">
      <c r="A1172" s="1" t="s">
        <v>119</v>
      </c>
    </row>
    <row r="1173" spans="1:1">
      <c r="A1173" s="1" t="s">
        <v>120</v>
      </c>
    </row>
    <row r="1174" spans="1:1">
      <c r="A1174" s="1" t="s">
        <v>128</v>
      </c>
    </row>
    <row r="1175" spans="1:1">
      <c r="A1175" s="1" t="s">
        <v>122</v>
      </c>
    </row>
    <row r="1176" spans="1:1">
      <c r="A1176" s="1" t="s">
        <v>123</v>
      </c>
    </row>
    <row r="1177" spans="1:1" ht="51">
      <c r="A1177" s="17" t="s">
        <v>124</v>
      </c>
    </row>
    <row r="1178" spans="1:1">
      <c r="A1178" s="1" t="s">
        <v>125</v>
      </c>
    </row>
    <row r="1179" spans="1:1">
      <c r="A1179" s="1" t="s">
        <v>126</v>
      </c>
    </row>
    <row r="1180" spans="1:1">
      <c r="A1180" s="1" t="s">
        <v>127</v>
      </c>
    </row>
    <row r="1181" spans="1:1">
      <c r="A1181" s="1" t="s">
        <v>129</v>
      </c>
    </row>
    <row r="1182" spans="1:1">
      <c r="A1182" s="1" t="s">
        <v>129</v>
      </c>
    </row>
    <row r="1183" spans="1:1">
      <c r="A1183" s="1" t="s">
        <v>130</v>
      </c>
    </row>
    <row r="1184" spans="1:1">
      <c r="A1184" s="1" t="s">
        <v>130</v>
      </c>
    </row>
    <row r="1185" spans="1:1">
      <c r="A1185" s="1" t="s">
        <v>130</v>
      </c>
    </row>
    <row r="1186" spans="1:1">
      <c r="A1186" s="1" t="s">
        <v>130</v>
      </c>
    </row>
    <row r="1187" spans="1:1">
      <c r="A1187" s="1" t="s">
        <v>129</v>
      </c>
    </row>
    <row r="1188" spans="1:1">
      <c r="A1188" s="1" t="s">
        <v>129</v>
      </c>
    </row>
    <row r="1189" spans="1:1">
      <c r="A1189" s="1" t="s">
        <v>129</v>
      </c>
    </row>
    <row r="1190" spans="1:1">
      <c r="A1190" s="1" t="s">
        <v>130</v>
      </c>
    </row>
    <row r="1191" spans="1:1">
      <c r="A1191" s="1" t="s">
        <v>130</v>
      </c>
    </row>
    <row r="1192" spans="1:1">
      <c r="A1192" s="1" t="s">
        <v>130</v>
      </c>
    </row>
    <row r="1193" spans="1:1">
      <c r="A1193" s="1" t="s">
        <v>130</v>
      </c>
    </row>
    <row r="1194" spans="1:1">
      <c r="A1194" s="1" t="s">
        <v>129</v>
      </c>
    </row>
    <row r="1195" spans="1:1">
      <c r="A1195" s="1" t="s">
        <v>129</v>
      </c>
    </row>
    <row r="1196" spans="1:1">
      <c r="A1196" s="1" t="s">
        <v>129</v>
      </c>
    </row>
    <row r="1197" spans="1:1">
      <c r="A1197" s="1" t="s">
        <v>130</v>
      </c>
    </row>
    <row r="1198" spans="1:1">
      <c r="A1198" s="1" t="s">
        <v>130</v>
      </c>
    </row>
    <row r="1199" spans="1:1">
      <c r="A1199" s="1" t="s">
        <v>130</v>
      </c>
    </row>
    <row r="1200" spans="1:1">
      <c r="A1200" s="1" t="s">
        <v>130</v>
      </c>
    </row>
    <row r="1201" spans="1:1">
      <c r="A1201" s="1" t="s">
        <v>129</v>
      </c>
    </row>
    <row r="1202" spans="1:1">
      <c r="A1202" s="1" t="s">
        <v>129</v>
      </c>
    </row>
    <row r="1203" spans="1:1">
      <c r="A1203" s="1" t="s">
        <v>129</v>
      </c>
    </row>
    <row r="1204" spans="1:1">
      <c r="A1204" s="1" t="s">
        <v>130</v>
      </c>
    </row>
    <row r="1205" spans="1:1">
      <c r="A1205" s="1" t="s">
        <v>130</v>
      </c>
    </row>
    <row r="1206" spans="1:1">
      <c r="A1206" s="1" t="s">
        <v>130</v>
      </c>
    </row>
    <row r="1207" spans="1:1">
      <c r="A1207" s="1" t="s">
        <v>130</v>
      </c>
    </row>
    <row r="1208" spans="1:1">
      <c r="A1208" s="1" t="s">
        <v>129</v>
      </c>
    </row>
    <row r="1209" spans="1:1">
      <c r="A1209" s="1" t="s">
        <v>131</v>
      </c>
    </row>
    <row r="1210" spans="1:1">
      <c r="A1210" s="1" t="s">
        <v>132</v>
      </c>
    </row>
    <row r="1211" spans="1:1">
      <c r="A1211" s="1" t="s">
        <v>133</v>
      </c>
    </row>
    <row r="1212" spans="1:1">
      <c r="A1212" s="1" t="s">
        <v>134</v>
      </c>
    </row>
    <row r="1213" spans="1:1">
      <c r="A1213" s="1" t="s">
        <v>135</v>
      </c>
    </row>
    <row r="1214" spans="1:1">
      <c r="A1214" s="1" t="s">
        <v>136</v>
      </c>
    </row>
    <row r="1215" spans="1:1">
      <c r="A1215" s="1" t="s">
        <v>137</v>
      </c>
    </row>
    <row r="1216" spans="1:1">
      <c r="A1216" s="1" t="s">
        <v>138</v>
      </c>
    </row>
    <row r="1217" spans="1:1" ht="51">
      <c r="A1217" s="17" t="s">
        <v>139</v>
      </c>
    </row>
    <row r="1218" spans="1:1">
      <c r="A1218" s="1" t="s">
        <v>140</v>
      </c>
    </row>
    <row r="1219" spans="1:1">
      <c r="A1219" s="1" t="s">
        <v>141</v>
      </c>
    </row>
    <row r="1220" spans="1:1">
      <c r="A1220" s="1" t="s">
        <v>142</v>
      </c>
    </row>
    <row r="1221" spans="1:1">
      <c r="A1221" s="1" t="s">
        <v>143</v>
      </c>
    </row>
    <row r="1222" spans="1:1">
      <c r="A1222" s="1" t="s">
        <v>143</v>
      </c>
    </row>
    <row r="1223" spans="1:1">
      <c r="A1223" s="1" t="s">
        <v>144</v>
      </c>
    </row>
    <row r="1224" spans="1:1">
      <c r="A1224" s="1" t="s">
        <v>144</v>
      </c>
    </row>
    <row r="1225" spans="1:1">
      <c r="A1225" s="1" t="s">
        <v>144</v>
      </c>
    </row>
    <row r="1226" spans="1:1">
      <c r="A1226" s="1" t="s">
        <v>144</v>
      </c>
    </row>
    <row r="1227" spans="1:1">
      <c r="A1227" s="1" t="s">
        <v>143</v>
      </c>
    </row>
    <row r="1228" spans="1:1">
      <c r="A1228" s="1" t="s">
        <v>143</v>
      </c>
    </row>
    <row r="1229" spans="1:1">
      <c r="A1229" s="1" t="s">
        <v>143</v>
      </c>
    </row>
    <row r="1230" spans="1:1">
      <c r="A1230" s="1" t="s">
        <v>144</v>
      </c>
    </row>
    <row r="1231" spans="1:1">
      <c r="A1231" s="1" t="s">
        <v>144</v>
      </c>
    </row>
    <row r="1232" spans="1:1">
      <c r="A1232" s="1" t="s">
        <v>144</v>
      </c>
    </row>
    <row r="1233" spans="1:1">
      <c r="A1233" s="1" t="s">
        <v>144</v>
      </c>
    </row>
    <row r="1234" spans="1:1">
      <c r="A1234" s="1" t="s">
        <v>143</v>
      </c>
    </row>
    <row r="1235" spans="1:1">
      <c r="A1235" s="1" t="s">
        <v>143</v>
      </c>
    </row>
    <row r="1236" spans="1:1">
      <c r="A1236" s="1" t="s">
        <v>143</v>
      </c>
    </row>
    <row r="1237" spans="1:1">
      <c r="A1237" s="1" t="s">
        <v>144</v>
      </c>
    </row>
    <row r="1238" spans="1:1">
      <c r="A1238" s="1" t="s">
        <v>144</v>
      </c>
    </row>
    <row r="1239" spans="1:1">
      <c r="A1239" s="1" t="s">
        <v>144</v>
      </c>
    </row>
    <row r="1240" spans="1:1">
      <c r="A1240" s="1" t="s">
        <v>144</v>
      </c>
    </row>
    <row r="1241" spans="1:1">
      <c r="A1241" s="1" t="s">
        <v>143</v>
      </c>
    </row>
    <row r="1242" spans="1:1">
      <c r="A1242" s="1" t="s">
        <v>143</v>
      </c>
    </row>
    <row r="1243" spans="1:1">
      <c r="A1243" s="1" t="s">
        <v>143</v>
      </c>
    </row>
    <row r="1244" spans="1:1">
      <c r="A1244" s="1" t="s">
        <v>144</v>
      </c>
    </row>
    <row r="1245" spans="1:1">
      <c r="A1245" s="1" t="s">
        <v>144</v>
      </c>
    </row>
    <row r="1246" spans="1:1">
      <c r="A1246" s="1" t="s">
        <v>144</v>
      </c>
    </row>
    <row r="1247" spans="1:1">
      <c r="A1247" s="1" t="s">
        <v>144</v>
      </c>
    </row>
    <row r="1248" spans="1:1">
      <c r="A1248" s="1" t="s">
        <v>143</v>
      </c>
    </row>
    <row r="1249" spans="1:1">
      <c r="A1249" s="1" t="s">
        <v>145</v>
      </c>
    </row>
    <row r="1250" spans="1:1">
      <c r="A1250" s="1" t="s">
        <v>146</v>
      </c>
    </row>
    <row r="1251" spans="1:1">
      <c r="A1251" s="1" t="s">
        <v>143</v>
      </c>
    </row>
    <row r="1252" spans="1:1">
      <c r="A1252" s="1" t="s">
        <v>147</v>
      </c>
    </row>
    <row r="1253" spans="1:1">
      <c r="A1253" s="1" t="s">
        <v>148</v>
      </c>
    </row>
    <row r="1254" spans="1:1">
      <c r="A1254" s="1" t="s">
        <v>149</v>
      </c>
    </row>
    <row r="1255" spans="1:1">
      <c r="A1255" s="1" t="s">
        <v>150</v>
      </c>
    </row>
    <row r="1256" spans="1:1">
      <c r="A1256" s="1" t="s">
        <v>151</v>
      </c>
    </row>
    <row r="1257" spans="1:1" ht="51">
      <c r="A1257" s="17" t="s">
        <v>152</v>
      </c>
    </row>
    <row r="1258" spans="1:1">
      <c r="A1258" s="1" t="s">
        <v>153</v>
      </c>
    </row>
    <row r="1259" spans="1:1">
      <c r="A1259" s="1" t="s">
        <v>154</v>
      </c>
    </row>
    <row r="1260" spans="1:1">
      <c r="A1260" s="1" t="s">
        <v>155</v>
      </c>
    </row>
    <row r="1261" spans="1:1">
      <c r="A1261" s="1" t="s">
        <v>156</v>
      </c>
    </row>
    <row r="1262" spans="1:1">
      <c r="A1262" s="1" t="s">
        <v>157</v>
      </c>
    </row>
    <row r="1263" spans="1:1">
      <c r="A1263" s="1" t="s">
        <v>158</v>
      </c>
    </row>
    <row r="1264" spans="1:1">
      <c r="A1264" s="1" t="s">
        <v>159</v>
      </c>
    </row>
    <row r="1265" spans="1:1">
      <c r="A1265" s="1" t="s">
        <v>160</v>
      </c>
    </row>
    <row r="1266" spans="1:1">
      <c r="A1266" s="1" t="s">
        <v>161</v>
      </c>
    </row>
    <row r="1267" spans="1:1">
      <c r="A1267" s="1" t="s">
        <v>162</v>
      </c>
    </row>
    <row r="1268" spans="1:1">
      <c r="A1268" s="1" t="s">
        <v>163</v>
      </c>
    </row>
    <row r="1269" spans="1:1" ht="51">
      <c r="A1269" s="17" t="s">
        <v>164</v>
      </c>
    </row>
    <row r="1270" spans="1:1">
      <c r="A1270" s="1" t="s">
        <v>165</v>
      </c>
    </row>
    <row r="1271" spans="1:1">
      <c r="A1271" s="1" t="s">
        <v>166</v>
      </c>
    </row>
    <row r="1272" spans="1:1">
      <c r="A1272" s="1" t="s">
        <v>167</v>
      </c>
    </row>
    <row r="1273" spans="1:1">
      <c r="A1273" s="1" t="s">
        <v>168</v>
      </c>
    </row>
    <row r="1274" spans="1:1">
      <c r="A1274" s="1" t="s">
        <v>169</v>
      </c>
    </row>
    <row r="1275" spans="1:1">
      <c r="A1275" s="1" t="s">
        <v>170</v>
      </c>
    </row>
    <row r="1276" spans="1:1">
      <c r="A1276" s="1" t="s">
        <v>171</v>
      </c>
    </row>
    <row r="1277" spans="1:1">
      <c r="A1277" s="1" t="s">
        <v>172</v>
      </c>
    </row>
    <row r="1278" spans="1:1">
      <c r="A1278" s="1" t="s">
        <v>168</v>
      </c>
    </row>
    <row r="1279" spans="1:1">
      <c r="A1279" s="1" t="s">
        <v>169</v>
      </c>
    </row>
    <row r="1280" spans="1:1">
      <c r="A1280" s="1" t="s">
        <v>170</v>
      </c>
    </row>
    <row r="1281" spans="1:1">
      <c r="A1281" s="1" t="s">
        <v>171</v>
      </c>
    </row>
    <row r="1282" spans="1:1">
      <c r="A1282" s="1" t="s">
        <v>172</v>
      </c>
    </row>
    <row r="1283" spans="1:1">
      <c r="A1283" s="1" t="s">
        <v>173</v>
      </c>
    </row>
    <row r="1284" spans="1:1">
      <c r="A1284" s="1" t="s">
        <v>174</v>
      </c>
    </row>
    <row r="1285" spans="1:1">
      <c r="A1285" s="1" t="s">
        <v>175</v>
      </c>
    </row>
    <row r="1286" spans="1:1">
      <c r="A1286" s="1" t="s">
        <v>176</v>
      </c>
    </row>
    <row r="1287" spans="1:1">
      <c r="A1287" s="1" t="s">
        <v>177</v>
      </c>
    </row>
    <row r="1288" spans="1:1">
      <c r="A1288" s="1" t="s">
        <v>173</v>
      </c>
    </row>
    <row r="1289" spans="1:1">
      <c r="A1289" s="1" t="s">
        <v>174</v>
      </c>
    </row>
    <row r="1290" spans="1:1">
      <c r="A1290" s="1" t="s">
        <v>175</v>
      </c>
    </row>
    <row r="1291" spans="1:1">
      <c r="A1291" s="1" t="s">
        <v>176</v>
      </c>
    </row>
    <row r="1292" spans="1:1">
      <c r="A1292" s="1" t="s">
        <v>177</v>
      </c>
    </row>
    <row r="1293" spans="1:1">
      <c r="A1293" s="1" t="s">
        <v>178</v>
      </c>
    </row>
    <row r="1294" spans="1:1">
      <c r="A1294" s="1" t="s">
        <v>179</v>
      </c>
    </row>
    <row r="1295" spans="1:1">
      <c r="A1295" s="1" t="s">
        <v>180</v>
      </c>
    </row>
    <row r="1296" spans="1:1" ht="51">
      <c r="A1296" s="17" t="s">
        <v>181</v>
      </c>
    </row>
    <row r="1297" spans="1:1">
      <c r="A1297" s="1" t="s">
        <v>182</v>
      </c>
    </row>
    <row r="1298" spans="1:1">
      <c r="A1298" s="1" t="s">
        <v>183</v>
      </c>
    </row>
    <row r="1299" spans="1:1">
      <c r="A1299" s="1" t="s">
        <v>184</v>
      </c>
    </row>
    <row r="1300" spans="1:1">
      <c r="A1300" s="1" t="s">
        <v>185</v>
      </c>
    </row>
    <row r="1301" spans="1:1">
      <c r="A1301" s="1" t="s">
        <v>185</v>
      </c>
    </row>
    <row r="1302" spans="1:1">
      <c r="A1302" s="1" t="s">
        <v>186</v>
      </c>
    </row>
    <row r="1303" spans="1:1">
      <c r="A1303" s="1" t="s">
        <v>186</v>
      </c>
    </row>
    <row r="1304" spans="1:1">
      <c r="A1304" s="1" t="s">
        <v>186</v>
      </c>
    </row>
    <row r="1305" spans="1:1">
      <c r="A1305" s="1" t="s">
        <v>186</v>
      </c>
    </row>
    <row r="1306" spans="1:1">
      <c r="A1306" s="1" t="s">
        <v>185</v>
      </c>
    </row>
    <row r="1307" spans="1:1">
      <c r="A1307" s="1" t="s">
        <v>185</v>
      </c>
    </row>
    <row r="1308" spans="1:1">
      <c r="A1308" s="1" t="s">
        <v>185</v>
      </c>
    </row>
    <row r="1309" spans="1:1">
      <c r="A1309" s="1" t="s">
        <v>186</v>
      </c>
    </row>
    <row r="1310" spans="1:1">
      <c r="A1310" s="1" t="s">
        <v>186</v>
      </c>
    </row>
    <row r="1311" spans="1:1">
      <c r="A1311" s="1" t="s">
        <v>186</v>
      </c>
    </row>
    <row r="1312" spans="1:1">
      <c r="A1312" s="1" t="s">
        <v>186</v>
      </c>
    </row>
    <row r="1313" spans="1:1">
      <c r="A1313" s="1" t="s">
        <v>185</v>
      </c>
    </row>
    <row r="1314" spans="1:1">
      <c r="A1314" s="1" t="s">
        <v>185</v>
      </c>
    </row>
    <row r="1315" spans="1:1">
      <c r="A1315" s="1" t="s">
        <v>185</v>
      </c>
    </row>
    <row r="1316" spans="1:1">
      <c r="A1316" s="1" t="s">
        <v>187</v>
      </c>
    </row>
    <row r="1317" spans="1:1">
      <c r="A1317" s="1" t="s">
        <v>187</v>
      </c>
    </row>
    <row r="1318" spans="1:1">
      <c r="A1318" s="1" t="s">
        <v>187</v>
      </c>
    </row>
    <row r="1319" spans="1:1">
      <c r="A1319" s="1" t="s">
        <v>187</v>
      </c>
    </row>
    <row r="1320" spans="1:1">
      <c r="A1320" s="1" t="s">
        <v>188</v>
      </c>
    </row>
    <row r="1321" spans="1:1">
      <c r="A1321" s="1" t="s">
        <v>188</v>
      </c>
    </row>
    <row r="1322" spans="1:1">
      <c r="A1322" s="1" t="s">
        <v>188</v>
      </c>
    </row>
    <row r="1323" spans="1:1">
      <c r="A1323" s="1" t="s">
        <v>187</v>
      </c>
    </row>
    <row r="1324" spans="1:1">
      <c r="A1324" s="1" t="s">
        <v>187</v>
      </c>
    </row>
    <row r="1325" spans="1:1">
      <c r="A1325" s="1" t="s">
        <v>187</v>
      </c>
    </row>
    <row r="1326" spans="1:1">
      <c r="A1326" s="1" t="s">
        <v>187</v>
      </c>
    </row>
    <row r="1327" spans="1:1">
      <c r="A1327" s="1" t="s">
        <v>188</v>
      </c>
    </row>
    <row r="1328" spans="1:1">
      <c r="A1328" s="1" t="s">
        <v>189</v>
      </c>
    </row>
    <row r="1329" spans="1:1">
      <c r="A1329" s="1" t="s">
        <v>190</v>
      </c>
    </row>
    <row r="1330" spans="1:1">
      <c r="A1330" s="1" t="s">
        <v>188</v>
      </c>
    </row>
    <row r="1331" spans="1:1">
      <c r="A1331" s="1" t="s">
        <v>191</v>
      </c>
    </row>
    <row r="1332" spans="1:1">
      <c r="A1332" s="1" t="s">
        <v>192</v>
      </c>
    </row>
    <row r="1333" spans="1:1">
      <c r="A1333" s="1" t="s">
        <v>193</v>
      </c>
    </row>
    <row r="1334" spans="1:1">
      <c r="A1334" s="1" t="s">
        <v>194</v>
      </c>
    </row>
    <row r="1335" spans="1:1">
      <c r="A1335" s="1" t="s">
        <v>195</v>
      </c>
    </row>
    <row r="1336" spans="1:1" ht="51">
      <c r="A1336" s="17" t="s">
        <v>196</v>
      </c>
    </row>
    <row r="1337" spans="1:1">
      <c r="A1337" s="1" t="s">
        <v>197</v>
      </c>
    </row>
    <row r="1338" spans="1:1">
      <c r="A1338" s="1" t="s">
        <v>198</v>
      </c>
    </row>
    <row r="1339" spans="1:1">
      <c r="A1339" s="1" t="s">
        <v>199</v>
      </c>
    </row>
    <row r="1340" spans="1:1">
      <c r="A1340" s="1" t="s">
        <v>200</v>
      </c>
    </row>
    <row r="1341" spans="1:1">
      <c r="A1341" s="1" t="s">
        <v>201</v>
      </c>
    </row>
    <row r="1342" spans="1:1">
      <c r="A1342" s="1" t="s">
        <v>202</v>
      </c>
    </row>
    <row r="1343" spans="1:1">
      <c r="A1343" s="1" t="s">
        <v>203</v>
      </c>
    </row>
    <row r="1344" spans="1:1">
      <c r="A1344" s="1" t="s">
        <v>204</v>
      </c>
    </row>
    <row r="1345" spans="1:1">
      <c r="A1345" s="1" t="s">
        <v>205</v>
      </c>
    </row>
    <row r="1346" spans="1:1">
      <c r="A1346" s="1" t="s">
        <v>206</v>
      </c>
    </row>
    <row r="1347" spans="1:1">
      <c r="A1347" s="1" t="s">
        <v>207</v>
      </c>
    </row>
    <row r="1348" spans="1:1" ht="51">
      <c r="A1348" s="17" t="s">
        <v>208</v>
      </c>
    </row>
    <row r="1349" spans="1:1">
      <c r="A1349" s="1" t="s">
        <v>209</v>
      </c>
    </row>
    <row r="1350" spans="1:1">
      <c r="A1350" s="1" t="s">
        <v>210</v>
      </c>
    </row>
    <row r="1351" spans="1:1">
      <c r="A1351" s="1" t="s">
        <v>211</v>
      </c>
    </row>
    <row r="1352" spans="1:1">
      <c r="A1352" s="1" t="s">
        <v>212</v>
      </c>
    </row>
    <row r="1353" spans="1:1">
      <c r="A1353" s="1" t="s">
        <v>212</v>
      </c>
    </row>
    <row r="1354" spans="1:1">
      <c r="A1354" s="1" t="s">
        <v>213</v>
      </c>
    </row>
    <row r="1355" spans="1:1">
      <c r="A1355" s="1" t="s">
        <v>214</v>
      </c>
    </row>
    <row r="1356" spans="1:1">
      <c r="A1356" s="1" t="s">
        <v>215</v>
      </c>
    </row>
    <row r="1357" spans="1:1">
      <c r="A1357" s="1" t="s">
        <v>216</v>
      </c>
    </row>
    <row r="1358" spans="1:1">
      <c r="A1358" s="1" t="s">
        <v>217</v>
      </c>
    </row>
    <row r="1359" spans="1:1">
      <c r="A1359" s="1" t="s">
        <v>212</v>
      </c>
    </row>
    <row r="1360" spans="1:1">
      <c r="A1360" s="1" t="s">
        <v>212</v>
      </c>
    </row>
    <row r="1361" spans="1:1">
      <c r="A1361" s="1" t="s">
        <v>212</v>
      </c>
    </row>
    <row r="1362" spans="1:1">
      <c r="A1362" s="1" t="s">
        <v>213</v>
      </c>
    </row>
    <row r="1363" spans="1:1">
      <c r="A1363" s="1" t="s">
        <v>214</v>
      </c>
    </row>
    <row r="1364" spans="1:1">
      <c r="A1364" s="1" t="s">
        <v>215</v>
      </c>
    </row>
    <row r="1365" spans="1:1">
      <c r="A1365" s="1" t="s">
        <v>216</v>
      </c>
    </row>
    <row r="1366" spans="1:1">
      <c r="A1366" s="1" t="s">
        <v>217</v>
      </c>
    </row>
    <row r="1367" spans="1:1">
      <c r="A1367" s="1" t="s">
        <v>212</v>
      </c>
    </row>
    <row r="1368" spans="1:1">
      <c r="A1368" s="1" t="s">
        <v>212</v>
      </c>
    </row>
    <row r="1369" spans="1:1">
      <c r="A1369" s="1" t="s">
        <v>212</v>
      </c>
    </row>
    <row r="1370" spans="1:1">
      <c r="A1370" s="1" t="s">
        <v>218</v>
      </c>
    </row>
    <row r="1371" spans="1:1">
      <c r="A1371" s="1" t="s">
        <v>219</v>
      </c>
    </row>
    <row r="1372" spans="1:1">
      <c r="A1372" s="1" t="s">
        <v>220</v>
      </c>
    </row>
    <row r="1373" spans="1:1">
      <c r="A1373" s="1" t="s">
        <v>221</v>
      </c>
    </row>
    <row r="1374" spans="1:1">
      <c r="A1374" s="1" t="s">
        <v>222</v>
      </c>
    </row>
    <row r="1375" spans="1:1">
      <c r="A1375" s="1" t="s">
        <v>223</v>
      </c>
    </row>
    <row r="1376" spans="1:1">
      <c r="A1376" s="1" t="s">
        <v>223</v>
      </c>
    </row>
    <row r="1377" spans="1:1">
      <c r="A1377" s="1" t="s">
        <v>223</v>
      </c>
    </row>
    <row r="1378" spans="1:1">
      <c r="A1378" s="1" t="s">
        <v>218</v>
      </c>
    </row>
    <row r="1379" spans="1:1">
      <c r="A1379" s="1" t="s">
        <v>219</v>
      </c>
    </row>
    <row r="1380" spans="1:1">
      <c r="A1380" s="1" t="s">
        <v>220</v>
      </c>
    </row>
    <row r="1381" spans="1:1">
      <c r="A1381" s="1" t="s">
        <v>221</v>
      </c>
    </row>
    <row r="1382" spans="1:1">
      <c r="A1382" s="1" t="s">
        <v>222</v>
      </c>
    </row>
    <row r="1383" spans="1:1">
      <c r="A1383" s="1" t="s">
        <v>223</v>
      </c>
    </row>
    <row r="1384" spans="1:1">
      <c r="A1384" s="1" t="s">
        <v>223</v>
      </c>
    </row>
    <row r="1385" spans="1:1">
      <c r="A1385" s="1" t="s">
        <v>223</v>
      </c>
    </row>
    <row r="1386" spans="1:1">
      <c r="A1386" s="1" t="s">
        <v>218</v>
      </c>
    </row>
    <row r="1387" spans="1:1">
      <c r="A1387" s="1" t="s">
        <v>219</v>
      </c>
    </row>
    <row r="1388" spans="1:1">
      <c r="A1388" s="1" t="s">
        <v>220</v>
      </c>
    </row>
    <row r="1389" spans="1:1">
      <c r="A1389" s="1" t="s">
        <v>221</v>
      </c>
    </row>
    <row r="1390" spans="1:1">
      <c r="A1390" s="1" t="s">
        <v>222</v>
      </c>
    </row>
    <row r="1391" spans="1:1">
      <c r="A1391" s="1" t="s">
        <v>223</v>
      </c>
    </row>
    <row r="1392" spans="1:1">
      <c r="A1392" s="1" t="s">
        <v>224</v>
      </c>
    </row>
    <row r="1393" spans="1:1">
      <c r="A1393" s="1" t="s">
        <v>224</v>
      </c>
    </row>
    <row r="1394" spans="1:1">
      <c r="A1394" s="1" t="s">
        <v>225</v>
      </c>
    </row>
    <row r="1395" spans="1:1">
      <c r="A1395" s="1" t="s">
        <v>226</v>
      </c>
    </row>
    <row r="1396" spans="1:1">
      <c r="A1396" s="1" t="s">
        <v>227</v>
      </c>
    </row>
    <row r="1397" spans="1:1">
      <c r="A1397" s="1" t="s">
        <v>228</v>
      </c>
    </row>
    <row r="1398" spans="1:1">
      <c r="A1398" s="1" t="s">
        <v>229</v>
      </c>
    </row>
    <row r="1399" spans="1:1">
      <c r="A1399" s="1" t="s">
        <v>224</v>
      </c>
    </row>
    <row r="1400" spans="1:1">
      <c r="A1400" s="1" t="s">
        <v>224</v>
      </c>
    </row>
    <row r="1401" spans="1:1">
      <c r="A1401" s="1" t="s">
        <v>224</v>
      </c>
    </row>
    <row r="1402" spans="1:1">
      <c r="A1402" s="1" t="s">
        <v>225</v>
      </c>
    </row>
    <row r="1403" spans="1:1">
      <c r="A1403" s="1" t="s">
        <v>226</v>
      </c>
    </row>
    <row r="1404" spans="1:1">
      <c r="A1404" s="1" t="s">
        <v>227</v>
      </c>
    </row>
    <row r="1405" spans="1:1">
      <c r="A1405" s="1" t="s">
        <v>228</v>
      </c>
    </row>
    <row r="1406" spans="1:1">
      <c r="A1406" s="1" t="s">
        <v>229</v>
      </c>
    </row>
    <row r="1407" spans="1:1">
      <c r="A1407" s="1" t="s">
        <v>224</v>
      </c>
    </row>
    <row r="1408" spans="1:1">
      <c r="A1408" s="1" t="s">
        <v>224</v>
      </c>
    </row>
    <row r="1409" spans="1:1">
      <c r="A1409" s="1" t="s">
        <v>224</v>
      </c>
    </row>
    <row r="1410" spans="1:1">
      <c r="A1410" s="1" t="s">
        <v>225</v>
      </c>
    </row>
    <row r="1411" spans="1:1">
      <c r="A1411" s="1" t="s">
        <v>226</v>
      </c>
    </row>
    <row r="1412" spans="1:1">
      <c r="A1412" s="1" t="s">
        <v>227</v>
      </c>
    </row>
    <row r="1413" spans="1:1">
      <c r="A1413" s="1" t="s">
        <v>230</v>
      </c>
    </row>
    <row r="1414" spans="1:1">
      <c r="A1414" s="1" t="s">
        <v>231</v>
      </c>
    </row>
    <row r="1415" spans="1:1">
      <c r="A1415" s="1" t="s">
        <v>232</v>
      </c>
    </row>
    <row r="1416" spans="1:1">
      <c r="A1416" s="1" t="s">
        <v>232</v>
      </c>
    </row>
    <row r="1417" spans="1:1">
      <c r="A1417" s="1" t="s">
        <v>232</v>
      </c>
    </row>
    <row r="1418" spans="1:1">
      <c r="A1418" s="1" t="s">
        <v>233</v>
      </c>
    </row>
    <row r="1419" spans="1:1">
      <c r="A1419" s="1" t="s">
        <v>234</v>
      </c>
    </row>
    <row r="1420" spans="1:1">
      <c r="A1420" s="1" t="s">
        <v>235</v>
      </c>
    </row>
    <row r="1421" spans="1:1">
      <c r="A1421" s="1" t="s">
        <v>230</v>
      </c>
    </row>
    <row r="1422" spans="1:1">
      <c r="A1422" s="1" t="s">
        <v>231</v>
      </c>
    </row>
    <row r="1423" spans="1:1">
      <c r="A1423" s="1" t="s">
        <v>232</v>
      </c>
    </row>
    <row r="1424" spans="1:1">
      <c r="A1424" s="1" t="s">
        <v>232</v>
      </c>
    </row>
    <row r="1425" spans="1:1">
      <c r="A1425" s="1" t="s">
        <v>232</v>
      </c>
    </row>
    <row r="1426" spans="1:1">
      <c r="A1426" s="1" t="s">
        <v>233</v>
      </c>
    </row>
    <row r="1427" spans="1:1">
      <c r="A1427" s="1" t="s">
        <v>234</v>
      </c>
    </row>
    <row r="1428" spans="1:1">
      <c r="A1428" s="1" t="s">
        <v>235</v>
      </c>
    </row>
    <row r="1429" spans="1:1">
      <c r="A1429" s="1" t="s">
        <v>230</v>
      </c>
    </row>
    <row r="1430" spans="1:1">
      <c r="A1430" s="1" t="s">
        <v>231</v>
      </c>
    </row>
    <row r="1431" spans="1:1">
      <c r="A1431" s="1" t="s">
        <v>232</v>
      </c>
    </row>
    <row r="1432" spans="1:1">
      <c r="A1432" s="1" t="s">
        <v>232</v>
      </c>
    </row>
    <row r="1433" spans="1:1">
      <c r="A1433" s="1" t="s">
        <v>232</v>
      </c>
    </row>
    <row r="1434" spans="1:1">
      <c r="A1434" s="1" t="s">
        <v>233</v>
      </c>
    </row>
    <row r="1435" spans="1:1">
      <c r="A1435" s="1" t="s">
        <v>234</v>
      </c>
    </row>
    <row r="1436" spans="1:1">
      <c r="A1436" s="1" t="s">
        <v>235</v>
      </c>
    </row>
    <row r="1437" spans="1:1">
      <c r="A1437" s="1" t="s">
        <v>230</v>
      </c>
    </row>
    <row r="1438" spans="1:1">
      <c r="A1438" s="1" t="s">
        <v>231</v>
      </c>
    </row>
    <row r="1439" spans="1:1">
      <c r="A1439" s="1" t="s">
        <v>232</v>
      </c>
    </row>
    <row r="1440" spans="1:1">
      <c r="A1440" s="1" t="s">
        <v>232</v>
      </c>
    </row>
    <row r="1441" spans="1:1">
      <c r="A1441" s="1" t="s">
        <v>232</v>
      </c>
    </row>
    <row r="1442" spans="1:1">
      <c r="A1442" s="1" t="s">
        <v>233</v>
      </c>
    </row>
    <row r="1443" spans="1:1">
      <c r="A1443" s="1" t="s">
        <v>234</v>
      </c>
    </row>
    <row r="1444" spans="1:1">
      <c r="A1444" s="1" t="s">
        <v>235</v>
      </c>
    </row>
    <row r="1445" spans="1:1">
      <c r="A1445" s="1" t="s">
        <v>230</v>
      </c>
    </row>
    <row r="1446" spans="1:1">
      <c r="A1446" s="1" t="s">
        <v>231</v>
      </c>
    </row>
    <row r="1447" spans="1:1">
      <c r="A1447" s="1" t="s">
        <v>232</v>
      </c>
    </row>
    <row r="1448" spans="1:1">
      <c r="A1448" s="1" t="s">
        <v>232</v>
      </c>
    </row>
    <row r="1449" spans="1:1">
      <c r="A1449" s="1" t="s">
        <v>232</v>
      </c>
    </row>
    <row r="1450" spans="1:1">
      <c r="A1450" s="1" t="s">
        <v>233</v>
      </c>
    </row>
    <row r="1451" spans="1:1">
      <c r="A1451" s="1" t="s">
        <v>234</v>
      </c>
    </row>
    <row r="1452" spans="1:1">
      <c r="A1452" s="1" t="s">
        <v>235</v>
      </c>
    </row>
    <row r="1453" spans="1:1">
      <c r="A1453" s="1" t="s">
        <v>230</v>
      </c>
    </row>
    <row r="1454" spans="1:1">
      <c r="A1454" s="1" t="s">
        <v>231</v>
      </c>
    </row>
    <row r="1455" spans="1:1">
      <c r="A1455" s="1" t="s">
        <v>232</v>
      </c>
    </row>
    <row r="1456" spans="1:1">
      <c r="A1456" s="1" t="s">
        <v>232</v>
      </c>
    </row>
    <row r="1457" spans="1:1">
      <c r="A1457" s="1" t="s">
        <v>232</v>
      </c>
    </row>
    <row r="1458" spans="1:1">
      <c r="A1458" s="1" t="s">
        <v>233</v>
      </c>
    </row>
    <row r="1459" spans="1:1">
      <c r="A1459" s="1" t="s">
        <v>234</v>
      </c>
    </row>
    <row r="1460" spans="1:1">
      <c r="A1460" s="1" t="s">
        <v>235</v>
      </c>
    </row>
    <row r="1461" spans="1:1">
      <c r="A1461" s="1" t="s">
        <v>230</v>
      </c>
    </row>
    <row r="1462" spans="1:1">
      <c r="A1462" s="1" t="s">
        <v>231</v>
      </c>
    </row>
    <row r="1463" spans="1:1">
      <c r="A1463" s="1" t="s">
        <v>232</v>
      </c>
    </row>
    <row r="1464" spans="1:1">
      <c r="A1464" s="1" t="s">
        <v>232</v>
      </c>
    </row>
    <row r="1465" spans="1:1">
      <c r="A1465" s="1" t="s">
        <v>232</v>
      </c>
    </row>
    <row r="1466" spans="1:1">
      <c r="A1466" s="1" t="s">
        <v>233</v>
      </c>
    </row>
    <row r="1467" spans="1:1">
      <c r="A1467" s="1" t="s">
        <v>234</v>
      </c>
    </row>
    <row r="1468" spans="1:1">
      <c r="A1468" s="1" t="s">
        <v>235</v>
      </c>
    </row>
    <row r="1469" spans="1:1">
      <c r="A1469" s="1" t="s">
        <v>230</v>
      </c>
    </row>
    <row r="1470" spans="1:1">
      <c r="A1470" s="1" t="s">
        <v>231</v>
      </c>
    </row>
    <row r="1471" spans="1:1">
      <c r="A1471" s="1" t="s">
        <v>232</v>
      </c>
    </row>
    <row r="1472" spans="1:1">
      <c r="A1472" s="1" t="s">
        <v>236</v>
      </c>
    </row>
    <row r="1473" spans="1:1">
      <c r="A1473" s="1" t="s">
        <v>236</v>
      </c>
    </row>
    <row r="1474" spans="1:1">
      <c r="A1474" s="1" t="s">
        <v>237</v>
      </c>
    </row>
    <row r="1475" spans="1:1">
      <c r="A1475" s="1" t="s">
        <v>238</v>
      </c>
    </row>
    <row r="1476" spans="1:1">
      <c r="A1476" s="1" t="s">
        <v>239</v>
      </c>
    </row>
    <row r="1477" spans="1:1">
      <c r="A1477" s="1" t="s">
        <v>240</v>
      </c>
    </row>
    <row r="1478" spans="1:1">
      <c r="A1478" s="1" t="s">
        <v>241</v>
      </c>
    </row>
    <row r="1479" spans="1:1">
      <c r="A1479" s="1" t="s">
        <v>236</v>
      </c>
    </row>
    <row r="1480" spans="1:1">
      <c r="A1480" s="1" t="s">
        <v>242</v>
      </c>
    </row>
    <row r="1481" spans="1:1">
      <c r="A1481" s="1" t="s">
        <v>242</v>
      </c>
    </row>
    <row r="1482" spans="1:1">
      <c r="A1482" s="1" t="s">
        <v>243</v>
      </c>
    </row>
    <row r="1483" spans="1:1">
      <c r="A1483" s="1" t="s">
        <v>244</v>
      </c>
    </row>
    <row r="1484" spans="1:1">
      <c r="A1484" s="1" t="s">
        <v>245</v>
      </c>
    </row>
    <row r="1485" spans="1:1">
      <c r="A1485" s="1" t="s">
        <v>246</v>
      </c>
    </row>
    <row r="1486" spans="1:1">
      <c r="A1486" s="1" t="s">
        <v>247</v>
      </c>
    </row>
    <row r="1487" spans="1:1">
      <c r="A1487" s="1" t="s">
        <v>242</v>
      </c>
    </row>
    <row r="1488" spans="1:1">
      <c r="A1488" s="1" t="s">
        <v>242</v>
      </c>
    </row>
    <row r="1489" spans="1:1">
      <c r="A1489" s="1" t="s">
        <v>242</v>
      </c>
    </row>
    <row r="1490" spans="1:1">
      <c r="A1490" s="1" t="s">
        <v>243</v>
      </c>
    </row>
    <row r="1491" spans="1:1">
      <c r="A1491" s="1" t="s">
        <v>244</v>
      </c>
    </row>
    <row r="1492" spans="1:1">
      <c r="A1492" s="1" t="s">
        <v>245</v>
      </c>
    </row>
    <row r="1493" spans="1:1">
      <c r="A1493" s="1" t="s">
        <v>246</v>
      </c>
    </row>
    <row r="1494" spans="1:1">
      <c r="A1494" s="1" t="s">
        <v>247</v>
      </c>
    </row>
    <row r="1495" spans="1:1">
      <c r="A1495" s="1" t="s">
        <v>242</v>
      </c>
    </row>
    <row r="1496" spans="1:1">
      <c r="A1496" s="1" t="s">
        <v>242</v>
      </c>
    </row>
    <row r="1497" spans="1:1">
      <c r="A1497" s="1" t="s">
        <v>242</v>
      </c>
    </row>
    <row r="1498" spans="1:1">
      <c r="A1498" s="1" t="s">
        <v>243</v>
      </c>
    </row>
    <row r="1499" spans="1:1">
      <c r="A1499" s="1" t="s">
        <v>244</v>
      </c>
    </row>
    <row r="1500" spans="1:1">
      <c r="A1500" s="1" t="s">
        <v>245</v>
      </c>
    </row>
    <row r="1501" spans="1:1">
      <c r="A1501" s="1" t="s">
        <v>246</v>
      </c>
    </row>
    <row r="1502" spans="1:1">
      <c r="A1502" s="1" t="s">
        <v>247</v>
      </c>
    </row>
    <row r="1503" spans="1:1">
      <c r="A1503" s="1" t="s">
        <v>242</v>
      </c>
    </row>
    <row r="1504" spans="1:1">
      <c r="A1504" s="1" t="s">
        <v>242</v>
      </c>
    </row>
    <row r="1505" spans="1:1">
      <c r="A1505" s="1" t="s">
        <v>242</v>
      </c>
    </row>
    <row r="1506" spans="1:1">
      <c r="A1506" s="1" t="s">
        <v>243</v>
      </c>
    </row>
    <row r="1507" spans="1:1">
      <c r="A1507" s="1" t="s">
        <v>244</v>
      </c>
    </row>
    <row r="1508" spans="1:1">
      <c r="A1508" s="1" t="s">
        <v>245</v>
      </c>
    </row>
    <row r="1509" spans="1:1">
      <c r="A1509" s="1" t="s">
        <v>246</v>
      </c>
    </row>
    <row r="1510" spans="1:1">
      <c r="A1510" s="1" t="s">
        <v>247</v>
      </c>
    </row>
    <row r="1511" spans="1:1">
      <c r="A1511" s="1" t="s">
        <v>242</v>
      </c>
    </row>
    <row r="1512" spans="1:1">
      <c r="A1512" s="1" t="s">
        <v>248</v>
      </c>
    </row>
    <row r="1513" spans="1:1">
      <c r="A1513" s="1" t="s">
        <v>248</v>
      </c>
    </row>
    <row r="1514" spans="1:1">
      <c r="A1514" s="1" t="s">
        <v>249</v>
      </c>
    </row>
    <row r="1515" spans="1:1">
      <c r="A1515" s="1" t="s">
        <v>250</v>
      </c>
    </row>
    <row r="1516" spans="1:1">
      <c r="A1516" s="1" t="s">
        <v>251</v>
      </c>
    </row>
    <row r="1517" spans="1:1">
      <c r="A1517" s="1" t="s">
        <v>252</v>
      </c>
    </row>
    <row r="1518" spans="1:1">
      <c r="A1518" s="1" t="s">
        <v>253</v>
      </c>
    </row>
    <row r="1519" spans="1:1">
      <c r="A1519" s="1" t="s">
        <v>254</v>
      </c>
    </row>
    <row r="1520" spans="1:1">
      <c r="A1520" s="1" t="s">
        <v>248</v>
      </c>
    </row>
    <row r="1521" spans="1:1">
      <c r="A1521" s="1" t="s">
        <v>248</v>
      </c>
    </row>
    <row r="1522" spans="1:1">
      <c r="A1522" s="1" t="s">
        <v>248</v>
      </c>
    </row>
    <row r="1523" spans="1:1">
      <c r="A1523" s="1" t="s">
        <v>249</v>
      </c>
    </row>
    <row r="1524" spans="1:1">
      <c r="A1524" s="1" t="s">
        <v>250</v>
      </c>
    </row>
    <row r="1525" spans="1:1">
      <c r="A1525" s="1" t="s">
        <v>251</v>
      </c>
    </row>
    <row r="1526" spans="1:1">
      <c r="A1526" s="1" t="s">
        <v>252</v>
      </c>
    </row>
    <row r="1527" spans="1:1">
      <c r="A1527" s="1" t="s">
        <v>253</v>
      </c>
    </row>
    <row r="1528" spans="1:1">
      <c r="A1528" s="1" t="s">
        <v>254</v>
      </c>
    </row>
    <row r="1529" spans="1:1">
      <c r="A1529" s="1" t="s">
        <v>248</v>
      </c>
    </row>
    <row r="1530" spans="1:1">
      <c r="A1530" s="1" t="s">
        <v>248</v>
      </c>
    </row>
    <row r="1531" spans="1:1">
      <c r="A1531" s="1" t="s">
        <v>248</v>
      </c>
    </row>
    <row r="1532" spans="1:1">
      <c r="A1532" s="1" t="s">
        <v>255</v>
      </c>
    </row>
    <row r="1533" spans="1:1">
      <c r="A1533" s="1" t="s">
        <v>255</v>
      </c>
    </row>
    <row r="1534" spans="1:1">
      <c r="A1534" s="1" t="s">
        <v>255</v>
      </c>
    </row>
    <row r="1535" spans="1:1">
      <c r="A1535" s="1" t="s">
        <v>256</v>
      </c>
    </row>
    <row r="1536" spans="1:1">
      <c r="A1536" s="1" t="s">
        <v>256</v>
      </c>
    </row>
    <row r="1537" spans="1:1">
      <c r="A1537" s="1" t="s">
        <v>257</v>
      </c>
    </row>
    <row r="1538" spans="1:1">
      <c r="A1538" s="1" t="s">
        <v>258</v>
      </c>
    </row>
    <row r="1539" spans="1:1">
      <c r="A1539" s="1" t="s">
        <v>259</v>
      </c>
    </row>
    <row r="1540" spans="1:1">
      <c r="A1540" s="1" t="s">
        <v>260</v>
      </c>
    </row>
    <row r="1541" spans="1:1">
      <c r="A1541" s="1" t="s">
        <v>261</v>
      </c>
    </row>
    <row r="1542" spans="1:1">
      <c r="A1542" s="1" t="s">
        <v>262</v>
      </c>
    </row>
    <row r="1543" spans="1:1">
      <c r="A1543" s="1" t="s">
        <v>256</v>
      </c>
    </row>
    <row r="1544" spans="1:1">
      <c r="A1544" s="1" t="s">
        <v>256</v>
      </c>
    </row>
    <row r="1545" spans="1:1">
      <c r="A1545" s="1" t="s">
        <v>256</v>
      </c>
    </row>
    <row r="1546" spans="1:1">
      <c r="A1546" s="1" t="s">
        <v>257</v>
      </c>
    </row>
    <row r="1547" spans="1:1">
      <c r="A1547" s="1" t="s">
        <v>258</v>
      </c>
    </row>
    <row r="1548" spans="1:1">
      <c r="A1548" s="1" t="s">
        <v>259</v>
      </c>
    </row>
    <row r="1549" spans="1:1">
      <c r="A1549" s="1" t="s">
        <v>260</v>
      </c>
    </row>
    <row r="1550" spans="1:1">
      <c r="A1550" s="1" t="s">
        <v>261</v>
      </c>
    </row>
    <row r="1551" spans="1:1">
      <c r="A1551" s="1" t="s">
        <v>262</v>
      </c>
    </row>
    <row r="1552" spans="1:1">
      <c r="A1552" s="1" t="s">
        <v>256</v>
      </c>
    </row>
    <row r="1553" spans="1:1">
      <c r="A1553" s="1" t="s">
        <v>256</v>
      </c>
    </row>
    <row r="1554" spans="1:1">
      <c r="A1554" s="1" t="s">
        <v>256</v>
      </c>
    </row>
    <row r="1555" spans="1:1">
      <c r="A1555" s="1" t="s">
        <v>257</v>
      </c>
    </row>
    <row r="1556" spans="1:1">
      <c r="A1556" s="1" t="s">
        <v>258</v>
      </c>
    </row>
    <row r="1557" spans="1:1">
      <c r="A1557" s="1" t="s">
        <v>259</v>
      </c>
    </row>
    <row r="1558" spans="1:1">
      <c r="A1558" s="1" t="s">
        <v>260</v>
      </c>
    </row>
    <row r="1559" spans="1:1">
      <c r="A1559" s="1" t="s">
        <v>261</v>
      </c>
    </row>
    <row r="1560" spans="1:1">
      <c r="A1560" s="1" t="s">
        <v>262</v>
      </c>
    </row>
    <row r="1561" spans="1:1">
      <c r="A1561" s="1" t="s">
        <v>256</v>
      </c>
    </row>
    <row r="1562" spans="1:1">
      <c r="A1562" s="1" t="s">
        <v>256</v>
      </c>
    </row>
    <row r="1563" spans="1:1">
      <c r="A1563" s="1" t="s">
        <v>256</v>
      </c>
    </row>
    <row r="1564" spans="1:1">
      <c r="A1564" s="1" t="s">
        <v>257</v>
      </c>
    </row>
    <row r="1565" spans="1:1">
      <c r="A1565" s="1" t="s">
        <v>258</v>
      </c>
    </row>
    <row r="1566" spans="1:1">
      <c r="A1566" s="1" t="s">
        <v>259</v>
      </c>
    </row>
    <row r="1567" spans="1:1">
      <c r="A1567" s="1" t="s">
        <v>260</v>
      </c>
    </row>
    <row r="1568" spans="1:1">
      <c r="A1568" s="1" t="s">
        <v>261</v>
      </c>
    </row>
    <row r="1569" spans="1:1">
      <c r="A1569" s="1" t="s">
        <v>262</v>
      </c>
    </row>
    <row r="1570" spans="1:1">
      <c r="A1570" s="1" t="s">
        <v>256</v>
      </c>
    </row>
    <row r="1571" spans="1:1">
      <c r="A1571" s="1" t="s">
        <v>256</v>
      </c>
    </row>
    <row r="1572" spans="1:1">
      <c r="A1572" s="1" t="s">
        <v>256</v>
      </c>
    </row>
    <row r="1573" spans="1:1">
      <c r="A1573" s="1" t="s">
        <v>257</v>
      </c>
    </row>
    <row r="1574" spans="1:1">
      <c r="A1574" s="1" t="s">
        <v>258</v>
      </c>
    </row>
    <row r="1575" spans="1:1">
      <c r="A1575" s="1" t="s">
        <v>259</v>
      </c>
    </row>
    <row r="1576" spans="1:1">
      <c r="A1576" s="1" t="s">
        <v>260</v>
      </c>
    </row>
    <row r="1577" spans="1:1">
      <c r="A1577" s="1" t="s">
        <v>261</v>
      </c>
    </row>
    <row r="1578" spans="1:1">
      <c r="A1578" s="1" t="s">
        <v>262</v>
      </c>
    </row>
    <row r="1579" spans="1:1">
      <c r="A1579" s="1" t="s">
        <v>256</v>
      </c>
    </row>
    <row r="1580" spans="1:1">
      <c r="A1580" s="1" t="s">
        <v>256</v>
      </c>
    </row>
    <row r="1581" spans="1:1">
      <c r="A1581" s="1" t="s">
        <v>256</v>
      </c>
    </row>
    <row r="1582" spans="1:1">
      <c r="A1582" s="1" t="s">
        <v>257</v>
      </c>
    </row>
    <row r="1583" spans="1:1">
      <c r="A1583" s="1" t="s">
        <v>258</v>
      </c>
    </row>
    <row r="1584" spans="1:1">
      <c r="A1584" s="1" t="s">
        <v>259</v>
      </c>
    </row>
    <row r="1585" spans="1:1">
      <c r="A1585" s="1" t="s">
        <v>260</v>
      </c>
    </row>
    <row r="1586" spans="1:1">
      <c r="A1586" s="1" t="s">
        <v>261</v>
      </c>
    </row>
    <row r="1587" spans="1:1">
      <c r="A1587" s="1" t="s">
        <v>262</v>
      </c>
    </row>
    <row r="1588" spans="1:1">
      <c r="A1588" s="1" t="s">
        <v>256</v>
      </c>
    </row>
    <row r="1589" spans="1:1">
      <c r="A1589" s="1" t="s">
        <v>263</v>
      </c>
    </row>
    <row r="1590" spans="1:1">
      <c r="A1590" s="1" t="s">
        <v>263</v>
      </c>
    </row>
    <row r="1591" spans="1:1">
      <c r="A1591" s="1" t="s">
        <v>264</v>
      </c>
    </row>
    <row r="1592" spans="1:1">
      <c r="A1592" s="1" t="s">
        <v>265</v>
      </c>
    </row>
    <row r="1593" spans="1:1">
      <c r="A1593" s="1" t="s">
        <v>266</v>
      </c>
    </row>
    <row r="1594" spans="1:1">
      <c r="A1594" s="1" t="s">
        <v>267</v>
      </c>
    </row>
    <row r="1595" spans="1:1">
      <c r="A1595" s="1" t="s">
        <v>268</v>
      </c>
    </row>
    <row r="1596" spans="1:1">
      <c r="A1596" s="1" t="s">
        <v>269</v>
      </c>
    </row>
    <row r="1597" spans="1:1">
      <c r="A1597" s="1" t="s">
        <v>263</v>
      </c>
    </row>
    <row r="1598" spans="1:1">
      <c r="A1598" s="1" t="s">
        <v>263</v>
      </c>
    </row>
    <row r="1599" spans="1:1">
      <c r="A1599" s="1" t="s">
        <v>263</v>
      </c>
    </row>
    <row r="1600" spans="1:1">
      <c r="A1600" s="1" t="s">
        <v>264</v>
      </c>
    </row>
    <row r="1601" spans="1:1">
      <c r="A1601" s="1" t="s">
        <v>265</v>
      </c>
    </row>
    <row r="1602" spans="1:1">
      <c r="A1602" s="1" t="s">
        <v>266</v>
      </c>
    </row>
    <row r="1603" spans="1:1">
      <c r="A1603" s="1" t="s">
        <v>267</v>
      </c>
    </row>
    <row r="1604" spans="1:1">
      <c r="A1604" s="1" t="s">
        <v>268</v>
      </c>
    </row>
    <row r="1605" spans="1:1">
      <c r="A1605" s="1" t="s">
        <v>269</v>
      </c>
    </row>
    <row r="1606" spans="1:1">
      <c r="A1606" s="1" t="s">
        <v>263</v>
      </c>
    </row>
    <row r="1607" spans="1:1">
      <c r="A1607" s="1" t="s">
        <v>263</v>
      </c>
    </row>
    <row r="1608" spans="1:1">
      <c r="A1608" s="1" t="s">
        <v>263</v>
      </c>
    </row>
    <row r="1609" spans="1:1">
      <c r="A1609" s="1" t="s">
        <v>264</v>
      </c>
    </row>
    <row r="1610" spans="1:1">
      <c r="A1610" s="1" t="s">
        <v>265</v>
      </c>
    </row>
    <row r="1611" spans="1:1">
      <c r="A1611" s="1" t="s">
        <v>266</v>
      </c>
    </row>
    <row r="1612" spans="1:1">
      <c r="A1612" s="1" t="s">
        <v>267</v>
      </c>
    </row>
    <row r="1613" spans="1:1">
      <c r="A1613" s="1" t="s">
        <v>268</v>
      </c>
    </row>
    <row r="1614" spans="1:1">
      <c r="A1614" s="1" t="s">
        <v>269</v>
      </c>
    </row>
    <row r="1615" spans="1:1">
      <c r="A1615" s="1" t="s">
        <v>263</v>
      </c>
    </row>
    <row r="1616" spans="1:1">
      <c r="A1616" s="1" t="s">
        <v>263</v>
      </c>
    </row>
    <row r="1617" spans="1:1">
      <c r="A1617" s="1" t="s">
        <v>263</v>
      </c>
    </row>
    <row r="1618" spans="1:1">
      <c r="A1618" s="1" t="s">
        <v>264</v>
      </c>
    </row>
    <row r="1619" spans="1:1">
      <c r="A1619" s="1" t="s">
        <v>265</v>
      </c>
    </row>
    <row r="1620" spans="1:1">
      <c r="A1620" s="1" t="s">
        <v>266</v>
      </c>
    </row>
    <row r="1621" spans="1:1">
      <c r="A1621" s="1" t="s">
        <v>267</v>
      </c>
    </row>
    <row r="1622" spans="1:1">
      <c r="A1622" s="1" t="s">
        <v>268</v>
      </c>
    </row>
    <row r="1623" spans="1:1">
      <c r="A1623" s="1" t="s">
        <v>269</v>
      </c>
    </row>
    <row r="1624" spans="1:1">
      <c r="A1624" s="1" t="s">
        <v>263</v>
      </c>
    </row>
    <row r="1625" spans="1:1">
      <c r="A1625" s="1" t="s">
        <v>263</v>
      </c>
    </row>
    <row r="1626" spans="1:1">
      <c r="A1626" s="1" t="s">
        <v>263</v>
      </c>
    </row>
    <row r="1627" spans="1:1">
      <c r="A1627" s="1" t="s">
        <v>264</v>
      </c>
    </row>
    <row r="1628" spans="1:1">
      <c r="A1628" s="1" t="s">
        <v>265</v>
      </c>
    </row>
    <row r="1629" spans="1:1">
      <c r="A1629" s="1" t="s">
        <v>266</v>
      </c>
    </row>
    <row r="1630" spans="1:1">
      <c r="A1630" s="1" t="s">
        <v>267</v>
      </c>
    </row>
    <row r="1631" spans="1:1">
      <c r="A1631" s="1" t="s">
        <v>268</v>
      </c>
    </row>
    <row r="1632" spans="1:1">
      <c r="A1632" s="1" t="s">
        <v>269</v>
      </c>
    </row>
    <row r="1633" spans="1:1">
      <c r="A1633" s="1" t="s">
        <v>263</v>
      </c>
    </row>
    <row r="1634" spans="1:1">
      <c r="A1634" s="1" t="s">
        <v>263</v>
      </c>
    </row>
    <row r="1635" spans="1:1">
      <c r="A1635" s="1" t="s">
        <v>263</v>
      </c>
    </row>
    <row r="1636" spans="1:1">
      <c r="A1636" s="1" t="s">
        <v>264</v>
      </c>
    </row>
    <row r="1637" spans="1:1">
      <c r="A1637" s="1" t="s">
        <v>265</v>
      </c>
    </row>
    <row r="1638" spans="1:1">
      <c r="A1638" s="1" t="s">
        <v>266</v>
      </c>
    </row>
    <row r="1639" spans="1:1">
      <c r="A1639" s="1" t="s">
        <v>267</v>
      </c>
    </row>
    <row r="1640" spans="1:1">
      <c r="A1640" s="1" t="s">
        <v>268</v>
      </c>
    </row>
    <row r="1641" spans="1:1">
      <c r="A1641" s="1" t="s">
        <v>269</v>
      </c>
    </row>
    <row r="1642" spans="1:1">
      <c r="A1642" s="1" t="s">
        <v>263</v>
      </c>
    </row>
    <row r="1643" spans="1:1">
      <c r="A1643" s="1" t="s">
        <v>270</v>
      </c>
    </row>
    <row r="1644" spans="1:1">
      <c r="A1644" s="1" t="s">
        <v>271</v>
      </c>
    </row>
    <row r="1645" spans="1:1">
      <c r="A1645" s="1" t="s">
        <v>272</v>
      </c>
    </row>
    <row r="1646" spans="1:1">
      <c r="A1646" s="1" t="s">
        <v>273</v>
      </c>
    </row>
    <row r="1647" spans="1:1">
      <c r="A1647" s="1" t="s">
        <v>274</v>
      </c>
    </row>
    <row r="1648" spans="1:1">
      <c r="A1648" s="1" t="s">
        <v>275</v>
      </c>
    </row>
    <row r="1649" spans="1:1">
      <c r="A1649" s="1" t="s">
        <v>276</v>
      </c>
    </row>
    <row r="1650" spans="1:1">
      <c r="A1650" s="1" t="s">
        <v>277</v>
      </c>
    </row>
    <row r="1651" spans="1:1">
      <c r="A1651" s="1" t="s">
        <v>278</v>
      </c>
    </row>
    <row r="1652" spans="1:1">
      <c r="A1652" s="1" t="s">
        <v>279</v>
      </c>
    </row>
    <row r="1653" spans="1:1">
      <c r="A1653" s="1" t="s">
        <v>280</v>
      </c>
    </row>
    <row r="1654" spans="1:1">
      <c r="A1654" s="1" t="s">
        <v>281</v>
      </c>
    </row>
    <row r="1655" spans="1:1">
      <c r="A1655" s="1" t="s">
        <v>282</v>
      </c>
    </row>
    <row r="1656" spans="1:1">
      <c r="A1656" s="1" t="s">
        <v>283</v>
      </c>
    </row>
    <row r="1657" spans="1:1">
      <c r="A1657" s="1" t="s">
        <v>284</v>
      </c>
    </row>
    <row r="1658" spans="1:1">
      <c r="A1658" s="1" t="s">
        <v>285</v>
      </c>
    </row>
    <row r="1659" spans="1:1">
      <c r="A1659" s="1" t="s">
        <v>286</v>
      </c>
    </row>
    <row r="1660" spans="1:1">
      <c r="A1660" s="1" t="s">
        <v>287</v>
      </c>
    </row>
    <row r="1661" spans="1:1">
      <c r="A1661" s="1" t="s">
        <v>288</v>
      </c>
    </row>
    <row r="1662" spans="1:1">
      <c r="A1662" s="1" t="s">
        <v>289</v>
      </c>
    </row>
    <row r="1663" spans="1:1">
      <c r="A1663" s="1" t="s">
        <v>290</v>
      </c>
    </row>
    <row r="1664" spans="1:1">
      <c r="A1664" s="1" t="s">
        <v>291</v>
      </c>
    </row>
    <row r="1665" spans="1:1">
      <c r="A1665" s="1" t="s">
        <v>292</v>
      </c>
    </row>
    <row r="1666" spans="1:1">
      <c r="A1666" s="1" t="s">
        <v>293</v>
      </c>
    </row>
    <row r="1667" spans="1:1">
      <c r="A1667" s="1" t="s">
        <v>294</v>
      </c>
    </row>
    <row r="1668" spans="1:1">
      <c r="A1668" s="1" t="s">
        <v>295</v>
      </c>
    </row>
    <row r="1669" spans="1:1">
      <c r="A1669" s="1" t="s">
        <v>296</v>
      </c>
    </row>
    <row r="1670" spans="1:1">
      <c r="A1670" s="1" t="s">
        <v>297</v>
      </c>
    </row>
    <row r="1671" spans="1:1">
      <c r="A1671" s="1" t="s">
        <v>298</v>
      </c>
    </row>
    <row r="1672" spans="1:1">
      <c r="A1672" s="1" t="s">
        <v>299</v>
      </c>
    </row>
    <row r="1673" spans="1:1">
      <c r="A1673" s="1" t="s">
        <v>298</v>
      </c>
    </row>
    <row r="1674" spans="1:1">
      <c r="A1674" s="1" t="s">
        <v>299</v>
      </c>
    </row>
    <row r="1675" spans="1:1">
      <c r="A1675" s="1" t="s">
        <v>300</v>
      </c>
    </row>
    <row r="1676" spans="1:1">
      <c r="A1676" s="1" t="s">
        <v>301</v>
      </c>
    </row>
    <row r="1677" spans="1:1">
      <c r="A1677" s="1" t="s">
        <v>302</v>
      </c>
    </row>
    <row r="1678" spans="1:1">
      <c r="A1678" s="1" t="s">
        <v>303</v>
      </c>
    </row>
    <row r="1679" spans="1:1">
      <c r="A1679" s="1" t="s">
        <v>304</v>
      </c>
    </row>
    <row r="1680" spans="1:1">
      <c r="A1680" s="1" t="s">
        <v>305</v>
      </c>
    </row>
    <row r="1681" spans="1:1">
      <c r="A1681" s="1" t="s">
        <v>306</v>
      </c>
    </row>
    <row r="1682" spans="1:1">
      <c r="A1682" s="1" t="s">
        <v>307</v>
      </c>
    </row>
    <row r="1683" spans="1:1">
      <c r="A1683" s="1" t="s">
        <v>308</v>
      </c>
    </row>
    <row r="1684" spans="1:1">
      <c r="A1684" s="1" t="s">
        <v>309</v>
      </c>
    </row>
    <row r="1685" spans="1:1">
      <c r="A1685" s="1" t="s">
        <v>310</v>
      </c>
    </row>
    <row r="1686" spans="1:1">
      <c r="A1686" s="1" t="s">
        <v>311</v>
      </c>
    </row>
    <row r="1687" spans="1:1">
      <c r="A1687" s="1" t="s">
        <v>312</v>
      </c>
    </row>
    <row r="1688" spans="1:1">
      <c r="A1688" s="1" t="s">
        <v>313</v>
      </c>
    </row>
    <row r="1689" spans="1:1">
      <c r="A1689" s="1" t="s">
        <v>314</v>
      </c>
    </row>
    <row r="1690" spans="1:1">
      <c r="A1690" s="1" t="s">
        <v>315</v>
      </c>
    </row>
    <row r="1691" spans="1:1">
      <c r="A1691" s="1" t="s">
        <v>316</v>
      </c>
    </row>
    <row r="1692" spans="1:1">
      <c r="A1692" s="1" t="s">
        <v>317</v>
      </c>
    </row>
    <row r="1693" spans="1:1">
      <c r="A1693" s="1" t="s">
        <v>318</v>
      </c>
    </row>
    <row r="1694" spans="1:1">
      <c r="A1694" s="1" t="s">
        <v>319</v>
      </c>
    </row>
    <row r="1695" spans="1:1">
      <c r="A1695" s="1" t="s">
        <v>320</v>
      </c>
    </row>
    <row r="1696" spans="1:1">
      <c r="A1696" s="1" t="s">
        <v>321</v>
      </c>
    </row>
    <row r="1697" spans="1:1">
      <c r="A1697" s="1" t="s">
        <v>322</v>
      </c>
    </row>
    <row r="1698" spans="1:1">
      <c r="A1698" s="1" t="s">
        <v>323</v>
      </c>
    </row>
    <row r="1699" spans="1:1">
      <c r="A1699" s="1" t="s">
        <v>324</v>
      </c>
    </row>
    <row r="1700" spans="1:1">
      <c r="A1700" s="1" t="s">
        <v>325</v>
      </c>
    </row>
    <row r="1701" spans="1:1">
      <c r="A1701" s="1" t="s">
        <v>326</v>
      </c>
    </row>
    <row r="1702" spans="1:1">
      <c r="A1702" s="1" t="s">
        <v>327</v>
      </c>
    </row>
    <row r="1703" spans="1:1">
      <c r="A1703" s="1" t="s">
        <v>328</v>
      </c>
    </row>
    <row r="1704" spans="1:1">
      <c r="A1704" s="1" t="s">
        <v>329</v>
      </c>
    </row>
    <row r="1705" spans="1:1">
      <c r="A1705" s="1" t="s">
        <v>330</v>
      </c>
    </row>
    <row r="1706" spans="1:1">
      <c r="A1706" s="1" t="s">
        <v>331</v>
      </c>
    </row>
    <row r="1707" spans="1:1">
      <c r="A1707" s="1" t="s">
        <v>332</v>
      </c>
    </row>
    <row r="1708" spans="1:1">
      <c r="A1708" s="1" t="s">
        <v>333</v>
      </c>
    </row>
    <row r="1709" spans="1:1">
      <c r="A1709" s="1" t="s">
        <v>334</v>
      </c>
    </row>
    <row r="1710" spans="1:1">
      <c r="A1710" s="1" t="s">
        <v>335</v>
      </c>
    </row>
    <row r="1711" spans="1:1">
      <c r="A1711" s="1" t="s">
        <v>336</v>
      </c>
    </row>
    <row r="1712" spans="1:1">
      <c r="A1712" s="1" t="s">
        <v>337</v>
      </c>
    </row>
    <row r="1713" spans="1:1">
      <c r="A1713" s="1" t="s">
        <v>338</v>
      </c>
    </row>
    <row r="1714" spans="1:1">
      <c r="A1714" s="1" t="s">
        <v>339</v>
      </c>
    </row>
    <row r="1715" spans="1:1">
      <c r="A1715" s="1" t="s">
        <v>340</v>
      </c>
    </row>
    <row r="1716" spans="1:1">
      <c r="A1716" s="1" t="s">
        <v>341</v>
      </c>
    </row>
    <row r="1717" spans="1:1">
      <c r="A1717" s="1" t="s">
        <v>342</v>
      </c>
    </row>
    <row r="1718" spans="1:1">
      <c r="A1718" s="1" t="s">
        <v>343</v>
      </c>
    </row>
    <row r="1719" spans="1:1">
      <c r="A1719" s="1" t="s">
        <v>344</v>
      </c>
    </row>
    <row r="1720" spans="1:1">
      <c r="A1720" s="1" t="s">
        <v>345</v>
      </c>
    </row>
    <row r="1721" spans="1:1">
      <c r="A1721" s="1" t="s">
        <v>346</v>
      </c>
    </row>
    <row r="1722" spans="1:1">
      <c r="A1722" s="1" t="s">
        <v>347</v>
      </c>
    </row>
    <row r="1723" spans="1:1">
      <c r="A1723" s="1" t="s">
        <v>348</v>
      </c>
    </row>
    <row r="1724" spans="1:1">
      <c r="A1724" s="1" t="s">
        <v>349</v>
      </c>
    </row>
    <row r="1725" spans="1:1">
      <c r="A1725" s="1" t="s">
        <v>350</v>
      </c>
    </row>
    <row r="1726" spans="1:1">
      <c r="A1726" s="1" t="s">
        <v>351</v>
      </c>
    </row>
    <row r="1727" spans="1:1">
      <c r="A1727" s="1" t="s">
        <v>352</v>
      </c>
    </row>
    <row r="1728" spans="1:1">
      <c r="A1728" s="1" t="s">
        <v>353</v>
      </c>
    </row>
    <row r="1729" spans="1:1">
      <c r="A1729" s="1" t="s">
        <v>354</v>
      </c>
    </row>
    <row r="1730" spans="1:1">
      <c r="A1730" s="1" t="s">
        <v>355</v>
      </c>
    </row>
    <row r="1731" spans="1:1">
      <c r="A1731" s="1" t="s">
        <v>355</v>
      </c>
    </row>
    <row r="1732" spans="1:1">
      <c r="A1732" s="1" t="s">
        <v>356</v>
      </c>
    </row>
    <row r="1733" spans="1:1">
      <c r="A1733" s="1" t="s">
        <v>357</v>
      </c>
    </row>
    <row r="1734" spans="1:1">
      <c r="A1734" s="1" t="s">
        <v>358</v>
      </c>
    </row>
    <row r="1735" spans="1:1">
      <c r="A1735" s="1" t="s">
        <v>359</v>
      </c>
    </row>
    <row r="1736" spans="1:1">
      <c r="A1736" s="1" t="s">
        <v>360</v>
      </c>
    </row>
    <row r="1737" spans="1:1">
      <c r="A1737" s="1" t="s">
        <v>361</v>
      </c>
    </row>
    <row r="1738" spans="1:1">
      <c r="A1738" s="1" t="s">
        <v>355</v>
      </c>
    </row>
    <row r="1739" spans="1:1">
      <c r="A1739" s="1" t="s">
        <v>355</v>
      </c>
    </row>
    <row r="1740" spans="1:1">
      <c r="A1740" s="1" t="s">
        <v>355</v>
      </c>
    </row>
    <row r="1741" spans="1:1">
      <c r="A1741" s="1" t="s">
        <v>356</v>
      </c>
    </row>
    <row r="1742" spans="1:1">
      <c r="A1742" s="1" t="s">
        <v>357</v>
      </c>
    </row>
    <row r="1743" spans="1:1">
      <c r="A1743" s="1" t="s">
        <v>358</v>
      </c>
    </row>
    <row r="1744" spans="1:1">
      <c r="A1744" s="1" t="s">
        <v>359</v>
      </c>
    </row>
    <row r="1745" spans="1:1">
      <c r="A1745" s="1" t="s">
        <v>360</v>
      </c>
    </row>
    <row r="1746" spans="1:1">
      <c r="A1746" s="1" t="s">
        <v>361</v>
      </c>
    </row>
    <row r="1747" spans="1:1">
      <c r="A1747" s="1" t="s">
        <v>355</v>
      </c>
    </row>
    <row r="1748" spans="1:1">
      <c r="A1748" s="1" t="s">
        <v>355</v>
      </c>
    </row>
    <row r="1749" spans="1:1">
      <c r="A1749" s="1" t="s">
        <v>355</v>
      </c>
    </row>
    <row r="1750" spans="1:1">
      <c r="A1750" s="1" t="s">
        <v>356</v>
      </c>
    </row>
    <row r="1751" spans="1:1">
      <c r="A1751" s="1" t="s">
        <v>357</v>
      </c>
    </row>
    <row r="1752" spans="1:1">
      <c r="A1752" s="1" t="s">
        <v>358</v>
      </c>
    </row>
    <row r="1753" spans="1:1">
      <c r="A1753" s="1" t="s">
        <v>359</v>
      </c>
    </row>
    <row r="1754" spans="1:1">
      <c r="A1754" s="1" t="s">
        <v>360</v>
      </c>
    </row>
    <row r="1755" spans="1:1">
      <c r="A1755" s="1" t="s">
        <v>361</v>
      </c>
    </row>
    <row r="1756" spans="1:1">
      <c r="A1756" s="1" t="s">
        <v>355</v>
      </c>
    </row>
    <row r="1757" spans="1:1">
      <c r="A1757" s="1" t="s">
        <v>355</v>
      </c>
    </row>
    <row r="1758" spans="1:1">
      <c r="A1758" s="1" t="s">
        <v>355</v>
      </c>
    </row>
    <row r="1759" spans="1:1">
      <c r="A1759" s="1" t="s">
        <v>356</v>
      </c>
    </row>
    <row r="1760" spans="1:1">
      <c r="A1760" s="1" t="s">
        <v>357</v>
      </c>
    </row>
    <row r="1761" spans="1:1">
      <c r="A1761" s="1" t="s">
        <v>358</v>
      </c>
    </row>
    <row r="1762" spans="1:1">
      <c r="A1762" s="1" t="s">
        <v>359</v>
      </c>
    </row>
    <row r="1763" spans="1:1">
      <c r="A1763" s="1" t="s">
        <v>360</v>
      </c>
    </row>
    <row r="1764" spans="1:1">
      <c r="A1764" s="1" t="s">
        <v>361</v>
      </c>
    </row>
    <row r="1765" spans="1:1">
      <c r="A1765" s="1" t="s">
        <v>355</v>
      </c>
    </row>
    <row r="1766" spans="1:1">
      <c r="A1766" s="1" t="s">
        <v>355</v>
      </c>
    </row>
    <row r="1767" spans="1:1">
      <c r="A1767" s="1" t="s">
        <v>355</v>
      </c>
    </row>
    <row r="1768" spans="1:1">
      <c r="A1768" s="1" t="s">
        <v>356</v>
      </c>
    </row>
    <row r="1769" spans="1:1">
      <c r="A1769" s="1" t="s">
        <v>357</v>
      </c>
    </row>
    <row r="1770" spans="1:1">
      <c r="A1770" s="1" t="s">
        <v>358</v>
      </c>
    </row>
    <row r="1771" spans="1:1">
      <c r="A1771" s="1" t="s">
        <v>359</v>
      </c>
    </row>
    <row r="1772" spans="1:1">
      <c r="A1772" s="1" t="s">
        <v>360</v>
      </c>
    </row>
    <row r="1773" spans="1:1">
      <c r="A1773" s="1" t="s">
        <v>361</v>
      </c>
    </row>
    <row r="1774" spans="1:1">
      <c r="A1774" s="1" t="s">
        <v>355</v>
      </c>
    </row>
    <row r="1775" spans="1:1">
      <c r="A1775" s="1" t="s">
        <v>355</v>
      </c>
    </row>
    <row r="1776" spans="1:1">
      <c r="A1776" s="1" t="s">
        <v>355</v>
      </c>
    </row>
    <row r="1777" spans="1:1">
      <c r="A1777" s="1" t="s">
        <v>356</v>
      </c>
    </row>
    <row r="1778" spans="1:1">
      <c r="A1778" s="1" t="s">
        <v>357</v>
      </c>
    </row>
    <row r="1779" spans="1:1">
      <c r="A1779" s="1" t="s">
        <v>358</v>
      </c>
    </row>
    <row r="1780" spans="1:1">
      <c r="A1780" s="1" t="s">
        <v>359</v>
      </c>
    </row>
    <row r="1781" spans="1:1">
      <c r="A1781" s="1" t="s">
        <v>360</v>
      </c>
    </row>
    <row r="1782" spans="1:1">
      <c r="A1782" s="1" t="s">
        <v>361</v>
      </c>
    </row>
    <row r="1783" spans="1:1">
      <c r="A1783" s="1" t="s">
        <v>355</v>
      </c>
    </row>
    <row r="1784" spans="1:1">
      <c r="A1784" s="1" t="s">
        <v>362</v>
      </c>
    </row>
    <row r="1785" spans="1:1">
      <c r="A1785" s="1" t="s">
        <v>363</v>
      </c>
    </row>
    <row r="1786" spans="1:1">
      <c r="A1786" s="1" t="s">
        <v>355</v>
      </c>
    </row>
    <row r="1787" spans="1:1">
      <c r="A1787" s="1" t="s">
        <v>364</v>
      </c>
    </row>
    <row r="1788" spans="1:1">
      <c r="A1788" s="1" t="s">
        <v>365</v>
      </c>
    </row>
    <row r="1789" spans="1:1">
      <c r="A1789" s="1" t="s">
        <v>366</v>
      </c>
    </row>
    <row r="1790" spans="1:1">
      <c r="A1790" s="1" t="s">
        <v>367</v>
      </c>
    </row>
    <row r="1791" spans="1:1">
      <c r="A1791" s="1" t="s">
        <v>368</v>
      </c>
    </row>
    <row r="1792" spans="1:1">
      <c r="A1792" s="1" t="s">
        <v>369</v>
      </c>
    </row>
    <row r="1793" spans="1:1">
      <c r="A1793" s="1" t="s">
        <v>370</v>
      </c>
    </row>
    <row r="1794" spans="1:1">
      <c r="A1794" s="1" t="s">
        <v>371</v>
      </c>
    </row>
    <row r="1795" spans="1:1">
      <c r="A1795" s="1" t="s">
        <v>372</v>
      </c>
    </row>
    <row r="1796" spans="1:1">
      <c r="A1796" s="1" t="s">
        <v>373</v>
      </c>
    </row>
    <row r="1797" spans="1:1">
      <c r="A1797" s="1" t="s">
        <v>374</v>
      </c>
    </row>
    <row r="1798" spans="1:1">
      <c r="A1798" s="1" t="s">
        <v>375</v>
      </c>
    </row>
    <row r="1799" spans="1:1">
      <c r="A1799" s="1" t="s">
        <v>376</v>
      </c>
    </row>
    <row r="1800" spans="1:1">
      <c r="A1800" s="1" t="s">
        <v>377</v>
      </c>
    </row>
    <row r="1801" spans="1:1">
      <c r="A1801" s="1" t="s">
        <v>378</v>
      </c>
    </row>
    <row r="1802" spans="1:1">
      <c r="A1802" s="1" t="s">
        <v>379</v>
      </c>
    </row>
    <row r="1803" spans="1:1">
      <c r="A1803" s="1" t="s">
        <v>380</v>
      </c>
    </row>
    <row r="1804" spans="1:1">
      <c r="A1804" s="1" t="s">
        <v>381</v>
      </c>
    </row>
    <row r="1805" spans="1:1">
      <c r="A1805" s="1" t="s">
        <v>382</v>
      </c>
    </row>
    <row r="1806" spans="1:1">
      <c r="A1806" s="1" t="s">
        <v>383</v>
      </c>
    </row>
    <row r="1807" spans="1:1">
      <c r="A1807" s="1" t="s">
        <v>383</v>
      </c>
    </row>
    <row r="1808" spans="1:1">
      <c r="A1808" s="1" t="s">
        <v>384</v>
      </c>
    </row>
    <row r="1809" spans="1:1">
      <c r="A1809" s="1" t="s">
        <v>385</v>
      </c>
    </row>
    <row r="1810" spans="1:1">
      <c r="A1810" s="1" t="s">
        <v>386</v>
      </c>
    </row>
    <row r="1811" spans="1:1">
      <c r="A1811" s="1" t="s">
        <v>387</v>
      </c>
    </row>
    <row r="1812" spans="1:1">
      <c r="A1812" s="1" t="s">
        <v>388</v>
      </c>
    </row>
    <row r="1813" spans="1:1">
      <c r="A1813" s="1" t="s">
        <v>389</v>
      </c>
    </row>
    <row r="1814" spans="1:1">
      <c r="A1814" s="1" t="s">
        <v>383</v>
      </c>
    </row>
    <row r="1815" spans="1:1">
      <c r="A1815" s="1" t="s">
        <v>383</v>
      </c>
    </row>
    <row r="1816" spans="1:1">
      <c r="A1816" s="1" t="s">
        <v>383</v>
      </c>
    </row>
    <row r="1817" spans="1:1">
      <c r="A1817" s="1" t="s">
        <v>384</v>
      </c>
    </row>
    <row r="1818" spans="1:1">
      <c r="A1818" s="1" t="s">
        <v>385</v>
      </c>
    </row>
    <row r="1819" spans="1:1">
      <c r="A1819" s="1" t="s">
        <v>386</v>
      </c>
    </row>
    <row r="1820" spans="1:1">
      <c r="A1820" s="1" t="s">
        <v>387</v>
      </c>
    </row>
    <row r="1821" spans="1:1">
      <c r="A1821" s="1" t="s">
        <v>388</v>
      </c>
    </row>
    <row r="1822" spans="1:1">
      <c r="A1822" s="1" t="s">
        <v>389</v>
      </c>
    </row>
    <row r="1823" spans="1:1">
      <c r="A1823" s="1" t="s">
        <v>383</v>
      </c>
    </row>
    <row r="1824" spans="1:1">
      <c r="A1824" s="1" t="s">
        <v>383</v>
      </c>
    </row>
    <row r="1825" spans="1:1">
      <c r="A1825" s="1" t="s">
        <v>383</v>
      </c>
    </row>
    <row r="1826" spans="1:1">
      <c r="A1826" s="1" t="s">
        <v>384</v>
      </c>
    </row>
    <row r="1827" spans="1:1">
      <c r="A1827" s="1" t="s">
        <v>385</v>
      </c>
    </row>
    <row r="1828" spans="1:1">
      <c r="A1828" s="1" t="s">
        <v>386</v>
      </c>
    </row>
    <row r="1829" spans="1:1">
      <c r="A1829" s="1" t="s">
        <v>387</v>
      </c>
    </row>
    <row r="1830" spans="1:1">
      <c r="A1830" s="1" t="s">
        <v>388</v>
      </c>
    </row>
    <row r="1831" spans="1:1">
      <c r="A1831" s="1" t="s">
        <v>389</v>
      </c>
    </row>
    <row r="1832" spans="1:1">
      <c r="A1832" s="1" t="s">
        <v>383</v>
      </c>
    </row>
    <row r="1833" spans="1:1">
      <c r="A1833" s="1" t="s">
        <v>383</v>
      </c>
    </row>
    <row r="1834" spans="1:1">
      <c r="A1834" s="1" t="s">
        <v>383</v>
      </c>
    </row>
    <row r="1835" spans="1:1">
      <c r="A1835" s="1" t="s">
        <v>384</v>
      </c>
    </row>
    <row r="1836" spans="1:1">
      <c r="A1836" s="1" t="s">
        <v>385</v>
      </c>
    </row>
    <row r="1837" spans="1:1">
      <c r="A1837" s="1" t="s">
        <v>386</v>
      </c>
    </row>
    <row r="1838" spans="1:1">
      <c r="A1838" s="1" t="s">
        <v>387</v>
      </c>
    </row>
    <row r="1839" spans="1:1">
      <c r="A1839" s="1" t="s">
        <v>388</v>
      </c>
    </row>
    <row r="1840" spans="1:1">
      <c r="A1840" s="1" t="s">
        <v>389</v>
      </c>
    </row>
    <row r="1841" spans="1:1">
      <c r="A1841" s="1" t="s">
        <v>383</v>
      </c>
    </row>
    <row r="1842" spans="1:1">
      <c r="A1842" s="1" t="s">
        <v>383</v>
      </c>
    </row>
    <row r="1843" spans="1:1">
      <c r="A1843" s="1" t="s">
        <v>383</v>
      </c>
    </row>
    <row r="1844" spans="1:1">
      <c r="A1844" s="1" t="s">
        <v>384</v>
      </c>
    </row>
    <row r="1845" spans="1:1">
      <c r="A1845" s="1" t="s">
        <v>385</v>
      </c>
    </row>
    <row r="1846" spans="1:1">
      <c r="A1846" s="1" t="s">
        <v>386</v>
      </c>
    </row>
    <row r="1847" spans="1:1">
      <c r="A1847" s="1" t="s">
        <v>387</v>
      </c>
    </row>
    <row r="1848" spans="1:1">
      <c r="A1848" s="1" t="s">
        <v>388</v>
      </c>
    </row>
    <row r="1849" spans="1:1">
      <c r="A1849" s="1" t="s">
        <v>389</v>
      </c>
    </row>
    <row r="1850" spans="1:1">
      <c r="A1850" s="1" t="s">
        <v>383</v>
      </c>
    </row>
    <row r="1851" spans="1:1">
      <c r="A1851" s="1" t="s">
        <v>383</v>
      </c>
    </row>
    <row r="1852" spans="1:1">
      <c r="A1852" s="1" t="s">
        <v>383</v>
      </c>
    </row>
    <row r="1853" spans="1:1">
      <c r="A1853" s="1" t="s">
        <v>384</v>
      </c>
    </row>
    <row r="1854" spans="1:1">
      <c r="A1854" s="1" t="s">
        <v>385</v>
      </c>
    </row>
    <row r="1855" spans="1:1">
      <c r="A1855" s="1" t="s">
        <v>386</v>
      </c>
    </row>
    <row r="1856" spans="1:1">
      <c r="A1856" s="1" t="s">
        <v>387</v>
      </c>
    </row>
    <row r="1857" spans="1:1">
      <c r="A1857" s="1" t="s">
        <v>388</v>
      </c>
    </row>
    <row r="1858" spans="1:1">
      <c r="A1858" s="1" t="s">
        <v>389</v>
      </c>
    </row>
    <row r="1859" spans="1:1">
      <c r="A1859" s="1" t="s">
        <v>383</v>
      </c>
    </row>
    <row r="1860" spans="1:1">
      <c r="A1860" s="1" t="s">
        <v>390</v>
      </c>
    </row>
    <row r="1861" spans="1:1">
      <c r="A1861" s="1" t="s">
        <v>391</v>
      </c>
    </row>
    <row r="1862" spans="1:1">
      <c r="A1862" s="1" t="s">
        <v>392</v>
      </c>
    </row>
    <row r="1863" spans="1:1">
      <c r="A1863" s="1" t="s">
        <v>393</v>
      </c>
    </row>
    <row r="1864" spans="1:1">
      <c r="A1864" s="1" t="s">
        <v>394</v>
      </c>
    </row>
    <row r="1865" spans="1:1">
      <c r="A1865" s="1" t="s">
        <v>395</v>
      </c>
    </row>
    <row r="1866" spans="1:1">
      <c r="A1866" s="1" t="s">
        <v>396</v>
      </c>
    </row>
    <row r="1867" spans="1:1">
      <c r="A1867" s="1" t="s">
        <v>397</v>
      </c>
    </row>
    <row r="1868" spans="1:1">
      <c r="A1868" s="1" t="s">
        <v>398</v>
      </c>
    </row>
    <row r="1869" spans="1:1">
      <c r="A1869" s="1" t="s">
        <v>399</v>
      </c>
    </row>
    <row r="1870" spans="1:1">
      <c r="A1870" s="1" t="s">
        <v>400</v>
      </c>
    </row>
    <row r="1871" spans="1:1">
      <c r="A1871" s="1" t="s">
        <v>401</v>
      </c>
    </row>
    <row r="1872" spans="1:1">
      <c r="A1872" s="1" t="s">
        <v>402</v>
      </c>
    </row>
    <row r="1873" spans="1:1">
      <c r="A1873" s="1" t="s">
        <v>403</v>
      </c>
    </row>
    <row r="1874" spans="1:1">
      <c r="A1874" s="1" t="s">
        <v>404</v>
      </c>
    </row>
    <row r="1875" spans="1:1">
      <c r="A1875" s="1" t="s">
        <v>405</v>
      </c>
    </row>
    <row r="1876" spans="1:1">
      <c r="A1876" s="1" t="s">
        <v>406</v>
      </c>
    </row>
    <row r="1877" spans="1:1">
      <c r="A1877" s="1" t="s">
        <v>407</v>
      </c>
    </row>
    <row r="1878" spans="1:1">
      <c r="A1878" s="1" t="s">
        <v>408</v>
      </c>
    </row>
    <row r="1879" spans="1:1">
      <c r="A1879" s="1" t="s">
        <v>408</v>
      </c>
    </row>
    <row r="1880" spans="1:1">
      <c r="A1880" s="1" t="s">
        <v>409</v>
      </c>
    </row>
    <row r="1881" spans="1:1">
      <c r="A1881" s="1" t="s">
        <v>410</v>
      </c>
    </row>
    <row r="1882" spans="1:1">
      <c r="A1882" s="1" t="s">
        <v>411</v>
      </c>
    </row>
    <row r="1883" spans="1:1">
      <c r="A1883" s="1" t="s">
        <v>412</v>
      </c>
    </row>
    <row r="1884" spans="1:1">
      <c r="A1884" s="1" t="s">
        <v>413</v>
      </c>
    </row>
    <row r="1885" spans="1:1">
      <c r="A1885" s="1" t="s">
        <v>414</v>
      </c>
    </row>
    <row r="1886" spans="1:1">
      <c r="A1886" s="1" t="s">
        <v>408</v>
      </c>
    </row>
    <row r="1887" spans="1:1">
      <c r="A1887" s="1" t="s">
        <v>408</v>
      </c>
    </row>
    <row r="1888" spans="1:1">
      <c r="A1888" s="1" t="s">
        <v>408</v>
      </c>
    </row>
    <row r="1889" spans="1:1">
      <c r="A1889" s="1" t="s">
        <v>409</v>
      </c>
    </row>
    <row r="1890" spans="1:1">
      <c r="A1890" s="1" t="s">
        <v>410</v>
      </c>
    </row>
    <row r="1891" spans="1:1">
      <c r="A1891" s="1" t="s">
        <v>411</v>
      </c>
    </row>
    <row r="1892" spans="1:1">
      <c r="A1892" s="1" t="s">
        <v>412</v>
      </c>
    </row>
    <row r="1893" spans="1:1">
      <c r="A1893" s="1" t="s">
        <v>413</v>
      </c>
    </row>
    <row r="1894" spans="1:1">
      <c r="A1894" s="1" t="s">
        <v>414</v>
      </c>
    </row>
    <row r="1895" spans="1:1">
      <c r="A1895" s="1" t="s">
        <v>408</v>
      </c>
    </row>
    <row r="1896" spans="1:1">
      <c r="A1896" s="1" t="s">
        <v>408</v>
      </c>
    </row>
    <row r="1897" spans="1:1">
      <c r="A1897" s="1" t="s">
        <v>408</v>
      </c>
    </row>
    <row r="1898" spans="1:1">
      <c r="A1898" s="1" t="s">
        <v>409</v>
      </c>
    </row>
    <row r="1899" spans="1:1">
      <c r="A1899" s="1" t="s">
        <v>410</v>
      </c>
    </row>
    <row r="1900" spans="1:1">
      <c r="A1900" s="1" t="s">
        <v>411</v>
      </c>
    </row>
    <row r="1901" spans="1:1">
      <c r="A1901" s="1" t="s">
        <v>415</v>
      </c>
    </row>
    <row r="1902" spans="1:1">
      <c r="A1902" s="1" t="s">
        <v>416</v>
      </c>
    </row>
    <row r="1903" spans="1:1">
      <c r="A1903" s="1" t="s">
        <v>417</v>
      </c>
    </row>
    <row r="1904" spans="1:1">
      <c r="A1904" s="1" t="s">
        <v>418</v>
      </c>
    </row>
    <row r="1905" spans="1:1">
      <c r="A1905" s="1" t="s">
        <v>418</v>
      </c>
    </row>
    <row r="1906" spans="1:1">
      <c r="A1906" s="1" t="s">
        <v>418</v>
      </c>
    </row>
    <row r="1907" spans="1:1">
      <c r="A1907" s="1" t="s">
        <v>419</v>
      </c>
    </row>
    <row r="1908" spans="1:1">
      <c r="A1908" s="1" t="s">
        <v>420</v>
      </c>
    </row>
    <row r="1909" spans="1:1">
      <c r="A1909" s="1" t="s">
        <v>421</v>
      </c>
    </row>
    <row r="1910" spans="1:1">
      <c r="A1910" s="1" t="s">
        <v>415</v>
      </c>
    </row>
    <row r="1911" spans="1:1">
      <c r="A1911" s="1" t="s">
        <v>416</v>
      </c>
    </row>
    <row r="1912" spans="1:1">
      <c r="A1912" s="1" t="s">
        <v>417</v>
      </c>
    </row>
    <row r="1913" spans="1:1">
      <c r="A1913" s="1" t="s">
        <v>418</v>
      </c>
    </row>
    <row r="1914" spans="1:1">
      <c r="A1914" s="1" t="s">
        <v>418</v>
      </c>
    </row>
    <row r="1915" spans="1:1">
      <c r="A1915" s="1" t="s">
        <v>418</v>
      </c>
    </row>
    <row r="1916" spans="1:1">
      <c r="A1916" s="1" t="s">
        <v>419</v>
      </c>
    </row>
    <row r="1917" spans="1:1">
      <c r="A1917" s="1" t="s">
        <v>420</v>
      </c>
    </row>
    <row r="1918" spans="1:1">
      <c r="A1918" s="1" t="s">
        <v>421</v>
      </c>
    </row>
    <row r="1919" spans="1:1">
      <c r="A1919" s="1" t="s">
        <v>415</v>
      </c>
    </row>
    <row r="1920" spans="1:1">
      <c r="A1920" s="1" t="s">
        <v>416</v>
      </c>
    </row>
    <row r="1921" spans="1:1">
      <c r="A1921" s="1" t="s">
        <v>417</v>
      </c>
    </row>
    <row r="1922" spans="1:1">
      <c r="A1922" s="1" t="s">
        <v>418</v>
      </c>
    </row>
    <row r="1923" spans="1:1">
      <c r="A1923" s="1" t="s">
        <v>418</v>
      </c>
    </row>
    <row r="1924" spans="1:1">
      <c r="A1924" s="1" t="s">
        <v>418</v>
      </c>
    </row>
    <row r="1925" spans="1:1">
      <c r="A1925" s="1" t="s">
        <v>419</v>
      </c>
    </row>
    <row r="1926" spans="1:1">
      <c r="A1926" s="1" t="s">
        <v>420</v>
      </c>
    </row>
    <row r="1927" spans="1:1">
      <c r="A1927" s="1" t="s">
        <v>421</v>
      </c>
    </row>
    <row r="1928" spans="1:1">
      <c r="A1928" s="1" t="s">
        <v>415</v>
      </c>
    </row>
    <row r="1929" spans="1:1">
      <c r="A1929" s="1" t="s">
        <v>416</v>
      </c>
    </row>
    <row r="1930" spans="1:1">
      <c r="A1930" s="1" t="s">
        <v>417</v>
      </c>
    </row>
    <row r="1931" spans="1:1">
      <c r="A1931" s="1" t="s">
        <v>418</v>
      </c>
    </row>
    <row r="1932" spans="1:1">
      <c r="A1932" s="1" t="s">
        <v>422</v>
      </c>
    </row>
    <row r="1933" spans="1:1">
      <c r="A1933" s="1" t="s">
        <v>423</v>
      </c>
    </row>
    <row r="1934" spans="1:1">
      <c r="A1934" s="1" t="s">
        <v>424</v>
      </c>
    </row>
    <row r="1935" spans="1:1">
      <c r="A1935" s="1" t="s">
        <v>425</v>
      </c>
    </row>
    <row r="1936" spans="1:1">
      <c r="A1936" s="1" t="s">
        <v>425</v>
      </c>
    </row>
    <row r="1937" spans="1:1">
      <c r="A1937" s="1" t="s">
        <v>426</v>
      </c>
    </row>
    <row r="1938" spans="1:1">
      <c r="A1938" s="1" t="s">
        <v>427</v>
      </c>
    </row>
    <row r="1939" spans="1:1">
      <c r="A1939" s="1" t="s">
        <v>428</v>
      </c>
    </row>
    <row r="1940" spans="1:1">
      <c r="A1940" s="1" t="s">
        <v>429</v>
      </c>
    </row>
    <row r="1941" spans="1:1">
      <c r="A1941" s="1" t="s">
        <v>430</v>
      </c>
    </row>
    <row r="1942" spans="1:1">
      <c r="A1942" s="1" t="s">
        <v>431</v>
      </c>
    </row>
    <row r="1943" spans="1:1">
      <c r="A1943" s="1" t="s">
        <v>425</v>
      </c>
    </row>
    <row r="1944" spans="1:1">
      <c r="A1944" s="1" t="s">
        <v>425</v>
      </c>
    </row>
    <row r="1945" spans="1:1">
      <c r="A1945" s="1" t="s">
        <v>425</v>
      </c>
    </row>
    <row r="1946" spans="1:1">
      <c r="A1946" s="1" t="s">
        <v>426</v>
      </c>
    </row>
    <row r="1947" spans="1:1">
      <c r="A1947" s="1" t="s">
        <v>427</v>
      </c>
    </row>
    <row r="1948" spans="1:1">
      <c r="A1948" s="1" t="s">
        <v>428</v>
      </c>
    </row>
    <row r="1949" spans="1:1">
      <c r="A1949" s="1" t="s">
        <v>429</v>
      </c>
    </row>
    <row r="1950" spans="1:1">
      <c r="A1950" s="1" t="s">
        <v>430</v>
      </c>
    </row>
    <row r="1951" spans="1:1">
      <c r="A1951" s="1" t="s">
        <v>431</v>
      </c>
    </row>
    <row r="1952" spans="1:1">
      <c r="A1952" s="1" t="s">
        <v>425</v>
      </c>
    </row>
    <row r="1953" spans="1:1">
      <c r="A1953" s="1" t="s">
        <v>425</v>
      </c>
    </row>
    <row r="1954" spans="1:1">
      <c r="A1954" s="1" t="s">
        <v>425</v>
      </c>
    </row>
    <row r="1955" spans="1:1">
      <c r="A1955" s="1" t="s">
        <v>432</v>
      </c>
    </row>
    <row r="1956" spans="1:1">
      <c r="A1956" s="1" t="s">
        <v>433</v>
      </c>
    </row>
    <row r="1957" spans="1:1">
      <c r="A1957" s="1" t="s">
        <v>434</v>
      </c>
    </row>
    <row r="1958" spans="1:1">
      <c r="A1958" s="1" t="s">
        <v>435</v>
      </c>
    </row>
    <row r="1959" spans="1:1">
      <c r="A1959" s="1" t="s">
        <v>436</v>
      </c>
    </row>
    <row r="1960" spans="1:1">
      <c r="A1960" s="1" t="s">
        <v>437</v>
      </c>
    </row>
    <row r="1961" spans="1:1">
      <c r="A1961" s="1" t="s">
        <v>438</v>
      </c>
    </row>
    <row r="1962" spans="1:1">
      <c r="A1962" s="1" t="s">
        <v>438</v>
      </c>
    </row>
    <row r="1963" spans="1:1">
      <c r="A1963" s="1" t="s">
        <v>438</v>
      </c>
    </row>
    <row r="1964" spans="1:1">
      <c r="A1964" s="1" t="s">
        <v>432</v>
      </c>
    </row>
    <row r="1965" spans="1:1">
      <c r="A1965" s="1" t="s">
        <v>433</v>
      </c>
    </row>
    <row r="1966" spans="1:1">
      <c r="A1966" s="1" t="s">
        <v>434</v>
      </c>
    </row>
    <row r="1967" spans="1:1">
      <c r="A1967" s="1" t="s">
        <v>435</v>
      </c>
    </row>
    <row r="1968" spans="1:1">
      <c r="A1968" s="1" t="s">
        <v>436</v>
      </c>
    </row>
    <row r="1969" spans="1:1">
      <c r="A1969" s="1" t="s">
        <v>437</v>
      </c>
    </row>
    <row r="1970" spans="1:1">
      <c r="A1970" s="1" t="s">
        <v>438</v>
      </c>
    </row>
    <row r="1971" spans="1:1">
      <c r="A1971" s="1" t="s">
        <v>438</v>
      </c>
    </row>
    <row r="1972" spans="1:1">
      <c r="A1972" s="1" t="s">
        <v>438</v>
      </c>
    </row>
    <row r="1973" spans="1:1">
      <c r="A1973" s="1" t="s">
        <v>432</v>
      </c>
    </row>
    <row r="1974" spans="1:1">
      <c r="A1974" s="1" t="s">
        <v>433</v>
      </c>
    </row>
    <row r="1975" spans="1:1">
      <c r="A1975" s="1" t="s">
        <v>434</v>
      </c>
    </row>
    <row r="1976" spans="1:1">
      <c r="A1976" s="1" t="s">
        <v>435</v>
      </c>
    </row>
    <row r="1977" spans="1:1">
      <c r="A1977" s="1" t="s">
        <v>436</v>
      </c>
    </row>
    <row r="1978" spans="1:1">
      <c r="A1978" s="1" t="s">
        <v>437</v>
      </c>
    </row>
    <row r="1979" spans="1:1">
      <c r="A1979" s="1" t="s">
        <v>438</v>
      </c>
    </row>
    <row r="1980" spans="1:1">
      <c r="A1980" s="1" t="s">
        <v>438</v>
      </c>
    </row>
    <row r="1981" spans="1:1">
      <c r="A1981" s="1" t="s">
        <v>438</v>
      </c>
    </row>
    <row r="1982" spans="1:1">
      <c r="A1982" s="1" t="s">
        <v>432</v>
      </c>
    </row>
    <row r="1983" spans="1:1">
      <c r="A1983" s="1" t="s">
        <v>433</v>
      </c>
    </row>
    <row r="1984" spans="1:1">
      <c r="A1984" s="1" t="s">
        <v>434</v>
      </c>
    </row>
    <row r="1985" spans="1:1">
      <c r="A1985" s="1" t="s">
        <v>435</v>
      </c>
    </row>
    <row r="1986" spans="1:1">
      <c r="A1986" s="1" t="s">
        <v>436</v>
      </c>
    </row>
    <row r="1987" spans="1:1">
      <c r="A1987" s="1" t="s">
        <v>437</v>
      </c>
    </row>
    <row r="1988" spans="1:1">
      <c r="A1988" s="1" t="s">
        <v>438</v>
      </c>
    </row>
    <row r="1989" spans="1:1">
      <c r="A1989" s="1" t="s">
        <v>439</v>
      </c>
    </row>
    <row r="1990" spans="1:1">
      <c r="A1990" s="1" t="s">
        <v>439</v>
      </c>
    </row>
    <row r="1991" spans="1:1">
      <c r="A1991" s="1" t="s">
        <v>440</v>
      </c>
    </row>
    <row r="1992" spans="1:1">
      <c r="A1992" s="1" t="s">
        <v>441</v>
      </c>
    </row>
    <row r="1993" spans="1:1">
      <c r="A1993" s="1" t="s">
        <v>442</v>
      </c>
    </row>
    <row r="1994" spans="1:1">
      <c r="A1994" s="1" t="s">
        <v>443</v>
      </c>
    </row>
    <row r="1995" spans="1:1">
      <c r="A1995" s="1" t="s">
        <v>444</v>
      </c>
    </row>
    <row r="1996" spans="1:1">
      <c r="A1996" s="1" t="s">
        <v>445</v>
      </c>
    </row>
    <row r="1997" spans="1:1">
      <c r="A1997" s="1" t="s">
        <v>439</v>
      </c>
    </row>
    <row r="1998" spans="1:1">
      <c r="A1998" s="1" t="s">
        <v>439</v>
      </c>
    </row>
    <row r="1999" spans="1:1">
      <c r="A1999" s="1" t="s">
        <v>439</v>
      </c>
    </row>
    <row r="2000" spans="1:1">
      <c r="A2000" s="1" t="s">
        <v>440</v>
      </c>
    </row>
    <row r="2001" spans="1:1">
      <c r="A2001" s="1" t="s">
        <v>441</v>
      </c>
    </row>
    <row r="2002" spans="1:1">
      <c r="A2002" s="1" t="s">
        <v>442</v>
      </c>
    </row>
    <row r="2003" spans="1:1">
      <c r="A2003" s="1" t="s">
        <v>443</v>
      </c>
    </row>
    <row r="2004" spans="1:1">
      <c r="A2004" s="1" t="s">
        <v>444</v>
      </c>
    </row>
    <row r="2005" spans="1:1">
      <c r="A2005" s="1" t="s">
        <v>445</v>
      </c>
    </row>
    <row r="2006" spans="1:1">
      <c r="A2006" s="1" t="s">
        <v>439</v>
      </c>
    </row>
    <row r="2007" spans="1:1">
      <c r="A2007" s="1" t="s">
        <v>439</v>
      </c>
    </row>
    <row r="2008" spans="1:1">
      <c r="A2008" s="1" t="s">
        <v>439</v>
      </c>
    </row>
    <row r="2009" spans="1:1">
      <c r="A2009" s="1" t="s">
        <v>440</v>
      </c>
    </row>
    <row r="2010" spans="1:1">
      <c r="A2010" s="1" t="s">
        <v>441</v>
      </c>
    </row>
    <row r="2011" spans="1:1">
      <c r="A2011" s="1" t="s">
        <v>442</v>
      </c>
    </row>
    <row r="2012" spans="1:1">
      <c r="A2012" s="1" t="s">
        <v>443</v>
      </c>
    </row>
    <row r="2013" spans="1:1">
      <c r="A2013" s="1" t="s">
        <v>444</v>
      </c>
    </row>
    <row r="2014" spans="1:1">
      <c r="A2014" s="1" t="s">
        <v>445</v>
      </c>
    </row>
    <row r="2015" spans="1:1">
      <c r="A2015" s="1" t="s">
        <v>439</v>
      </c>
    </row>
    <row r="2016" spans="1:1">
      <c r="A2016" s="1" t="s">
        <v>439</v>
      </c>
    </row>
    <row r="2017" spans="1:1">
      <c r="A2017" s="1" t="s">
        <v>439</v>
      </c>
    </row>
    <row r="2018" spans="1:1">
      <c r="A2018" s="1" t="s">
        <v>440</v>
      </c>
    </row>
    <row r="2019" spans="1:1">
      <c r="A2019" s="1" t="s">
        <v>441</v>
      </c>
    </row>
    <row r="2020" spans="1:1">
      <c r="A2020" s="1" t="s">
        <v>442</v>
      </c>
    </row>
    <row r="2021" spans="1:1">
      <c r="A2021" s="1" t="s">
        <v>443</v>
      </c>
    </row>
    <row r="2022" spans="1:1">
      <c r="A2022" s="1" t="s">
        <v>444</v>
      </c>
    </row>
    <row r="2023" spans="1:1">
      <c r="A2023" s="1" t="s">
        <v>445</v>
      </c>
    </row>
    <row r="2024" spans="1:1">
      <c r="A2024" s="1" t="s">
        <v>439</v>
      </c>
    </row>
    <row r="2025" spans="1:1">
      <c r="A2025" s="1" t="s">
        <v>439</v>
      </c>
    </row>
    <row r="2026" spans="1:1">
      <c r="A2026" s="1" t="s">
        <v>439</v>
      </c>
    </row>
    <row r="2027" spans="1:1">
      <c r="A2027" s="1" t="s">
        <v>440</v>
      </c>
    </row>
    <row r="2028" spans="1:1">
      <c r="A2028" s="1" t="s">
        <v>441</v>
      </c>
    </row>
    <row r="2029" spans="1:1">
      <c r="A2029" s="1" t="s">
        <v>442</v>
      </c>
    </row>
    <row r="2030" spans="1:1">
      <c r="A2030" s="1" t="s">
        <v>443</v>
      </c>
    </row>
    <row r="2031" spans="1:1">
      <c r="A2031" s="1" t="s">
        <v>444</v>
      </c>
    </row>
    <row r="2032" spans="1:1">
      <c r="A2032" s="1" t="s">
        <v>445</v>
      </c>
    </row>
    <row r="2033" spans="1:1">
      <c r="A2033" s="1" t="s">
        <v>439</v>
      </c>
    </row>
    <row r="2034" spans="1:1">
      <c r="A2034" s="1" t="s">
        <v>439</v>
      </c>
    </row>
    <row r="2035" spans="1:1">
      <c r="A2035" s="1" t="s">
        <v>439</v>
      </c>
    </row>
    <row r="2036" spans="1:1">
      <c r="A2036" s="1" t="s">
        <v>440</v>
      </c>
    </row>
    <row r="2037" spans="1:1">
      <c r="A2037" s="1" t="s">
        <v>441</v>
      </c>
    </row>
    <row r="2038" spans="1:1">
      <c r="A2038" s="1" t="s">
        <v>442</v>
      </c>
    </row>
    <row r="2039" spans="1:1">
      <c r="A2039" s="1" t="s">
        <v>443</v>
      </c>
    </row>
    <row r="2040" spans="1:1">
      <c r="A2040" s="1" t="s">
        <v>444</v>
      </c>
    </row>
    <row r="2041" spans="1:1">
      <c r="A2041" s="1" t="s">
        <v>445</v>
      </c>
    </row>
    <row r="2042" spans="1:1">
      <c r="A2042" s="1" t="s">
        <v>439</v>
      </c>
    </row>
    <row r="2043" spans="1:1">
      <c r="A2043" s="1" t="s">
        <v>446</v>
      </c>
    </row>
    <row r="2044" spans="1:1">
      <c r="A2044" s="1" t="s">
        <v>446</v>
      </c>
    </row>
    <row r="2045" spans="1:1">
      <c r="A2045" s="1" t="s">
        <v>447</v>
      </c>
    </row>
    <row r="2046" spans="1:1">
      <c r="A2046" s="1" t="s">
        <v>448</v>
      </c>
    </row>
    <row r="2047" spans="1:1">
      <c r="A2047" s="1" t="s">
        <v>449</v>
      </c>
    </row>
    <row r="2048" spans="1:1">
      <c r="A2048" s="1" t="s">
        <v>450</v>
      </c>
    </row>
    <row r="2049" spans="1:1">
      <c r="A2049" s="1" t="s">
        <v>451</v>
      </c>
    </row>
    <row r="2050" spans="1:1">
      <c r="A2050" s="1" t="s">
        <v>452</v>
      </c>
    </row>
    <row r="2051" spans="1:1">
      <c r="A2051" s="1" t="s">
        <v>453</v>
      </c>
    </row>
    <row r="2052" spans="1:1">
      <c r="A2052" s="1" t="s">
        <v>453</v>
      </c>
    </row>
    <row r="2053" spans="1:1">
      <c r="A2053" s="1" t="s">
        <v>453</v>
      </c>
    </row>
    <row r="2054" spans="1:1">
      <c r="A2054" s="1" t="s">
        <v>447</v>
      </c>
    </row>
    <row r="2055" spans="1:1">
      <c r="A2055" s="1" t="s">
        <v>448</v>
      </c>
    </row>
    <row r="2056" spans="1:1">
      <c r="A2056" s="1" t="s">
        <v>449</v>
      </c>
    </row>
    <row r="2057" spans="1:1">
      <c r="A2057" s="1" t="s">
        <v>450</v>
      </c>
    </row>
    <row r="2058" spans="1:1">
      <c r="A2058" s="1" t="s">
        <v>451</v>
      </c>
    </row>
    <row r="2059" spans="1:1">
      <c r="A2059" s="1" t="s">
        <v>452</v>
      </c>
    </row>
    <row r="2060" spans="1:1">
      <c r="A2060" s="1" t="s">
        <v>453</v>
      </c>
    </row>
    <row r="2061" spans="1:1">
      <c r="A2061" s="1" t="s">
        <v>453</v>
      </c>
    </row>
    <row r="2062" spans="1:1">
      <c r="A2062" s="1" t="s">
        <v>453</v>
      </c>
    </row>
    <row r="2063" spans="1:1">
      <c r="A2063" s="1" t="s">
        <v>447</v>
      </c>
    </row>
    <row r="2064" spans="1:1">
      <c r="A2064" s="1" t="s">
        <v>448</v>
      </c>
    </row>
    <row r="2065" spans="1:1">
      <c r="A2065" s="1" t="s">
        <v>449</v>
      </c>
    </row>
    <row r="2066" spans="1:1">
      <c r="A2066" s="1" t="s">
        <v>450</v>
      </c>
    </row>
    <row r="2067" spans="1:1">
      <c r="A2067" s="1" t="s">
        <v>451</v>
      </c>
    </row>
    <row r="2068" spans="1:1">
      <c r="A2068" s="1" t="s">
        <v>452</v>
      </c>
    </row>
    <row r="2069" spans="1:1">
      <c r="A2069" s="1" t="s">
        <v>453</v>
      </c>
    </row>
    <row r="2070" spans="1:1">
      <c r="A2070" s="1" t="s">
        <v>453</v>
      </c>
    </row>
    <row r="2071" spans="1:1">
      <c r="A2071" s="1" t="s">
        <v>453</v>
      </c>
    </row>
    <row r="2072" spans="1:1">
      <c r="A2072" s="1" t="s">
        <v>447</v>
      </c>
    </row>
    <row r="2073" spans="1:1">
      <c r="A2073" s="1" t="s">
        <v>448</v>
      </c>
    </row>
    <row r="2074" spans="1:1">
      <c r="A2074" s="1" t="s">
        <v>449</v>
      </c>
    </row>
    <row r="2075" spans="1:1">
      <c r="A2075" s="1" t="s">
        <v>450</v>
      </c>
    </row>
    <row r="2076" spans="1:1">
      <c r="A2076" s="1" t="s">
        <v>451</v>
      </c>
    </row>
    <row r="2077" spans="1:1">
      <c r="A2077" s="1" t="s">
        <v>452</v>
      </c>
    </row>
    <row r="2078" spans="1:1">
      <c r="A2078" s="1" t="s">
        <v>453</v>
      </c>
    </row>
    <row r="2079" spans="1:1">
      <c r="A2079" s="1" t="s">
        <v>453</v>
      </c>
    </row>
    <row r="2080" spans="1:1">
      <c r="A2080" s="1" t="s">
        <v>453</v>
      </c>
    </row>
    <row r="2081" spans="1:1">
      <c r="A2081" s="1" t="s">
        <v>447</v>
      </c>
    </row>
    <row r="2082" spans="1:1">
      <c r="A2082" s="1" t="s">
        <v>448</v>
      </c>
    </row>
    <row r="2083" spans="1:1">
      <c r="A2083" s="1" t="s">
        <v>449</v>
      </c>
    </row>
    <row r="2084" spans="1:1">
      <c r="A2084" s="1" t="s">
        <v>450</v>
      </c>
    </row>
    <row r="2085" spans="1:1">
      <c r="A2085" s="1" t="s">
        <v>451</v>
      </c>
    </row>
    <row r="2086" spans="1:1">
      <c r="A2086" s="1" t="s">
        <v>452</v>
      </c>
    </row>
    <row r="2087" spans="1:1">
      <c r="A2087" s="1" t="s">
        <v>453</v>
      </c>
    </row>
    <row r="2088" spans="1:1">
      <c r="A2088" s="1" t="s">
        <v>453</v>
      </c>
    </row>
    <row r="2089" spans="1:1">
      <c r="A2089" s="1" t="s">
        <v>453</v>
      </c>
    </row>
    <row r="2090" spans="1:1">
      <c r="A2090" s="1" t="s">
        <v>447</v>
      </c>
    </row>
    <row r="2091" spans="1:1">
      <c r="A2091" s="1" t="s">
        <v>448</v>
      </c>
    </row>
    <row r="2092" spans="1:1">
      <c r="A2092" s="1" t="s">
        <v>449</v>
      </c>
    </row>
    <row r="2093" spans="1:1">
      <c r="A2093" s="1" t="s">
        <v>450</v>
      </c>
    </row>
    <row r="2094" spans="1:1">
      <c r="A2094" s="1" t="s">
        <v>451</v>
      </c>
    </row>
    <row r="2095" spans="1:1">
      <c r="A2095" s="1" t="s">
        <v>452</v>
      </c>
    </row>
    <row r="2096" spans="1:1">
      <c r="A2096" s="1" t="s">
        <v>453</v>
      </c>
    </row>
    <row r="2097" spans="1:1">
      <c r="A2097" s="1" t="s">
        <v>454</v>
      </c>
    </row>
    <row r="2098" spans="1:1">
      <c r="A2098" s="1" t="s">
        <v>455</v>
      </c>
    </row>
    <row r="2099" spans="1:1">
      <c r="A2099" s="1" t="s">
        <v>456</v>
      </c>
    </row>
    <row r="2100" spans="1:1">
      <c r="A2100" s="1" t="s">
        <v>457</v>
      </c>
    </row>
    <row r="2101" spans="1:1">
      <c r="A2101" s="1" t="s">
        <v>458</v>
      </c>
    </row>
    <row r="2102" spans="1:1">
      <c r="A2102" s="1" t="s">
        <v>459</v>
      </c>
    </row>
    <row r="2103" spans="1:1">
      <c r="A2103" s="1" t="s">
        <v>460</v>
      </c>
    </row>
    <row r="2104" spans="1:1">
      <c r="A2104" s="1" t="s">
        <v>460</v>
      </c>
    </row>
    <row r="2105" spans="1:1">
      <c r="A2105" s="1" t="s">
        <v>461</v>
      </c>
    </row>
    <row r="2106" spans="1:1">
      <c r="A2106" s="1" t="s">
        <v>462</v>
      </c>
    </row>
    <row r="2107" spans="1:1">
      <c r="A2107" s="1" t="s">
        <v>463</v>
      </c>
    </row>
    <row r="2108" spans="1:1">
      <c r="A2108" s="1" t="s">
        <v>464</v>
      </c>
    </row>
    <row r="2109" spans="1:1">
      <c r="A2109" s="1" t="s">
        <v>465</v>
      </c>
    </row>
    <row r="2110" spans="1:1">
      <c r="A2110" s="1" t="s">
        <v>466</v>
      </c>
    </row>
    <row r="2111" spans="1:1">
      <c r="A2111" s="1" t="s">
        <v>460</v>
      </c>
    </row>
    <row r="2112" spans="1:1">
      <c r="A2112" s="1" t="s">
        <v>460</v>
      </c>
    </row>
    <row r="2113" spans="1:1">
      <c r="A2113" s="1" t="s">
        <v>460</v>
      </c>
    </row>
    <row r="2114" spans="1:1">
      <c r="A2114" s="1" t="s">
        <v>461</v>
      </c>
    </row>
    <row r="2115" spans="1:1">
      <c r="A2115" s="1" t="s">
        <v>462</v>
      </c>
    </row>
    <row r="2116" spans="1:1">
      <c r="A2116" s="1" t="s">
        <v>463</v>
      </c>
    </row>
    <row r="2117" spans="1:1">
      <c r="A2117" s="1" t="s">
        <v>464</v>
      </c>
    </row>
    <row r="2118" spans="1:1">
      <c r="A2118" s="1" t="s">
        <v>465</v>
      </c>
    </row>
    <row r="2119" spans="1:1">
      <c r="A2119" s="1" t="s">
        <v>466</v>
      </c>
    </row>
    <row r="2120" spans="1:1">
      <c r="A2120" s="1" t="s">
        <v>460</v>
      </c>
    </row>
    <row r="2121" spans="1:1">
      <c r="A2121" s="1" t="s">
        <v>460</v>
      </c>
    </row>
    <row r="2122" spans="1:1">
      <c r="A2122" s="1" t="s">
        <v>460</v>
      </c>
    </row>
    <row r="2123" spans="1:1">
      <c r="A2123" s="1" t="s">
        <v>461</v>
      </c>
    </row>
    <row r="2124" spans="1:1">
      <c r="A2124" s="1" t="s">
        <v>462</v>
      </c>
    </row>
    <row r="2125" spans="1:1">
      <c r="A2125" s="1" t="s">
        <v>463</v>
      </c>
    </row>
    <row r="2126" spans="1:1">
      <c r="A2126" s="1" t="s">
        <v>467</v>
      </c>
    </row>
    <row r="2127" spans="1:1">
      <c r="A2127" s="1" t="s">
        <v>468</v>
      </c>
    </row>
    <row r="2128" spans="1:1">
      <c r="A2128" s="1" t="s">
        <v>469</v>
      </c>
    </row>
    <row r="2129" spans="1:1">
      <c r="A2129" s="1" t="s">
        <v>470</v>
      </c>
    </row>
    <row r="2130" spans="1:1">
      <c r="A2130" s="1" t="s">
        <v>470</v>
      </c>
    </row>
    <row r="2131" spans="1:1">
      <c r="A2131" s="1" t="s">
        <v>470</v>
      </c>
    </row>
    <row r="2132" spans="1:1">
      <c r="A2132" s="1" t="s">
        <v>471</v>
      </c>
    </row>
    <row r="2133" spans="1:1">
      <c r="A2133" s="1" t="s">
        <v>472</v>
      </c>
    </row>
    <row r="2134" spans="1:1">
      <c r="A2134" s="1" t="s">
        <v>473</v>
      </c>
    </row>
    <row r="2135" spans="1:1">
      <c r="A2135" s="1" t="s">
        <v>467</v>
      </c>
    </row>
    <row r="2136" spans="1:1">
      <c r="A2136" s="1" t="s">
        <v>468</v>
      </c>
    </row>
    <row r="2137" spans="1:1">
      <c r="A2137" s="1" t="s">
        <v>469</v>
      </c>
    </row>
    <row r="2138" spans="1:1">
      <c r="A2138" s="1" t="s">
        <v>470</v>
      </c>
    </row>
    <row r="2139" spans="1:1">
      <c r="A2139" s="1" t="s">
        <v>470</v>
      </c>
    </row>
    <row r="2140" spans="1:1">
      <c r="A2140" s="1" t="s">
        <v>470</v>
      </c>
    </row>
    <row r="2141" spans="1:1">
      <c r="A2141" s="1" t="s">
        <v>471</v>
      </c>
    </row>
    <row r="2142" spans="1:1">
      <c r="A2142" s="1" t="s">
        <v>472</v>
      </c>
    </row>
    <row r="2143" spans="1:1">
      <c r="A2143" s="1" t="s">
        <v>473</v>
      </c>
    </row>
    <row r="2144" spans="1:1">
      <c r="A2144" s="1" t="s">
        <v>467</v>
      </c>
    </row>
    <row r="2145" spans="1:1">
      <c r="A2145" s="1" t="s">
        <v>468</v>
      </c>
    </row>
    <row r="2146" spans="1:1">
      <c r="A2146" s="1" t="s">
        <v>469</v>
      </c>
    </row>
    <row r="2147" spans="1:1">
      <c r="A2147" s="1" t="s">
        <v>470</v>
      </c>
    </row>
    <row r="2148" spans="1:1">
      <c r="A2148" s="1" t="s">
        <v>470</v>
      </c>
    </row>
    <row r="2149" spans="1:1">
      <c r="A2149" s="1" t="s">
        <v>470</v>
      </c>
    </row>
    <row r="2150" spans="1:1">
      <c r="A2150" s="1" t="s">
        <v>471</v>
      </c>
    </row>
    <row r="2151" spans="1:1">
      <c r="A2151" s="1" t="s">
        <v>472</v>
      </c>
    </row>
    <row r="2152" spans="1:1">
      <c r="A2152" s="1" t="s">
        <v>473</v>
      </c>
    </row>
    <row r="2153" spans="1:1">
      <c r="A2153" s="1" t="s">
        <v>467</v>
      </c>
    </row>
    <row r="2154" spans="1:1">
      <c r="A2154" s="1" t="s">
        <v>468</v>
      </c>
    </row>
    <row r="2155" spans="1:1">
      <c r="A2155" s="1" t="s">
        <v>469</v>
      </c>
    </row>
    <row r="2156" spans="1:1">
      <c r="A2156" s="1" t="s">
        <v>470</v>
      </c>
    </row>
    <row r="2157" spans="1:1">
      <c r="A2157" s="1" t="s">
        <v>470</v>
      </c>
    </row>
    <row r="2158" spans="1:1">
      <c r="A2158" s="1" t="s">
        <v>470</v>
      </c>
    </row>
    <row r="2159" spans="1:1">
      <c r="A2159" s="1" t="s">
        <v>471</v>
      </c>
    </row>
    <row r="2160" spans="1:1">
      <c r="A2160" s="1" t="s">
        <v>472</v>
      </c>
    </row>
    <row r="2161" spans="1:1">
      <c r="A2161" s="1" t="s">
        <v>473</v>
      </c>
    </row>
    <row r="2162" spans="1:1">
      <c r="A2162" s="1" t="s">
        <v>467</v>
      </c>
    </row>
    <row r="2163" spans="1:1">
      <c r="A2163" s="1" t="s">
        <v>468</v>
      </c>
    </row>
    <row r="2164" spans="1:1">
      <c r="A2164" s="1" t="s">
        <v>469</v>
      </c>
    </row>
    <row r="2165" spans="1:1">
      <c r="A2165" s="1" t="s">
        <v>470</v>
      </c>
    </row>
    <row r="2166" spans="1:1">
      <c r="A2166" s="1" t="s">
        <v>474</v>
      </c>
    </row>
    <row r="2167" spans="1:1">
      <c r="A2167" s="1" t="s">
        <v>475</v>
      </c>
    </row>
    <row r="2168" spans="1:1">
      <c r="A2168" s="1" t="s">
        <v>476</v>
      </c>
    </row>
    <row r="2169" spans="1:1">
      <c r="A2169" s="1" t="s">
        <v>477</v>
      </c>
    </row>
    <row r="2170" spans="1:1">
      <c r="A2170" s="1" t="s">
        <v>477</v>
      </c>
    </row>
    <row r="2171" spans="1:1">
      <c r="A2171" s="1" t="s">
        <v>478</v>
      </c>
    </row>
    <row r="2172" spans="1:1">
      <c r="A2172" s="1" t="s">
        <v>479</v>
      </c>
    </row>
    <row r="2173" spans="1:1">
      <c r="A2173" s="1" t="s">
        <v>480</v>
      </c>
    </row>
    <row r="2174" spans="1:1">
      <c r="A2174" s="1" t="s">
        <v>481</v>
      </c>
    </row>
    <row r="2175" spans="1:1">
      <c r="A2175" s="1" t="s">
        <v>482</v>
      </c>
    </row>
    <row r="2176" spans="1:1">
      <c r="A2176" s="1" t="s">
        <v>483</v>
      </c>
    </row>
    <row r="2177" spans="1:1">
      <c r="A2177" s="1" t="s">
        <v>484</v>
      </c>
    </row>
    <row r="2178" spans="1:1">
      <c r="A2178" s="1" t="s">
        <v>477</v>
      </c>
    </row>
    <row r="2179" spans="1:1">
      <c r="A2179" s="1" t="s">
        <v>477</v>
      </c>
    </row>
    <row r="2180" spans="1:1">
      <c r="A2180" s="1" t="s">
        <v>477</v>
      </c>
    </row>
    <row r="2181" spans="1:1">
      <c r="A2181" s="1" t="s">
        <v>478</v>
      </c>
    </row>
    <row r="2182" spans="1:1">
      <c r="A2182" s="1" t="s">
        <v>479</v>
      </c>
    </row>
    <row r="2183" spans="1:1">
      <c r="A2183" s="1" t="s">
        <v>480</v>
      </c>
    </row>
    <row r="2184" spans="1:1">
      <c r="A2184" s="1" t="s">
        <v>481</v>
      </c>
    </row>
    <row r="2185" spans="1:1">
      <c r="A2185" s="1" t="s">
        <v>482</v>
      </c>
    </row>
    <row r="2186" spans="1:1">
      <c r="A2186" s="1" t="s">
        <v>483</v>
      </c>
    </row>
    <row r="2187" spans="1:1">
      <c r="A2187" s="1" t="s">
        <v>484</v>
      </c>
    </row>
    <row r="2188" spans="1:1">
      <c r="A2188" s="1" t="s">
        <v>477</v>
      </c>
    </row>
    <row r="2189" spans="1:1">
      <c r="A2189" s="1" t="s">
        <v>477</v>
      </c>
    </row>
    <row r="2190" spans="1:1">
      <c r="A2190" s="1" t="s">
        <v>477</v>
      </c>
    </row>
    <row r="2191" spans="1:1">
      <c r="A2191" s="1" t="s">
        <v>478</v>
      </c>
    </row>
    <row r="2192" spans="1:1">
      <c r="A2192" s="1" t="s">
        <v>479</v>
      </c>
    </row>
    <row r="2193" spans="1:1">
      <c r="A2193" s="1" t="s">
        <v>480</v>
      </c>
    </row>
    <row r="2194" spans="1:1">
      <c r="A2194" s="1" t="s">
        <v>481</v>
      </c>
    </row>
    <row r="2195" spans="1:1">
      <c r="A2195" s="1" t="s">
        <v>482</v>
      </c>
    </row>
    <row r="2196" spans="1:1">
      <c r="A2196" s="1" t="s">
        <v>483</v>
      </c>
    </row>
    <row r="2197" spans="1:1">
      <c r="A2197" s="1" t="s">
        <v>484</v>
      </c>
    </row>
    <row r="2198" spans="1:1">
      <c r="A2198" s="1" t="s">
        <v>477</v>
      </c>
    </row>
    <row r="2199" spans="1:1">
      <c r="A2199" s="1" t="s">
        <v>477</v>
      </c>
    </row>
    <row r="2200" spans="1:1">
      <c r="A2200" s="1" t="s">
        <v>477</v>
      </c>
    </row>
    <row r="2201" spans="1:1">
      <c r="A2201" s="1" t="s">
        <v>485</v>
      </c>
    </row>
    <row r="2202" spans="1:1">
      <c r="A2202" s="1" t="s">
        <v>486</v>
      </c>
    </row>
    <row r="2203" spans="1:1">
      <c r="A2203" s="1" t="s">
        <v>487</v>
      </c>
    </row>
    <row r="2204" spans="1:1">
      <c r="A2204" s="1" t="s">
        <v>488</v>
      </c>
    </row>
    <row r="2205" spans="1:1">
      <c r="A2205" s="1" t="s">
        <v>489</v>
      </c>
    </row>
    <row r="2206" spans="1:1">
      <c r="A2206" s="1" t="s">
        <v>490</v>
      </c>
    </row>
    <row r="2207" spans="1:1">
      <c r="A2207" s="1" t="s">
        <v>491</v>
      </c>
    </row>
    <row r="2208" spans="1:1">
      <c r="A2208" s="1" t="s">
        <v>492</v>
      </c>
    </row>
    <row r="2209" spans="1:1">
      <c r="A2209" s="1" t="s">
        <v>492</v>
      </c>
    </row>
    <row r="2210" spans="1:1">
      <c r="A2210" s="1" t="s">
        <v>492</v>
      </c>
    </row>
    <row r="2211" spans="1:1">
      <c r="A2211" s="1" t="s">
        <v>485</v>
      </c>
    </row>
    <row r="2212" spans="1:1">
      <c r="A2212" s="1" t="s">
        <v>486</v>
      </c>
    </row>
    <row r="2213" spans="1:1">
      <c r="A2213" s="1" t="s">
        <v>487</v>
      </c>
    </row>
    <row r="2214" spans="1:1">
      <c r="A2214" s="1" t="s">
        <v>488</v>
      </c>
    </row>
    <row r="2215" spans="1:1">
      <c r="A2215" s="1" t="s">
        <v>489</v>
      </c>
    </row>
    <row r="2216" spans="1:1">
      <c r="A2216" s="1" t="s">
        <v>490</v>
      </c>
    </row>
    <row r="2217" spans="1:1">
      <c r="A2217" s="1" t="s">
        <v>491</v>
      </c>
    </row>
    <row r="2218" spans="1:1">
      <c r="A2218" s="1" t="s">
        <v>492</v>
      </c>
    </row>
    <row r="2219" spans="1:1">
      <c r="A2219" s="1" t="s">
        <v>492</v>
      </c>
    </row>
    <row r="2220" spans="1:1">
      <c r="A2220" s="1" t="s">
        <v>492</v>
      </c>
    </row>
    <row r="2221" spans="1:1">
      <c r="A2221" s="1" t="s">
        <v>485</v>
      </c>
    </row>
    <row r="2222" spans="1:1">
      <c r="A2222" s="1" t="s">
        <v>486</v>
      </c>
    </row>
    <row r="2223" spans="1:1">
      <c r="A2223" s="1" t="s">
        <v>487</v>
      </c>
    </row>
    <row r="2224" spans="1:1">
      <c r="A2224" s="1" t="s">
        <v>488</v>
      </c>
    </row>
    <row r="2225" spans="1:1">
      <c r="A2225" s="1" t="s">
        <v>489</v>
      </c>
    </row>
    <row r="2226" spans="1:1">
      <c r="A2226" s="1" t="s">
        <v>490</v>
      </c>
    </row>
    <row r="2227" spans="1:1">
      <c r="A2227" s="1" t="s">
        <v>491</v>
      </c>
    </row>
    <row r="2228" spans="1:1">
      <c r="A2228" s="1" t="s">
        <v>492</v>
      </c>
    </row>
    <row r="2229" spans="1:1">
      <c r="A2229" s="1" t="s">
        <v>492</v>
      </c>
    </row>
    <row r="2230" spans="1:1">
      <c r="A2230" s="1" t="s">
        <v>492</v>
      </c>
    </row>
    <row r="2231" spans="1:1">
      <c r="A2231" s="1" t="s">
        <v>485</v>
      </c>
    </row>
    <row r="2232" spans="1:1">
      <c r="A2232" s="1" t="s">
        <v>486</v>
      </c>
    </row>
    <row r="2233" spans="1:1">
      <c r="A2233" s="1" t="s">
        <v>487</v>
      </c>
    </row>
    <row r="2234" spans="1:1">
      <c r="A2234" s="1" t="s">
        <v>488</v>
      </c>
    </row>
    <row r="2235" spans="1:1">
      <c r="A2235" s="1" t="s">
        <v>489</v>
      </c>
    </row>
    <row r="2236" spans="1:1">
      <c r="A2236" s="1" t="s">
        <v>490</v>
      </c>
    </row>
    <row r="2237" spans="1:1">
      <c r="A2237" s="1" t="s">
        <v>491</v>
      </c>
    </row>
    <row r="2238" spans="1:1">
      <c r="A2238" s="1" t="s">
        <v>492</v>
      </c>
    </row>
    <row r="2239" spans="1:1">
      <c r="A2239" s="1" t="s">
        <v>493</v>
      </c>
    </row>
    <row r="2240" spans="1:1">
      <c r="A2240" s="1" t="s">
        <v>493</v>
      </c>
    </row>
    <row r="2241" spans="1:1">
      <c r="A2241" s="1" t="s">
        <v>494</v>
      </c>
    </row>
    <row r="2242" spans="1:1">
      <c r="A2242" s="1" t="s">
        <v>495</v>
      </c>
    </row>
    <row r="2243" spans="1:1">
      <c r="A2243" s="1" t="s">
        <v>496</v>
      </c>
    </row>
    <row r="2244" spans="1:1">
      <c r="A2244" s="1" t="s">
        <v>497</v>
      </c>
    </row>
    <row r="2245" spans="1:1">
      <c r="A2245" s="1" t="s">
        <v>498</v>
      </c>
    </row>
    <row r="2246" spans="1:1">
      <c r="A2246" s="1" t="s">
        <v>499</v>
      </c>
    </row>
    <row r="2247" spans="1:1">
      <c r="A2247" s="1" t="s">
        <v>500</v>
      </c>
    </row>
    <row r="2248" spans="1:1">
      <c r="A2248" s="1" t="s">
        <v>493</v>
      </c>
    </row>
    <row r="2249" spans="1:1">
      <c r="A2249" s="1" t="s">
        <v>493</v>
      </c>
    </row>
    <row r="2250" spans="1:1">
      <c r="A2250" s="1" t="s">
        <v>493</v>
      </c>
    </row>
    <row r="2251" spans="1:1">
      <c r="A2251" s="1" t="s">
        <v>494</v>
      </c>
    </row>
    <row r="2252" spans="1:1">
      <c r="A2252" s="1" t="s">
        <v>495</v>
      </c>
    </row>
    <row r="2253" spans="1:1">
      <c r="A2253" s="1" t="s">
        <v>496</v>
      </c>
    </row>
    <row r="2254" spans="1:1">
      <c r="A2254" s="1" t="s">
        <v>497</v>
      </c>
    </row>
    <row r="2255" spans="1:1">
      <c r="A2255" s="1" t="s">
        <v>498</v>
      </c>
    </row>
    <row r="2256" spans="1:1">
      <c r="A2256" s="1" t="s">
        <v>499</v>
      </c>
    </row>
    <row r="2257" spans="1:1">
      <c r="A2257" s="1" t="s">
        <v>500</v>
      </c>
    </row>
    <row r="2258" spans="1:1">
      <c r="A2258" s="1" t="s">
        <v>493</v>
      </c>
    </row>
    <row r="2259" spans="1:1">
      <c r="A2259" s="1" t="s">
        <v>493</v>
      </c>
    </row>
    <row r="2260" spans="1:1">
      <c r="A2260" s="1" t="s">
        <v>493</v>
      </c>
    </row>
    <row r="2261" spans="1:1">
      <c r="A2261" s="1" t="s">
        <v>494</v>
      </c>
    </row>
    <row r="2262" spans="1:1">
      <c r="A2262" s="1" t="s">
        <v>495</v>
      </c>
    </row>
    <row r="2263" spans="1:1">
      <c r="A2263" s="1" t="s">
        <v>496</v>
      </c>
    </row>
    <row r="2264" spans="1:1">
      <c r="A2264" s="1" t="s">
        <v>497</v>
      </c>
    </row>
    <row r="2265" spans="1:1">
      <c r="A2265" s="1" t="s">
        <v>498</v>
      </c>
    </row>
    <row r="2266" spans="1:1">
      <c r="A2266" s="1" t="s">
        <v>499</v>
      </c>
    </row>
    <row r="2267" spans="1:1">
      <c r="A2267" s="1" t="s">
        <v>500</v>
      </c>
    </row>
    <row r="2268" spans="1:1">
      <c r="A2268" s="1" t="s">
        <v>493</v>
      </c>
    </row>
    <row r="2269" spans="1:1">
      <c r="A2269" s="1" t="s">
        <v>493</v>
      </c>
    </row>
    <row r="2270" spans="1:1">
      <c r="A2270" s="1" t="s">
        <v>493</v>
      </c>
    </row>
    <row r="2271" spans="1:1">
      <c r="A2271" s="1" t="s">
        <v>494</v>
      </c>
    </row>
    <row r="2272" spans="1:1">
      <c r="A2272" s="1" t="s">
        <v>495</v>
      </c>
    </row>
    <row r="2273" spans="1:1">
      <c r="A2273" s="1" t="s">
        <v>496</v>
      </c>
    </row>
    <row r="2274" spans="1:1">
      <c r="A2274" s="1" t="s">
        <v>497</v>
      </c>
    </row>
    <row r="2275" spans="1:1">
      <c r="A2275" s="1" t="s">
        <v>498</v>
      </c>
    </row>
    <row r="2276" spans="1:1">
      <c r="A2276" s="1" t="s">
        <v>499</v>
      </c>
    </row>
    <row r="2277" spans="1:1">
      <c r="A2277" s="1" t="s">
        <v>500</v>
      </c>
    </row>
    <row r="2278" spans="1:1">
      <c r="A2278" s="1" t="s">
        <v>493</v>
      </c>
    </row>
    <row r="2279" spans="1:1">
      <c r="A2279" s="1" t="s">
        <v>493</v>
      </c>
    </row>
    <row r="2280" spans="1:1">
      <c r="A2280" s="1" t="s">
        <v>493</v>
      </c>
    </row>
    <row r="2281" spans="1:1">
      <c r="A2281" s="1" t="s">
        <v>494</v>
      </c>
    </row>
    <row r="2282" spans="1:1">
      <c r="A2282" s="1" t="s">
        <v>495</v>
      </c>
    </row>
    <row r="2283" spans="1:1">
      <c r="A2283" s="1" t="s">
        <v>496</v>
      </c>
    </row>
    <row r="2284" spans="1:1">
      <c r="A2284" s="1" t="s">
        <v>497</v>
      </c>
    </row>
    <row r="2285" spans="1:1">
      <c r="A2285" s="1" t="s">
        <v>498</v>
      </c>
    </row>
    <row r="2286" spans="1:1">
      <c r="A2286" s="1" t="s">
        <v>499</v>
      </c>
    </row>
    <row r="2287" spans="1:1">
      <c r="A2287" s="1" t="s">
        <v>500</v>
      </c>
    </row>
    <row r="2288" spans="1:1">
      <c r="A2288" s="1" t="s">
        <v>493</v>
      </c>
    </row>
    <row r="2289" spans="1:1">
      <c r="A2289" s="1" t="s">
        <v>493</v>
      </c>
    </row>
    <row r="2290" spans="1:1">
      <c r="A2290" s="1" t="s">
        <v>493</v>
      </c>
    </row>
    <row r="2291" spans="1:1">
      <c r="A2291" s="1" t="s">
        <v>494</v>
      </c>
    </row>
    <row r="2292" spans="1:1">
      <c r="A2292" s="1" t="s">
        <v>495</v>
      </c>
    </row>
    <row r="2293" spans="1:1">
      <c r="A2293" s="1" t="s">
        <v>496</v>
      </c>
    </row>
    <row r="2294" spans="1:1">
      <c r="A2294" s="1" t="s">
        <v>497</v>
      </c>
    </row>
    <row r="2295" spans="1:1">
      <c r="A2295" s="1" t="s">
        <v>498</v>
      </c>
    </row>
    <row r="2296" spans="1:1">
      <c r="A2296" s="1" t="s">
        <v>499</v>
      </c>
    </row>
    <row r="2297" spans="1:1">
      <c r="A2297" s="1" t="s">
        <v>500</v>
      </c>
    </row>
    <row r="2298" spans="1:1">
      <c r="A2298" s="1" t="s">
        <v>493</v>
      </c>
    </row>
    <row r="2299" spans="1:1">
      <c r="A2299" s="1" t="s">
        <v>493</v>
      </c>
    </row>
    <row r="2300" spans="1:1">
      <c r="A2300" s="1" t="s">
        <v>493</v>
      </c>
    </row>
    <row r="2301" spans="1:1">
      <c r="A2301" s="1" t="s">
        <v>494</v>
      </c>
    </row>
    <row r="2302" spans="1:1">
      <c r="A2302" s="1" t="s">
        <v>495</v>
      </c>
    </row>
    <row r="2303" spans="1:1">
      <c r="A2303" s="1" t="s">
        <v>496</v>
      </c>
    </row>
    <row r="2304" spans="1:1">
      <c r="A2304" s="1" t="s">
        <v>497</v>
      </c>
    </row>
    <row r="2305" spans="1:1">
      <c r="A2305" s="1" t="s">
        <v>498</v>
      </c>
    </row>
    <row r="2306" spans="1:1">
      <c r="A2306" s="1" t="s">
        <v>499</v>
      </c>
    </row>
    <row r="2307" spans="1:1">
      <c r="A2307" s="1" t="s">
        <v>500</v>
      </c>
    </row>
    <row r="2308" spans="1:1">
      <c r="A2308" s="1" t="s">
        <v>493</v>
      </c>
    </row>
    <row r="2309" spans="1:1">
      <c r="A2309" s="1" t="s">
        <v>501</v>
      </c>
    </row>
    <row r="2310" spans="1:1">
      <c r="A2310" s="1" t="s">
        <v>501</v>
      </c>
    </row>
    <row r="2311" spans="1:1">
      <c r="A2311" s="1" t="s">
        <v>502</v>
      </c>
    </row>
    <row r="2312" spans="1:1">
      <c r="A2312" s="1" t="s">
        <v>503</v>
      </c>
    </row>
    <row r="2313" spans="1:1">
      <c r="A2313" s="1" t="s">
        <v>504</v>
      </c>
    </row>
    <row r="2314" spans="1:1">
      <c r="A2314" s="1" t="s">
        <v>505</v>
      </c>
    </row>
    <row r="2315" spans="1:1">
      <c r="A2315" s="1" t="s">
        <v>506</v>
      </c>
    </row>
    <row r="2316" spans="1:1">
      <c r="A2316" s="1" t="s">
        <v>507</v>
      </c>
    </row>
    <row r="2317" spans="1:1">
      <c r="A2317" s="1" t="s">
        <v>508</v>
      </c>
    </row>
    <row r="2318" spans="1:1">
      <c r="A2318" s="1" t="s">
        <v>501</v>
      </c>
    </row>
    <row r="2319" spans="1:1">
      <c r="A2319" s="1" t="s">
        <v>501</v>
      </c>
    </row>
    <row r="2320" spans="1:1">
      <c r="A2320" s="1" t="s">
        <v>501</v>
      </c>
    </row>
    <row r="2321" spans="1:1">
      <c r="A2321" s="1" t="s">
        <v>502</v>
      </c>
    </row>
    <row r="2322" spans="1:1">
      <c r="A2322" s="1" t="s">
        <v>503</v>
      </c>
    </row>
    <row r="2323" spans="1:1">
      <c r="A2323" s="1" t="s">
        <v>504</v>
      </c>
    </row>
    <row r="2324" spans="1:1">
      <c r="A2324" s="1" t="s">
        <v>505</v>
      </c>
    </row>
    <row r="2325" spans="1:1">
      <c r="A2325" s="1" t="s">
        <v>506</v>
      </c>
    </row>
    <row r="2326" spans="1:1">
      <c r="A2326" s="1" t="s">
        <v>507</v>
      </c>
    </row>
    <row r="2327" spans="1:1">
      <c r="A2327" s="1" t="s">
        <v>508</v>
      </c>
    </row>
    <row r="2328" spans="1:1">
      <c r="A2328" s="1" t="s">
        <v>501</v>
      </c>
    </row>
    <row r="2329" spans="1:1">
      <c r="A2329" s="1" t="s">
        <v>501</v>
      </c>
    </row>
    <row r="2330" spans="1:1">
      <c r="A2330" s="1" t="s">
        <v>501</v>
      </c>
    </row>
    <row r="2331" spans="1:1">
      <c r="A2331" s="1" t="s">
        <v>502</v>
      </c>
    </row>
    <row r="2332" spans="1:1">
      <c r="A2332" s="1" t="s">
        <v>503</v>
      </c>
    </row>
    <row r="2333" spans="1:1">
      <c r="A2333" s="1" t="s">
        <v>504</v>
      </c>
    </row>
    <row r="2334" spans="1:1">
      <c r="A2334" s="1" t="s">
        <v>509</v>
      </c>
    </row>
    <row r="2335" spans="1:1">
      <c r="A2335" s="1" t="s">
        <v>510</v>
      </c>
    </row>
    <row r="2336" spans="1:1">
      <c r="A2336" s="1" t="s">
        <v>511</v>
      </c>
    </row>
    <row r="2337" spans="1:1">
      <c r="A2337" s="1" t="s">
        <v>512</v>
      </c>
    </row>
    <row r="2338" spans="1:1">
      <c r="A2338" s="1" t="s">
        <v>513</v>
      </c>
    </row>
    <row r="2339" spans="1:1">
      <c r="A2339" s="1" t="s">
        <v>513</v>
      </c>
    </row>
    <row r="2340" spans="1:1">
      <c r="A2340" s="1" t="s">
        <v>513</v>
      </c>
    </row>
    <row r="2341" spans="1:1">
      <c r="A2341" s="1" t="s">
        <v>514</v>
      </c>
    </row>
    <row r="2342" spans="1:1">
      <c r="A2342" s="1" t="s">
        <v>515</v>
      </c>
    </row>
    <row r="2343" spans="1:1">
      <c r="A2343" s="1" t="s">
        <v>516</v>
      </c>
    </row>
    <row r="2344" spans="1:1">
      <c r="A2344" s="1" t="s">
        <v>509</v>
      </c>
    </row>
    <row r="2345" spans="1:1">
      <c r="A2345" s="1" t="s">
        <v>510</v>
      </c>
    </row>
    <row r="2346" spans="1:1">
      <c r="A2346" s="1" t="s">
        <v>511</v>
      </c>
    </row>
    <row r="2347" spans="1:1">
      <c r="A2347" s="1" t="s">
        <v>512</v>
      </c>
    </row>
    <row r="2348" spans="1:1">
      <c r="A2348" s="1" t="s">
        <v>513</v>
      </c>
    </row>
    <row r="2349" spans="1:1">
      <c r="A2349" s="1" t="s">
        <v>513</v>
      </c>
    </row>
    <row r="2350" spans="1:1">
      <c r="A2350" s="1" t="s">
        <v>513</v>
      </c>
    </row>
    <row r="2351" spans="1:1">
      <c r="A2351" s="1" t="s">
        <v>514</v>
      </c>
    </row>
    <row r="2352" spans="1:1">
      <c r="A2352" s="1" t="s">
        <v>515</v>
      </c>
    </row>
    <row r="2353" spans="1:1">
      <c r="A2353" s="1" t="s">
        <v>516</v>
      </c>
    </row>
    <row r="2354" spans="1:1">
      <c r="A2354" s="1" t="s">
        <v>509</v>
      </c>
    </row>
    <row r="2355" spans="1:1">
      <c r="A2355" s="1" t="s">
        <v>510</v>
      </c>
    </row>
    <row r="2356" spans="1:1">
      <c r="A2356" s="1" t="s">
        <v>511</v>
      </c>
    </row>
    <row r="2357" spans="1:1">
      <c r="A2357" s="1" t="s">
        <v>512</v>
      </c>
    </row>
    <row r="2358" spans="1:1">
      <c r="A2358" s="1" t="s">
        <v>513</v>
      </c>
    </row>
    <row r="2359" spans="1:1">
      <c r="A2359" s="1" t="s">
        <v>513</v>
      </c>
    </row>
    <row r="2360" spans="1:1">
      <c r="A2360" s="1" t="s">
        <v>513</v>
      </c>
    </row>
    <row r="2361" spans="1:1">
      <c r="A2361" s="1" t="s">
        <v>514</v>
      </c>
    </row>
    <row r="2362" spans="1:1">
      <c r="A2362" s="1" t="s">
        <v>515</v>
      </c>
    </row>
    <row r="2363" spans="1:1">
      <c r="A2363" s="1" t="s">
        <v>516</v>
      </c>
    </row>
    <row r="2364" spans="1:1">
      <c r="A2364" s="1" t="s">
        <v>509</v>
      </c>
    </row>
    <row r="2365" spans="1:1">
      <c r="A2365" s="1" t="s">
        <v>510</v>
      </c>
    </row>
    <row r="2366" spans="1:1">
      <c r="A2366" s="1" t="s">
        <v>511</v>
      </c>
    </row>
    <row r="2367" spans="1:1">
      <c r="A2367" s="1" t="s">
        <v>512</v>
      </c>
    </row>
    <row r="2368" spans="1:1">
      <c r="A2368" s="1" t="s">
        <v>513</v>
      </c>
    </row>
    <row r="2369" spans="1:1">
      <c r="A2369" s="1" t="s">
        <v>513</v>
      </c>
    </row>
    <row r="2370" spans="1:1">
      <c r="A2370" s="1" t="s">
        <v>513</v>
      </c>
    </row>
    <row r="2371" spans="1:1">
      <c r="A2371" s="1" t="s">
        <v>514</v>
      </c>
    </row>
    <row r="2372" spans="1:1">
      <c r="A2372" s="1" t="s">
        <v>515</v>
      </c>
    </row>
    <row r="2373" spans="1:1">
      <c r="A2373" s="1" t="s">
        <v>516</v>
      </c>
    </row>
    <row r="2374" spans="1:1">
      <c r="A2374" s="1" t="s">
        <v>509</v>
      </c>
    </row>
    <row r="2375" spans="1:1">
      <c r="A2375" s="1" t="s">
        <v>510</v>
      </c>
    </row>
    <row r="2376" spans="1:1">
      <c r="A2376" s="1" t="s">
        <v>511</v>
      </c>
    </row>
    <row r="2377" spans="1:1">
      <c r="A2377" s="1" t="s">
        <v>512</v>
      </c>
    </row>
    <row r="2378" spans="1:1">
      <c r="A2378" s="1" t="s">
        <v>513</v>
      </c>
    </row>
    <row r="2379" spans="1:1">
      <c r="A2379" s="1" t="s">
        <v>517</v>
      </c>
    </row>
    <row r="2380" spans="1:1">
      <c r="A2380" s="1" t="s">
        <v>517</v>
      </c>
    </row>
    <row r="2381" spans="1:1">
      <c r="A2381" s="1" t="s">
        <v>518</v>
      </c>
    </row>
    <row r="2382" spans="1:1">
      <c r="A2382" s="1" t="s">
        <v>519</v>
      </c>
    </row>
    <row r="2383" spans="1:1">
      <c r="A2383" s="1" t="s">
        <v>520</v>
      </c>
    </row>
    <row r="2384" spans="1:1">
      <c r="A2384" s="1" t="s">
        <v>521</v>
      </c>
    </row>
    <row r="2385" spans="1:1">
      <c r="A2385" s="1" t="s">
        <v>522</v>
      </c>
    </row>
    <row r="2386" spans="1:1">
      <c r="A2386" s="1" t="s">
        <v>523</v>
      </c>
    </row>
    <row r="2387" spans="1:1">
      <c r="A2387" s="1" t="s">
        <v>524</v>
      </c>
    </row>
    <row r="2388" spans="1:1">
      <c r="A2388" s="1" t="s">
        <v>517</v>
      </c>
    </row>
    <row r="2389" spans="1:1">
      <c r="A2389" s="1" t="s">
        <v>517</v>
      </c>
    </row>
    <row r="2390" spans="1:1">
      <c r="A2390" s="1" t="s">
        <v>517</v>
      </c>
    </row>
    <row r="2391" spans="1:1">
      <c r="A2391" s="1" t="s">
        <v>518</v>
      </c>
    </row>
    <row r="2392" spans="1:1">
      <c r="A2392" s="1" t="s">
        <v>519</v>
      </c>
    </row>
    <row r="2393" spans="1:1">
      <c r="A2393" s="1" t="s">
        <v>520</v>
      </c>
    </row>
    <row r="2394" spans="1:1">
      <c r="A2394" s="1" t="s">
        <v>521</v>
      </c>
    </row>
    <row r="2395" spans="1:1">
      <c r="A2395" s="1" t="s">
        <v>522</v>
      </c>
    </row>
    <row r="2396" spans="1:1">
      <c r="A2396" s="1" t="s">
        <v>523</v>
      </c>
    </row>
    <row r="2397" spans="1:1">
      <c r="A2397" s="1" t="s">
        <v>524</v>
      </c>
    </row>
    <row r="2398" spans="1:1">
      <c r="A2398" s="1" t="s">
        <v>517</v>
      </c>
    </row>
    <row r="2399" spans="1:1">
      <c r="A2399" s="1" t="s">
        <v>517</v>
      </c>
    </row>
    <row r="2400" spans="1:1">
      <c r="A2400" s="1" t="s">
        <v>517</v>
      </c>
    </row>
    <row r="2401" spans="1:1">
      <c r="A2401" s="1" t="s">
        <v>518</v>
      </c>
    </row>
    <row r="2402" spans="1:1">
      <c r="A2402" s="1" t="s">
        <v>519</v>
      </c>
    </row>
    <row r="2403" spans="1:1">
      <c r="A2403" s="1" t="s">
        <v>520</v>
      </c>
    </row>
    <row r="2404" spans="1:1">
      <c r="A2404" s="1" t="s">
        <v>521</v>
      </c>
    </row>
    <row r="2405" spans="1:1">
      <c r="A2405" s="1" t="s">
        <v>522</v>
      </c>
    </row>
    <row r="2406" spans="1:1">
      <c r="A2406" s="1" t="s">
        <v>523</v>
      </c>
    </row>
    <row r="2407" spans="1:1">
      <c r="A2407" s="1" t="s">
        <v>524</v>
      </c>
    </row>
    <row r="2408" spans="1:1">
      <c r="A2408" s="1" t="s">
        <v>517</v>
      </c>
    </row>
    <row r="2409" spans="1:1">
      <c r="A2409" s="1" t="s">
        <v>517</v>
      </c>
    </row>
    <row r="2410" spans="1:1">
      <c r="A2410" s="1" t="s">
        <v>517</v>
      </c>
    </row>
    <row r="2411" spans="1:1">
      <c r="A2411" s="1" t="s">
        <v>518</v>
      </c>
    </row>
    <row r="2412" spans="1:1">
      <c r="A2412" s="1" t="s">
        <v>519</v>
      </c>
    </row>
    <row r="2413" spans="1:1">
      <c r="A2413" s="1" t="s">
        <v>520</v>
      </c>
    </row>
    <row r="2414" spans="1:1">
      <c r="A2414" s="1" t="s">
        <v>521</v>
      </c>
    </row>
    <row r="2415" spans="1:1">
      <c r="A2415" s="1" t="s">
        <v>522</v>
      </c>
    </row>
    <row r="2416" spans="1:1">
      <c r="A2416" s="1" t="s">
        <v>523</v>
      </c>
    </row>
    <row r="2417" spans="1:1">
      <c r="A2417" s="1" t="s">
        <v>524</v>
      </c>
    </row>
    <row r="2418" spans="1:1">
      <c r="A2418" s="1" t="s">
        <v>517</v>
      </c>
    </row>
    <row r="2419" spans="1:1">
      <c r="A2419" s="1" t="s">
        <v>517</v>
      </c>
    </row>
    <row r="2420" spans="1:1">
      <c r="A2420" s="1" t="s">
        <v>517</v>
      </c>
    </row>
    <row r="2421" spans="1:1">
      <c r="A2421" s="1" t="s">
        <v>518</v>
      </c>
    </row>
    <row r="2422" spans="1:1">
      <c r="A2422" s="1" t="s">
        <v>519</v>
      </c>
    </row>
    <row r="2423" spans="1:1">
      <c r="A2423" s="1" t="s">
        <v>520</v>
      </c>
    </row>
    <row r="2424" spans="1:1">
      <c r="A2424" s="1" t="s">
        <v>521</v>
      </c>
    </row>
    <row r="2425" spans="1:1">
      <c r="A2425" s="1" t="s">
        <v>522</v>
      </c>
    </row>
    <row r="2426" spans="1:1">
      <c r="A2426" s="1" t="s">
        <v>523</v>
      </c>
    </row>
    <row r="2427" spans="1:1">
      <c r="A2427" s="1" t="s">
        <v>524</v>
      </c>
    </row>
    <row r="2428" spans="1:1">
      <c r="A2428" s="1" t="s">
        <v>517</v>
      </c>
    </row>
    <row r="2429" spans="1:1">
      <c r="A2429" s="1" t="s">
        <v>517</v>
      </c>
    </row>
    <row r="2430" spans="1:1">
      <c r="A2430" s="1" t="s">
        <v>517</v>
      </c>
    </row>
    <row r="2431" spans="1:1">
      <c r="A2431" s="1" t="s">
        <v>518</v>
      </c>
    </row>
    <row r="2432" spans="1:1">
      <c r="A2432" s="1" t="s">
        <v>519</v>
      </c>
    </row>
    <row r="2433" spans="1:1">
      <c r="A2433" s="1" t="s">
        <v>520</v>
      </c>
    </row>
    <row r="2434" spans="1:1">
      <c r="A2434" s="1" t="s">
        <v>521</v>
      </c>
    </row>
    <row r="2435" spans="1:1">
      <c r="A2435" s="1" t="s">
        <v>522</v>
      </c>
    </row>
    <row r="2436" spans="1:1">
      <c r="A2436" s="1" t="s">
        <v>523</v>
      </c>
    </row>
    <row r="2437" spans="1:1">
      <c r="A2437" s="1" t="s">
        <v>524</v>
      </c>
    </row>
    <row r="2438" spans="1:1">
      <c r="A2438" s="1" t="s">
        <v>517</v>
      </c>
    </row>
    <row r="2439" spans="1:1">
      <c r="A2439" s="1" t="s">
        <v>517</v>
      </c>
    </row>
    <row r="2440" spans="1:1">
      <c r="A2440" s="1" t="s">
        <v>517</v>
      </c>
    </row>
    <row r="2441" spans="1:1">
      <c r="A2441" s="1" t="s">
        <v>518</v>
      </c>
    </row>
    <row r="2442" spans="1:1">
      <c r="A2442" s="1" t="s">
        <v>519</v>
      </c>
    </row>
    <row r="2443" spans="1:1">
      <c r="A2443" s="1" t="s">
        <v>520</v>
      </c>
    </row>
    <row r="2444" spans="1:1">
      <c r="A2444" s="1" t="s">
        <v>521</v>
      </c>
    </row>
    <row r="2445" spans="1:1">
      <c r="A2445" s="1" t="s">
        <v>522</v>
      </c>
    </row>
    <row r="2446" spans="1:1">
      <c r="A2446" s="1" t="s">
        <v>523</v>
      </c>
    </row>
    <row r="2447" spans="1:1">
      <c r="A2447" s="1" t="s">
        <v>524</v>
      </c>
    </row>
    <row r="2448" spans="1:1">
      <c r="A2448" s="1" t="s">
        <v>517</v>
      </c>
    </row>
    <row r="2449" spans="1:1">
      <c r="A2449" s="1" t="s">
        <v>525</v>
      </c>
    </row>
    <row r="2450" spans="1:1">
      <c r="A2450" s="1" t="s">
        <v>526</v>
      </c>
    </row>
    <row r="2451" spans="1:1">
      <c r="A2451" s="1" t="s">
        <v>527</v>
      </c>
    </row>
    <row r="2452" spans="1:1">
      <c r="A2452" s="1" t="s">
        <v>528</v>
      </c>
    </row>
    <row r="2453" spans="1:1">
      <c r="A2453" s="1" t="s">
        <v>529</v>
      </c>
    </row>
    <row r="2454" spans="1:1">
      <c r="A2454" s="1" t="s">
        <v>530</v>
      </c>
    </row>
    <row r="2455" spans="1:1">
      <c r="A2455" s="1" t="s">
        <v>531</v>
      </c>
    </row>
    <row r="2456" spans="1:1">
      <c r="A2456" s="1" t="s">
        <v>532</v>
      </c>
    </row>
    <row r="2457" spans="1:1">
      <c r="A2457" s="1" t="s">
        <v>533</v>
      </c>
    </row>
    <row r="2458" spans="1:1">
      <c r="A2458" s="1" t="s">
        <v>526</v>
      </c>
    </row>
    <row r="2459" spans="1:1">
      <c r="A2459" s="1" t="s">
        <v>526</v>
      </c>
    </row>
    <row r="2460" spans="1:1">
      <c r="A2460" s="1" t="s">
        <v>526</v>
      </c>
    </row>
    <row r="2461" spans="1:1">
      <c r="A2461" s="1" t="s">
        <v>527</v>
      </c>
    </row>
    <row r="2462" spans="1:1">
      <c r="A2462" s="1" t="s">
        <v>528</v>
      </c>
    </row>
    <row r="2463" spans="1:1">
      <c r="A2463" s="1" t="s">
        <v>529</v>
      </c>
    </row>
    <row r="2464" spans="1:1">
      <c r="A2464" s="1" t="s">
        <v>530</v>
      </c>
    </row>
    <row r="2465" spans="1:1">
      <c r="A2465" s="1" t="s">
        <v>531</v>
      </c>
    </row>
    <row r="2466" spans="1:1">
      <c r="A2466" s="1" t="s">
        <v>532</v>
      </c>
    </row>
    <row r="2467" spans="1:1">
      <c r="A2467" s="1" t="s">
        <v>533</v>
      </c>
    </row>
    <row r="2468" spans="1:1">
      <c r="A2468" s="1" t="s">
        <v>526</v>
      </c>
    </row>
    <row r="2469" spans="1:1">
      <c r="A2469" s="1" t="s">
        <v>526</v>
      </c>
    </row>
    <row r="2470" spans="1:1">
      <c r="A2470" s="1" t="s">
        <v>526</v>
      </c>
    </row>
    <row r="2471" spans="1:1">
      <c r="A2471" s="1" t="s">
        <v>527</v>
      </c>
    </row>
    <row r="2472" spans="1:1">
      <c r="A2472" s="1" t="s">
        <v>528</v>
      </c>
    </row>
    <row r="2473" spans="1:1">
      <c r="A2473" s="1" t="s">
        <v>529</v>
      </c>
    </row>
    <row r="2474" spans="1:1">
      <c r="A2474" s="1" t="s">
        <v>530</v>
      </c>
    </row>
    <row r="2475" spans="1:1">
      <c r="A2475" s="1" t="s">
        <v>531</v>
      </c>
    </row>
    <row r="2476" spans="1:1">
      <c r="A2476" s="1" t="s">
        <v>532</v>
      </c>
    </row>
    <row r="2477" spans="1:1">
      <c r="A2477" s="1" t="s">
        <v>533</v>
      </c>
    </row>
    <row r="2478" spans="1:1">
      <c r="A2478" s="1" t="s">
        <v>526</v>
      </c>
    </row>
    <row r="2479" spans="1:1">
      <c r="A2479" s="1" t="s">
        <v>526</v>
      </c>
    </row>
    <row r="2480" spans="1:1">
      <c r="A2480" s="1" t="s">
        <v>526</v>
      </c>
    </row>
    <row r="2481" spans="1:1">
      <c r="A2481" s="1" t="s">
        <v>527</v>
      </c>
    </row>
    <row r="2482" spans="1:1">
      <c r="A2482" s="1" t="s">
        <v>528</v>
      </c>
    </row>
    <row r="2483" spans="1:1">
      <c r="A2483" s="1" t="s">
        <v>529</v>
      </c>
    </row>
    <row r="2484" spans="1:1">
      <c r="A2484" s="1" t="s">
        <v>530</v>
      </c>
    </row>
    <row r="2485" spans="1:1">
      <c r="A2485" s="1" t="s">
        <v>531</v>
      </c>
    </row>
    <row r="2486" spans="1:1">
      <c r="A2486" s="1" t="s">
        <v>532</v>
      </c>
    </row>
    <row r="2487" spans="1:1">
      <c r="A2487" s="1" t="s">
        <v>533</v>
      </c>
    </row>
    <row r="2488" spans="1:1">
      <c r="A2488" s="1" t="s">
        <v>526</v>
      </c>
    </row>
    <row r="2489" spans="1:1">
      <c r="A2489" s="1" t="s">
        <v>526</v>
      </c>
    </row>
    <row r="2490" spans="1:1">
      <c r="A2490" s="1" t="s">
        <v>526</v>
      </c>
    </row>
    <row r="2491" spans="1:1">
      <c r="A2491" s="1" t="s">
        <v>527</v>
      </c>
    </row>
    <row r="2492" spans="1:1">
      <c r="A2492" s="1" t="s">
        <v>528</v>
      </c>
    </row>
    <row r="2493" spans="1:1">
      <c r="A2493" s="1" t="s">
        <v>529</v>
      </c>
    </row>
    <row r="2494" spans="1:1">
      <c r="A2494" s="1" t="s">
        <v>530</v>
      </c>
    </row>
    <row r="2495" spans="1:1">
      <c r="A2495" s="1" t="s">
        <v>531</v>
      </c>
    </row>
    <row r="2496" spans="1:1">
      <c r="A2496" s="1" t="s">
        <v>532</v>
      </c>
    </row>
    <row r="2497" spans="1:1">
      <c r="A2497" s="1" t="s">
        <v>533</v>
      </c>
    </row>
    <row r="2498" spans="1:1">
      <c r="A2498" s="1" t="s">
        <v>526</v>
      </c>
    </row>
    <row r="2499" spans="1:1">
      <c r="A2499" s="1" t="s">
        <v>526</v>
      </c>
    </row>
    <row r="2500" spans="1:1">
      <c r="A2500" s="1" t="s">
        <v>526</v>
      </c>
    </row>
    <row r="2501" spans="1:1">
      <c r="A2501" s="1" t="s">
        <v>527</v>
      </c>
    </row>
    <row r="2502" spans="1:1">
      <c r="A2502" s="1" t="s">
        <v>528</v>
      </c>
    </row>
    <row r="2503" spans="1:1">
      <c r="A2503" s="1" t="s">
        <v>529</v>
      </c>
    </row>
    <row r="2504" spans="1:1">
      <c r="A2504" s="1" t="s">
        <v>530</v>
      </c>
    </row>
    <row r="2505" spans="1:1">
      <c r="A2505" s="1" t="s">
        <v>531</v>
      </c>
    </row>
    <row r="2506" spans="1:1">
      <c r="A2506" s="1" t="s">
        <v>532</v>
      </c>
    </row>
    <row r="2507" spans="1:1">
      <c r="A2507" s="1" t="s">
        <v>533</v>
      </c>
    </row>
    <row r="2508" spans="1:1">
      <c r="A2508" s="1" t="s">
        <v>526</v>
      </c>
    </row>
    <row r="2509" spans="1:1">
      <c r="A2509" s="1" t="s">
        <v>526</v>
      </c>
    </row>
    <row r="2510" spans="1:1">
      <c r="A2510" s="1" t="s">
        <v>526</v>
      </c>
    </row>
    <row r="2511" spans="1:1">
      <c r="A2511" s="1" t="s">
        <v>527</v>
      </c>
    </row>
    <row r="2512" spans="1:1">
      <c r="A2512" s="1" t="s">
        <v>528</v>
      </c>
    </row>
    <row r="2513" spans="1:1">
      <c r="A2513" s="1" t="s">
        <v>529</v>
      </c>
    </row>
    <row r="2514" spans="1:1">
      <c r="A2514" s="1" t="s">
        <v>530</v>
      </c>
    </row>
    <row r="2515" spans="1:1">
      <c r="A2515" s="1" t="s">
        <v>531</v>
      </c>
    </row>
    <row r="2516" spans="1:1">
      <c r="A2516" s="1" t="s">
        <v>532</v>
      </c>
    </row>
    <row r="2517" spans="1:1">
      <c r="A2517" s="1" t="s">
        <v>533</v>
      </c>
    </row>
    <row r="2518" spans="1:1">
      <c r="A2518" s="1" t="s">
        <v>526</v>
      </c>
    </row>
    <row r="2519" spans="1:1">
      <c r="A2519" s="1" t="s">
        <v>534</v>
      </c>
    </row>
    <row r="2520" spans="1:1">
      <c r="A2520" s="1" t="s">
        <v>534</v>
      </c>
    </row>
    <row r="2521" spans="1:1">
      <c r="A2521" s="1" t="s">
        <v>535</v>
      </c>
    </row>
    <row r="2522" spans="1:1">
      <c r="A2522" s="1" t="s">
        <v>536</v>
      </c>
    </row>
    <row r="2523" spans="1:1">
      <c r="A2523" s="1" t="s">
        <v>537</v>
      </c>
    </row>
    <row r="2524" spans="1:1">
      <c r="A2524" s="1" t="s">
        <v>538</v>
      </c>
    </row>
    <row r="2525" spans="1:1">
      <c r="A2525" s="1" t="s">
        <v>539</v>
      </c>
    </row>
    <row r="2526" spans="1:1">
      <c r="A2526" s="1" t="s">
        <v>540</v>
      </c>
    </row>
    <row r="2527" spans="1:1">
      <c r="A2527" s="1" t="s">
        <v>541</v>
      </c>
    </row>
    <row r="2528" spans="1:1">
      <c r="A2528" s="1" t="s">
        <v>534</v>
      </c>
    </row>
    <row r="2529" spans="1:1">
      <c r="A2529" s="1" t="s">
        <v>534</v>
      </c>
    </row>
    <row r="2530" spans="1:1">
      <c r="A2530" s="1" t="s">
        <v>534</v>
      </c>
    </row>
    <row r="2531" spans="1:1">
      <c r="A2531" s="1" t="s">
        <v>535</v>
      </c>
    </row>
    <row r="2532" spans="1:1">
      <c r="A2532" s="1" t="s">
        <v>536</v>
      </c>
    </row>
    <row r="2533" spans="1:1">
      <c r="A2533" s="1" t="s">
        <v>537</v>
      </c>
    </row>
    <row r="2534" spans="1:1">
      <c r="A2534" s="1" t="s">
        <v>538</v>
      </c>
    </row>
    <row r="2535" spans="1:1">
      <c r="A2535" s="1" t="s">
        <v>539</v>
      </c>
    </row>
    <row r="2536" spans="1:1">
      <c r="A2536" s="1" t="s">
        <v>540</v>
      </c>
    </row>
    <row r="2537" spans="1:1">
      <c r="A2537" s="1" t="s">
        <v>541</v>
      </c>
    </row>
    <row r="2538" spans="1:1">
      <c r="A2538" s="1" t="s">
        <v>534</v>
      </c>
    </row>
    <row r="2539" spans="1:1">
      <c r="A2539" s="1" t="s">
        <v>534</v>
      </c>
    </row>
    <row r="2540" spans="1:1">
      <c r="A2540" s="1" t="s">
        <v>534</v>
      </c>
    </row>
    <row r="2541" spans="1:1">
      <c r="A2541" s="1" t="s">
        <v>535</v>
      </c>
    </row>
    <row r="2542" spans="1:1">
      <c r="A2542" s="1" t="s">
        <v>536</v>
      </c>
    </row>
    <row r="2543" spans="1:1">
      <c r="A2543" s="1" t="s">
        <v>537</v>
      </c>
    </row>
    <row r="2544" spans="1:1">
      <c r="A2544" s="1" t="s">
        <v>538</v>
      </c>
    </row>
    <row r="2545" spans="1:1">
      <c r="A2545" s="1" t="s">
        <v>539</v>
      </c>
    </row>
    <row r="2546" spans="1:1">
      <c r="A2546" s="1" t="s">
        <v>540</v>
      </c>
    </row>
    <row r="2547" spans="1:1">
      <c r="A2547" s="1" t="s">
        <v>541</v>
      </c>
    </row>
    <row r="2548" spans="1:1">
      <c r="A2548" s="1" t="s">
        <v>534</v>
      </c>
    </row>
    <row r="2549" spans="1:1">
      <c r="A2549" s="1" t="s">
        <v>534</v>
      </c>
    </row>
    <row r="2550" spans="1:1">
      <c r="A2550" s="1" t="s">
        <v>534</v>
      </c>
    </row>
    <row r="2551" spans="1:1">
      <c r="A2551" s="1" t="s">
        <v>535</v>
      </c>
    </row>
    <row r="2552" spans="1:1">
      <c r="A2552" s="1" t="s">
        <v>536</v>
      </c>
    </row>
    <row r="2553" spans="1:1">
      <c r="A2553" s="1" t="s">
        <v>537</v>
      </c>
    </row>
    <row r="2554" spans="1:1">
      <c r="A2554" s="1" t="s">
        <v>538</v>
      </c>
    </row>
    <row r="2555" spans="1:1">
      <c r="A2555" s="1" t="s">
        <v>539</v>
      </c>
    </row>
    <row r="2556" spans="1:1">
      <c r="A2556" s="1" t="s">
        <v>540</v>
      </c>
    </row>
    <row r="2557" spans="1:1">
      <c r="A2557" s="1" t="s">
        <v>541</v>
      </c>
    </row>
    <row r="2558" spans="1:1">
      <c r="A2558" s="1" t="s">
        <v>534</v>
      </c>
    </row>
    <row r="2559" spans="1:1">
      <c r="A2559" s="1" t="s">
        <v>534</v>
      </c>
    </row>
    <row r="2560" spans="1:1">
      <c r="A2560" s="1" t="s">
        <v>534</v>
      </c>
    </row>
    <row r="2561" spans="1:1">
      <c r="A2561" s="1" t="s">
        <v>535</v>
      </c>
    </row>
    <row r="2562" spans="1:1">
      <c r="A2562" s="1" t="s">
        <v>536</v>
      </c>
    </row>
    <row r="2563" spans="1:1">
      <c r="A2563" s="1" t="s">
        <v>537</v>
      </c>
    </row>
    <row r="2564" spans="1:1">
      <c r="A2564" s="1" t="s">
        <v>538</v>
      </c>
    </row>
    <row r="2565" spans="1:1">
      <c r="A2565" s="1" t="s">
        <v>539</v>
      </c>
    </row>
    <row r="2566" spans="1:1">
      <c r="A2566" s="1" t="s">
        <v>540</v>
      </c>
    </row>
    <row r="2567" spans="1:1">
      <c r="A2567" s="1" t="s">
        <v>541</v>
      </c>
    </row>
    <row r="2568" spans="1:1">
      <c r="A2568" s="1" t="s">
        <v>534</v>
      </c>
    </row>
    <row r="2569" spans="1:1">
      <c r="A2569" s="1" t="s">
        <v>534</v>
      </c>
    </row>
    <row r="2570" spans="1:1">
      <c r="A2570" s="1" t="s">
        <v>534</v>
      </c>
    </row>
    <row r="2571" spans="1:1">
      <c r="A2571" s="1" t="s">
        <v>535</v>
      </c>
    </row>
    <row r="2572" spans="1:1">
      <c r="A2572" s="1" t="s">
        <v>536</v>
      </c>
    </row>
    <row r="2573" spans="1:1">
      <c r="A2573" s="1" t="s">
        <v>537</v>
      </c>
    </row>
    <row r="2574" spans="1:1">
      <c r="A2574" s="1" t="s">
        <v>538</v>
      </c>
    </row>
    <row r="2575" spans="1:1">
      <c r="A2575" s="1" t="s">
        <v>539</v>
      </c>
    </row>
    <row r="2576" spans="1:1">
      <c r="A2576" s="1" t="s">
        <v>540</v>
      </c>
    </row>
    <row r="2577" spans="1:1">
      <c r="A2577" s="1" t="s">
        <v>541</v>
      </c>
    </row>
    <row r="2578" spans="1:1">
      <c r="A2578" s="1" t="s">
        <v>534</v>
      </c>
    </row>
    <row r="2579" spans="1:1">
      <c r="A2579" s="1" t="s">
        <v>534</v>
      </c>
    </row>
    <row r="2580" spans="1:1">
      <c r="A2580" s="1" t="s">
        <v>542</v>
      </c>
    </row>
    <row r="2581" spans="1:1">
      <c r="A2581" s="1" t="s">
        <v>543</v>
      </c>
    </row>
    <row r="2582" spans="1:1">
      <c r="A2582" s="1" t="s">
        <v>544</v>
      </c>
    </row>
    <row r="2583" spans="1:1">
      <c r="A2583" s="1" t="s">
        <v>545</v>
      </c>
    </row>
    <row r="2584" spans="1:1">
      <c r="A2584" s="1" t="s">
        <v>546</v>
      </c>
    </row>
    <row r="2585" spans="1:1">
      <c r="A2585" s="1" t="s">
        <v>547</v>
      </c>
    </row>
    <row r="2586" spans="1:1">
      <c r="A2586" s="1" t="s">
        <v>548</v>
      </c>
    </row>
    <row r="2587" spans="1:1">
      <c r="A2587" s="1" t="s">
        <v>549</v>
      </c>
    </row>
    <row r="2588" spans="1:1">
      <c r="A2588" s="1" t="s">
        <v>542</v>
      </c>
    </row>
    <row r="2589" spans="1:1">
      <c r="A2589" s="1" t="s">
        <v>550</v>
      </c>
    </row>
    <row r="2590" spans="1:1">
      <c r="A2590" s="1" t="s">
        <v>551</v>
      </c>
    </row>
    <row r="2591" spans="1:1">
      <c r="A2591" s="1" t="s">
        <v>552</v>
      </c>
    </row>
    <row r="2592" spans="1:1">
      <c r="A2592" s="1" t="s">
        <v>552</v>
      </c>
    </row>
    <row r="2593" spans="1:1">
      <c r="A2593" s="1" t="s">
        <v>553</v>
      </c>
    </row>
    <row r="2594" spans="1:1">
      <c r="A2594" s="1" t="s">
        <v>554</v>
      </c>
    </row>
    <row r="2595" spans="1:1">
      <c r="A2595" s="1" t="s">
        <v>555</v>
      </c>
    </row>
    <row r="2596" spans="1:1">
      <c r="A2596" s="1" t="s">
        <v>556</v>
      </c>
    </row>
    <row r="2597" spans="1:1">
      <c r="A2597" s="1" t="s">
        <v>557</v>
      </c>
    </row>
    <row r="2598" spans="1:1">
      <c r="A2598" s="1" t="s">
        <v>558</v>
      </c>
    </row>
    <row r="2599" spans="1:1">
      <c r="A2599" s="1" t="s">
        <v>559</v>
      </c>
    </row>
    <row r="2600" spans="1:1">
      <c r="A2600" s="1" t="s">
        <v>552</v>
      </c>
    </row>
    <row r="2601" spans="1:1">
      <c r="A2601" s="1" t="s">
        <v>552</v>
      </c>
    </row>
    <row r="2602" spans="1:1">
      <c r="A2602" s="1" t="s">
        <v>552</v>
      </c>
    </row>
    <row r="2603" spans="1:1">
      <c r="A2603" s="1" t="s">
        <v>560</v>
      </c>
    </row>
    <row r="2604" spans="1:1">
      <c r="A2604" s="1" t="s">
        <v>561</v>
      </c>
    </row>
    <row r="2605" spans="1:1">
      <c r="A2605" s="1" t="s">
        <v>562</v>
      </c>
    </row>
    <row r="2606" spans="1:1">
      <c r="A2606" s="1" t="s">
        <v>563</v>
      </c>
    </row>
    <row r="2607" spans="1:1">
      <c r="A2607" s="1" t="s">
        <v>564</v>
      </c>
    </row>
    <row r="2608" spans="1:1">
      <c r="A2608" s="1" t="s">
        <v>565</v>
      </c>
    </row>
    <row r="2609" spans="1:1">
      <c r="A2609" s="1" t="s">
        <v>566</v>
      </c>
    </row>
    <row r="2610" spans="1:1">
      <c r="A2610" s="1" t="s">
        <v>567</v>
      </c>
    </row>
    <row r="2611" spans="1:1">
      <c r="A2611" s="1" t="s">
        <v>567</v>
      </c>
    </row>
    <row r="2612" spans="1:1">
      <c r="A2612" s="1" t="s">
        <v>567</v>
      </c>
    </row>
    <row r="2613" spans="1:1">
      <c r="A2613" s="1" t="s">
        <v>560</v>
      </c>
    </row>
    <row r="2614" spans="1:1">
      <c r="A2614" s="1" t="s">
        <v>561</v>
      </c>
    </row>
    <row r="2615" spans="1:1">
      <c r="A2615" s="1" t="s">
        <v>562</v>
      </c>
    </row>
    <row r="2616" spans="1:1">
      <c r="A2616" s="1" t="s">
        <v>563</v>
      </c>
    </row>
    <row r="2617" spans="1:1">
      <c r="A2617" s="1" t="s">
        <v>564</v>
      </c>
    </row>
    <row r="2618" spans="1:1">
      <c r="A2618" s="1" t="s">
        <v>565</v>
      </c>
    </row>
    <row r="2619" spans="1:1">
      <c r="A2619" s="1" t="s">
        <v>566</v>
      </c>
    </row>
    <row r="2620" spans="1:1">
      <c r="A2620" s="1" t="s">
        <v>567</v>
      </c>
    </row>
    <row r="2621" spans="1:1">
      <c r="A2621" s="1" t="s">
        <v>567</v>
      </c>
    </row>
    <row r="2622" spans="1:1">
      <c r="A2622" s="1" t="s">
        <v>567</v>
      </c>
    </row>
    <row r="2623" spans="1:1">
      <c r="A2623" s="1" t="s">
        <v>560</v>
      </c>
    </row>
    <row r="2624" spans="1:1">
      <c r="A2624" s="1" t="s">
        <v>561</v>
      </c>
    </row>
    <row r="2625" spans="1:1">
      <c r="A2625" s="1" t="s">
        <v>562</v>
      </c>
    </row>
    <row r="2626" spans="1:1">
      <c r="A2626" s="1" t="s">
        <v>563</v>
      </c>
    </row>
    <row r="2627" spans="1:1">
      <c r="A2627" s="1" t="s">
        <v>564</v>
      </c>
    </row>
    <row r="2628" spans="1:1">
      <c r="A2628" s="1" t="s">
        <v>565</v>
      </c>
    </row>
    <row r="2629" spans="1:1">
      <c r="A2629" s="1" t="s">
        <v>566</v>
      </c>
    </row>
    <row r="2630" spans="1:1">
      <c r="A2630" s="1" t="s">
        <v>567</v>
      </c>
    </row>
    <row r="2631" spans="1:1">
      <c r="A2631" s="1" t="s">
        <v>567</v>
      </c>
    </row>
    <row r="2632" spans="1:1">
      <c r="A2632" s="1" t="s">
        <v>567</v>
      </c>
    </row>
    <row r="2633" spans="1:1">
      <c r="A2633" s="1" t="s">
        <v>560</v>
      </c>
    </row>
    <row r="2634" spans="1:1">
      <c r="A2634" s="1" t="s">
        <v>561</v>
      </c>
    </row>
    <row r="2635" spans="1:1">
      <c r="A2635" s="1" t="s">
        <v>562</v>
      </c>
    </row>
    <row r="2636" spans="1:1">
      <c r="A2636" s="1" t="s">
        <v>563</v>
      </c>
    </row>
    <row r="2637" spans="1:1">
      <c r="A2637" s="1" t="s">
        <v>564</v>
      </c>
    </row>
    <row r="2638" spans="1:1">
      <c r="A2638" s="1" t="s">
        <v>565</v>
      </c>
    </row>
    <row r="2639" spans="1:1">
      <c r="A2639" s="1" t="s">
        <v>566</v>
      </c>
    </row>
    <row r="2640" spans="1:1">
      <c r="A2640" s="1" t="s">
        <v>567</v>
      </c>
    </row>
    <row r="2641" spans="1:1">
      <c r="A2641" s="1" t="s">
        <v>567</v>
      </c>
    </row>
    <row r="2642" spans="1:1">
      <c r="A2642" s="1" t="s">
        <v>567</v>
      </c>
    </row>
    <row r="2643" spans="1:1">
      <c r="A2643" s="1" t="s">
        <v>560</v>
      </c>
    </row>
    <row r="2644" spans="1:1">
      <c r="A2644" s="1" t="s">
        <v>561</v>
      </c>
    </row>
    <row r="2645" spans="1:1">
      <c r="A2645" s="1" t="s">
        <v>562</v>
      </c>
    </row>
    <row r="2646" spans="1:1">
      <c r="A2646" s="1" t="s">
        <v>563</v>
      </c>
    </row>
    <row r="2647" spans="1:1">
      <c r="A2647" s="1" t="s">
        <v>564</v>
      </c>
    </row>
    <row r="2648" spans="1:1">
      <c r="A2648" s="1" t="s">
        <v>565</v>
      </c>
    </row>
    <row r="2649" spans="1:1">
      <c r="A2649" s="1" t="s">
        <v>566</v>
      </c>
    </row>
    <row r="2650" spans="1:1">
      <c r="A2650" s="1" t="s">
        <v>567</v>
      </c>
    </row>
    <row r="2651" spans="1:1">
      <c r="A2651" s="1" t="s">
        <v>567</v>
      </c>
    </row>
    <row r="2652" spans="1:1">
      <c r="A2652" s="1" t="s">
        <v>567</v>
      </c>
    </row>
    <row r="2653" spans="1:1">
      <c r="A2653" s="1" t="s">
        <v>560</v>
      </c>
    </row>
    <row r="2654" spans="1:1">
      <c r="A2654" s="1" t="s">
        <v>561</v>
      </c>
    </row>
    <row r="2655" spans="1:1">
      <c r="A2655" s="1" t="s">
        <v>562</v>
      </c>
    </row>
    <row r="2656" spans="1:1">
      <c r="A2656" s="1" t="s">
        <v>563</v>
      </c>
    </row>
    <row r="2657" spans="1:1">
      <c r="A2657" s="1" t="s">
        <v>564</v>
      </c>
    </row>
    <row r="2658" spans="1:1">
      <c r="A2658" s="1" t="s">
        <v>565</v>
      </c>
    </row>
    <row r="2659" spans="1:1">
      <c r="A2659" s="1" t="s">
        <v>566</v>
      </c>
    </row>
    <row r="2660" spans="1:1">
      <c r="A2660" s="1" t="s">
        <v>567</v>
      </c>
    </row>
    <row r="2661" spans="1:1">
      <c r="A2661" s="1" t="s">
        <v>568</v>
      </c>
    </row>
    <row r="2662" spans="1:1">
      <c r="A2662" s="1" t="s">
        <v>569</v>
      </c>
    </row>
    <row r="2663" spans="1:1">
      <c r="A2663" s="1" t="s">
        <v>570</v>
      </c>
    </row>
    <row r="2664" spans="1:1">
      <c r="A2664" s="1" t="s">
        <v>571</v>
      </c>
    </row>
    <row r="2665" spans="1:1">
      <c r="A2665" s="1" t="s">
        <v>572</v>
      </c>
    </row>
    <row r="2666" spans="1:1">
      <c r="A2666" s="1" t="s">
        <v>573</v>
      </c>
    </row>
    <row r="2667" spans="1:1">
      <c r="A2667" s="1" t="s">
        <v>574</v>
      </c>
    </row>
    <row r="2668" spans="1:1">
      <c r="A2668" s="1" t="s">
        <v>575</v>
      </c>
    </row>
    <row r="2669" spans="1:1">
      <c r="A2669" s="1" t="s">
        <v>576</v>
      </c>
    </row>
    <row r="2670" spans="1:1">
      <c r="A2670" s="1" t="s">
        <v>577</v>
      </c>
    </row>
    <row r="2671" spans="1:1">
      <c r="A2671" s="1" t="s">
        <v>578</v>
      </c>
    </row>
    <row r="2672" spans="1:1">
      <c r="A2672" s="1" t="s">
        <v>579</v>
      </c>
    </row>
    <row r="2673" spans="1:1">
      <c r="A2673" s="1" t="s">
        <v>580</v>
      </c>
    </row>
    <row r="2674" spans="1:1">
      <c r="A2674" s="1" t="s">
        <v>581</v>
      </c>
    </row>
    <row r="2675" spans="1:1">
      <c r="A2675" s="1" t="s">
        <v>582</v>
      </c>
    </row>
    <row r="2676" spans="1:1">
      <c r="A2676" s="1" t="s">
        <v>583</v>
      </c>
    </row>
    <row r="2677" spans="1:1">
      <c r="A2677" s="1" t="s">
        <v>584</v>
      </c>
    </row>
    <row r="2678" spans="1:1">
      <c r="A2678" s="1" t="s">
        <v>585</v>
      </c>
    </row>
    <row r="2679" spans="1:1">
      <c r="A2679" s="1" t="s">
        <v>586</v>
      </c>
    </row>
    <row r="2680" spans="1:1">
      <c r="A2680" s="1" t="s">
        <v>587</v>
      </c>
    </row>
    <row r="2681" spans="1:1">
      <c r="A2681" s="1" t="s">
        <v>588</v>
      </c>
    </row>
    <row r="2682" spans="1:1">
      <c r="A2682" s="1" t="s">
        <v>589</v>
      </c>
    </row>
    <row r="2683" spans="1:1">
      <c r="A2683" s="1" t="s">
        <v>590</v>
      </c>
    </row>
    <row r="2684" spans="1:1">
      <c r="A2684" s="1" t="s">
        <v>591</v>
      </c>
    </row>
    <row r="2685" spans="1:1">
      <c r="A2685" s="1" t="s">
        <v>592</v>
      </c>
    </row>
    <row r="2686" spans="1:1">
      <c r="A2686" s="1" t="s">
        <v>593</v>
      </c>
    </row>
    <row r="2687" spans="1:1">
      <c r="A2687" s="1" t="s">
        <v>594</v>
      </c>
    </row>
    <row r="2688" spans="1:1">
      <c r="A2688" s="1" t="s">
        <v>594</v>
      </c>
    </row>
    <row r="2689" spans="1:1">
      <c r="A2689" s="1" t="s">
        <v>595</v>
      </c>
    </row>
    <row r="2690" spans="1:1">
      <c r="A2690" s="1" t="s">
        <v>596</v>
      </c>
    </row>
    <row r="2691" spans="1:1">
      <c r="A2691" s="1" t="s">
        <v>597</v>
      </c>
    </row>
    <row r="2692" spans="1:1">
      <c r="A2692" s="1" t="s">
        <v>598</v>
      </c>
    </row>
    <row r="2693" spans="1:1">
      <c r="A2693" s="1" t="s">
        <v>599</v>
      </c>
    </row>
    <row r="2694" spans="1:1">
      <c r="A2694" s="1" t="s">
        <v>600</v>
      </c>
    </row>
    <row r="2695" spans="1:1">
      <c r="A2695" s="1" t="s">
        <v>601</v>
      </c>
    </row>
    <row r="2696" spans="1:1">
      <c r="A2696" s="1" t="s">
        <v>602</v>
      </c>
    </row>
    <row r="2697" spans="1:1">
      <c r="A2697" s="1" t="s">
        <v>594</v>
      </c>
    </row>
    <row r="2698" spans="1:1">
      <c r="A2698" s="1" t="s">
        <v>594</v>
      </c>
    </row>
    <row r="2699" spans="1:1">
      <c r="A2699" s="1" t="s">
        <v>594</v>
      </c>
    </row>
    <row r="2700" spans="1:1">
      <c r="A2700" s="1" t="s">
        <v>595</v>
      </c>
    </row>
    <row r="2701" spans="1:1">
      <c r="A2701" s="1" t="s">
        <v>596</v>
      </c>
    </row>
    <row r="2702" spans="1:1">
      <c r="A2702" s="1" t="s">
        <v>597</v>
      </c>
    </row>
    <row r="2703" spans="1:1">
      <c r="A2703" s="1" t="s">
        <v>598</v>
      </c>
    </row>
    <row r="2704" spans="1:1">
      <c r="A2704" s="1" t="s">
        <v>599</v>
      </c>
    </row>
    <row r="2705" spans="1:1">
      <c r="A2705" s="1" t="s">
        <v>600</v>
      </c>
    </row>
    <row r="2706" spans="1:1">
      <c r="A2706" s="1" t="s">
        <v>601</v>
      </c>
    </row>
    <row r="2707" spans="1:1">
      <c r="A2707" s="1" t="s">
        <v>602</v>
      </c>
    </row>
    <row r="2708" spans="1:1">
      <c r="A2708" s="1" t="s">
        <v>594</v>
      </c>
    </row>
    <row r="2709" spans="1:1">
      <c r="A2709" s="1" t="s">
        <v>594</v>
      </c>
    </row>
    <row r="2710" spans="1:1">
      <c r="A2710" s="1" t="s">
        <v>594</v>
      </c>
    </row>
    <row r="2711" spans="1:1">
      <c r="A2711" s="1" t="s">
        <v>595</v>
      </c>
    </row>
    <row r="2712" spans="1:1">
      <c r="A2712" s="1" t="s">
        <v>596</v>
      </c>
    </row>
    <row r="2713" spans="1:1">
      <c r="A2713" s="1" t="s">
        <v>597</v>
      </c>
    </row>
    <row r="2714" spans="1:1">
      <c r="A2714" s="1" t="s">
        <v>598</v>
      </c>
    </row>
    <row r="2715" spans="1:1">
      <c r="A2715" s="1" t="s">
        <v>599</v>
      </c>
    </row>
    <row r="2716" spans="1:1">
      <c r="A2716" s="1" t="s">
        <v>600</v>
      </c>
    </row>
    <row r="2717" spans="1:1">
      <c r="A2717" s="1" t="s">
        <v>601</v>
      </c>
    </row>
    <row r="2718" spans="1:1">
      <c r="A2718" s="1" t="s">
        <v>602</v>
      </c>
    </row>
    <row r="2719" spans="1:1">
      <c r="A2719" s="1" t="s">
        <v>594</v>
      </c>
    </row>
    <row r="2720" spans="1:1">
      <c r="A2720" s="1" t="s">
        <v>594</v>
      </c>
    </row>
    <row r="2721" spans="1:1">
      <c r="A2721" s="1" t="s">
        <v>594</v>
      </c>
    </row>
    <row r="2722" spans="1:1">
      <c r="A2722" s="1" t="s">
        <v>595</v>
      </c>
    </row>
    <row r="2723" spans="1:1">
      <c r="A2723" s="1" t="s">
        <v>596</v>
      </c>
    </row>
    <row r="2724" spans="1:1">
      <c r="A2724" s="1" t="s">
        <v>597</v>
      </c>
    </row>
    <row r="2725" spans="1:1">
      <c r="A2725" s="1" t="s">
        <v>598</v>
      </c>
    </row>
    <row r="2726" spans="1:1">
      <c r="A2726" s="1" t="s">
        <v>599</v>
      </c>
    </row>
    <row r="2727" spans="1:1">
      <c r="A2727" s="1" t="s">
        <v>600</v>
      </c>
    </row>
    <row r="2728" spans="1:1">
      <c r="A2728" s="1" t="s">
        <v>601</v>
      </c>
    </row>
    <row r="2729" spans="1:1">
      <c r="A2729" s="1" t="s">
        <v>602</v>
      </c>
    </row>
    <row r="2730" spans="1:1">
      <c r="A2730" s="1" t="s">
        <v>594</v>
      </c>
    </row>
    <row r="2731" spans="1:1">
      <c r="A2731" s="1" t="s">
        <v>594</v>
      </c>
    </row>
    <row r="2732" spans="1:1">
      <c r="A2732" s="1" t="s">
        <v>594</v>
      </c>
    </row>
    <row r="2733" spans="1:1">
      <c r="A2733" s="1" t="s">
        <v>595</v>
      </c>
    </row>
    <row r="2734" spans="1:1">
      <c r="A2734" s="1" t="s">
        <v>596</v>
      </c>
    </row>
    <row r="2735" spans="1:1">
      <c r="A2735" s="1" t="s">
        <v>597</v>
      </c>
    </row>
    <row r="2736" spans="1:1">
      <c r="A2736" s="1" t="s">
        <v>598</v>
      </c>
    </row>
    <row r="2737" spans="1:1">
      <c r="A2737" s="1" t="s">
        <v>599</v>
      </c>
    </row>
    <row r="2738" spans="1:1">
      <c r="A2738" s="1" t="s">
        <v>600</v>
      </c>
    </row>
    <row r="2739" spans="1:1">
      <c r="A2739" s="1" t="s">
        <v>601</v>
      </c>
    </row>
    <row r="2740" spans="1:1">
      <c r="A2740" s="1" t="s">
        <v>602</v>
      </c>
    </row>
    <row r="2741" spans="1:1">
      <c r="A2741" s="1" t="s">
        <v>594</v>
      </c>
    </row>
    <row r="2742" spans="1:1">
      <c r="A2742" s="1" t="s">
        <v>594</v>
      </c>
    </row>
    <row r="2743" spans="1:1">
      <c r="A2743" s="1" t="s">
        <v>594</v>
      </c>
    </row>
    <row r="2744" spans="1:1">
      <c r="A2744" s="1" t="s">
        <v>595</v>
      </c>
    </row>
    <row r="2745" spans="1:1">
      <c r="A2745" s="1" t="s">
        <v>596</v>
      </c>
    </row>
    <row r="2746" spans="1:1">
      <c r="A2746" s="1" t="s">
        <v>597</v>
      </c>
    </row>
    <row r="2747" spans="1:1">
      <c r="A2747" s="1" t="s">
        <v>598</v>
      </c>
    </row>
    <row r="2748" spans="1:1">
      <c r="A2748" s="1" t="s">
        <v>599</v>
      </c>
    </row>
    <row r="2749" spans="1:1">
      <c r="A2749" s="1" t="s">
        <v>600</v>
      </c>
    </row>
    <row r="2750" spans="1:1">
      <c r="A2750" s="1" t="s">
        <v>601</v>
      </c>
    </row>
    <row r="2751" spans="1:1">
      <c r="A2751" s="1" t="s">
        <v>602</v>
      </c>
    </row>
    <row r="2752" spans="1:1">
      <c r="A2752" s="1" t="s">
        <v>594</v>
      </c>
    </row>
    <row r="2753" spans="1:1">
      <c r="A2753" s="1" t="s">
        <v>594</v>
      </c>
    </row>
    <row r="2754" spans="1:1">
      <c r="A2754" s="1" t="s">
        <v>594</v>
      </c>
    </row>
    <row r="2755" spans="1:1">
      <c r="A2755" s="1" t="s">
        <v>595</v>
      </c>
    </row>
    <row r="2756" spans="1:1">
      <c r="A2756" s="1" t="s">
        <v>596</v>
      </c>
    </row>
    <row r="2757" spans="1:1">
      <c r="A2757" s="1" t="s">
        <v>597</v>
      </c>
    </row>
    <row r="2758" spans="1:1">
      <c r="A2758" s="1" t="s">
        <v>598</v>
      </c>
    </row>
    <row r="2759" spans="1:1">
      <c r="A2759" s="1" t="s">
        <v>599</v>
      </c>
    </row>
    <row r="2760" spans="1:1">
      <c r="A2760" s="1" t="s">
        <v>600</v>
      </c>
    </row>
    <row r="2761" spans="1:1">
      <c r="A2761" s="1" t="s">
        <v>601</v>
      </c>
    </row>
    <row r="2762" spans="1:1">
      <c r="A2762" s="1" t="s">
        <v>602</v>
      </c>
    </row>
    <row r="2763" spans="1:1">
      <c r="A2763" s="1" t="s">
        <v>594</v>
      </c>
    </row>
    <row r="2764" spans="1:1">
      <c r="A2764" s="1" t="s">
        <v>603</v>
      </c>
    </row>
    <row r="2765" spans="1:1">
      <c r="A2765" s="1" t="s">
        <v>603</v>
      </c>
    </row>
    <row r="2766" spans="1:1">
      <c r="A2766" s="1" t="s">
        <v>604</v>
      </c>
    </row>
    <row r="2767" spans="1:1">
      <c r="A2767" s="1" t="s">
        <v>605</v>
      </c>
    </row>
    <row r="2768" spans="1:1">
      <c r="A2768" s="1" t="s">
        <v>606</v>
      </c>
    </row>
    <row r="2769" spans="1:1">
      <c r="A2769" s="1" t="s">
        <v>607</v>
      </c>
    </row>
    <row r="2770" spans="1:1">
      <c r="A2770" s="1" t="s">
        <v>608</v>
      </c>
    </row>
    <row r="2771" spans="1:1">
      <c r="A2771" s="1" t="s">
        <v>609</v>
      </c>
    </row>
    <row r="2772" spans="1:1">
      <c r="A2772" s="1" t="s">
        <v>610</v>
      </c>
    </row>
    <row r="2773" spans="1:1">
      <c r="A2773" s="1" t="s">
        <v>611</v>
      </c>
    </row>
    <row r="2774" spans="1:1">
      <c r="A2774" s="1" t="s">
        <v>603</v>
      </c>
    </row>
    <row r="2775" spans="1:1">
      <c r="A2775" s="1" t="s">
        <v>612</v>
      </c>
    </row>
    <row r="2776" spans="1:1">
      <c r="A2776" s="1" t="s">
        <v>613</v>
      </c>
    </row>
    <row r="2777" spans="1:1">
      <c r="A2777" s="1" t="s">
        <v>614</v>
      </c>
    </row>
    <row r="2778" spans="1:1">
      <c r="A2778" s="1" t="s">
        <v>615</v>
      </c>
    </row>
    <row r="2779" spans="1:1">
      <c r="A2779" s="1" t="s">
        <v>616</v>
      </c>
    </row>
    <row r="2780" spans="1:1">
      <c r="A2780" s="1" t="s">
        <v>617</v>
      </c>
    </row>
    <row r="2781" spans="1:1">
      <c r="A2781" s="1" t="s">
        <v>618</v>
      </c>
    </row>
    <row r="2782" spans="1:1">
      <c r="A2782" s="1" t="s">
        <v>619</v>
      </c>
    </row>
    <row r="2783" spans="1:1">
      <c r="A2783" s="1" t="s">
        <v>620</v>
      </c>
    </row>
    <row r="2784" spans="1:1">
      <c r="A2784" s="1" t="s">
        <v>621</v>
      </c>
    </row>
    <row r="2785" spans="1:1">
      <c r="A2785" s="1" t="s">
        <v>622</v>
      </c>
    </row>
    <row r="2786" spans="1:1">
      <c r="A2786" s="1" t="s">
        <v>620</v>
      </c>
    </row>
    <row r="2787" spans="1:1">
      <c r="A2787" s="1" t="s">
        <v>623</v>
      </c>
    </row>
    <row r="2788" spans="1:1">
      <c r="A2788" s="1" t="s">
        <v>624</v>
      </c>
    </row>
    <row r="2789" spans="1:1">
      <c r="A2789" s="1" t="s">
        <v>625</v>
      </c>
    </row>
    <row r="2790" spans="1:1">
      <c r="A2790" s="1" t="s">
        <v>626</v>
      </c>
    </row>
    <row r="2791" spans="1:1">
      <c r="A2791" s="1" t="s">
        <v>627</v>
      </c>
    </row>
    <row r="2792" spans="1:1">
      <c r="A2792" s="1" t="s">
        <v>628</v>
      </c>
    </row>
    <row r="2793" spans="1:1">
      <c r="A2793" s="1" t="s">
        <v>629</v>
      </c>
    </row>
    <row r="2794" spans="1:1">
      <c r="A2794" s="1" t="s">
        <v>628</v>
      </c>
    </row>
    <row r="2795" spans="1:1">
      <c r="A2795" s="1" t="s">
        <v>629</v>
      </c>
    </row>
    <row r="2796" spans="1:1">
      <c r="A2796" s="1" t="s">
        <v>630</v>
      </c>
    </row>
    <row r="2797" spans="1:1">
      <c r="A2797" s="1" t="s">
        <v>631</v>
      </c>
    </row>
    <row r="2798" spans="1:1">
      <c r="A2798" s="1" t="s">
        <v>632</v>
      </c>
    </row>
    <row r="2799" spans="1:1">
      <c r="A2799" s="1" t="s">
        <v>633</v>
      </c>
    </row>
    <row r="2800" spans="1:1">
      <c r="A2800" s="1" t="s">
        <v>634</v>
      </c>
    </row>
    <row r="2801" spans="1:1">
      <c r="A2801" s="1" t="s">
        <v>635</v>
      </c>
    </row>
    <row r="2802" spans="1:1">
      <c r="A2802" s="1" t="s">
        <v>636</v>
      </c>
    </row>
    <row r="2803" spans="1:1">
      <c r="A2803" s="1" t="s">
        <v>637</v>
      </c>
    </row>
    <row r="2804" spans="1:1">
      <c r="A2804" s="1" t="s">
        <v>638</v>
      </c>
    </row>
    <row r="2805" spans="1:1">
      <c r="A2805" s="1" t="s">
        <v>639</v>
      </c>
    </row>
    <row r="2806" spans="1:1">
      <c r="A2806" s="1" t="s">
        <v>640</v>
      </c>
    </row>
    <row r="2807" spans="1:1">
      <c r="A2807" s="1" t="s">
        <v>641</v>
      </c>
    </row>
    <row r="2808" spans="1:1">
      <c r="A2808" s="1" t="s">
        <v>642</v>
      </c>
    </row>
    <row r="2809" spans="1:1">
      <c r="A2809" s="1" t="s">
        <v>643</v>
      </c>
    </row>
    <row r="2810" spans="1:1">
      <c r="A2810" s="1" t="s">
        <v>644</v>
      </c>
    </row>
    <row r="2811" spans="1:1">
      <c r="A2811" s="1" t="s">
        <v>645</v>
      </c>
    </row>
    <row r="2812" spans="1:1">
      <c r="A2812" s="1" t="s">
        <v>646</v>
      </c>
    </row>
    <row r="2813" spans="1:1">
      <c r="A2813" s="1" t="s">
        <v>647</v>
      </c>
    </row>
    <row r="2814" spans="1:1">
      <c r="A2814" s="1" t="s">
        <v>648</v>
      </c>
    </row>
    <row r="2815" spans="1:1">
      <c r="A2815" s="1" t="s">
        <v>649</v>
      </c>
    </row>
    <row r="2816" spans="1:1">
      <c r="A2816" s="1" t="s">
        <v>650</v>
      </c>
    </row>
    <row r="2817" spans="1:1">
      <c r="A2817" s="1" t="s">
        <v>651</v>
      </c>
    </row>
    <row r="2818" spans="1:1">
      <c r="A2818" s="1" t="s">
        <v>652</v>
      </c>
    </row>
    <row r="2819" spans="1:1">
      <c r="A2819" s="1" t="s">
        <v>653</v>
      </c>
    </row>
    <row r="2820" spans="1:1">
      <c r="A2820" s="1" t="s">
        <v>654</v>
      </c>
    </row>
    <row r="2821" spans="1:1">
      <c r="A2821" s="1" t="s">
        <v>655</v>
      </c>
    </row>
    <row r="2822" spans="1:1">
      <c r="A2822" s="1" t="s">
        <v>656</v>
      </c>
    </row>
    <row r="2823" spans="1:1">
      <c r="A2823" s="1" t="s">
        <v>657</v>
      </c>
    </row>
    <row r="2824" spans="1:1">
      <c r="A2824" s="1" t="s">
        <v>658</v>
      </c>
    </row>
    <row r="2825" spans="1:1">
      <c r="A2825" s="1" t="s">
        <v>659</v>
      </c>
    </row>
    <row r="2826" spans="1:1">
      <c r="A2826" s="1" t="s">
        <v>660</v>
      </c>
    </row>
    <row r="2827" spans="1:1">
      <c r="A2827" s="1" t="s">
        <v>661</v>
      </c>
    </row>
    <row r="2828" spans="1:1">
      <c r="A2828" s="1" t="s">
        <v>662</v>
      </c>
    </row>
    <row r="2829" spans="1:1">
      <c r="A2829" s="1" t="s">
        <v>663</v>
      </c>
    </row>
    <row r="2830" spans="1:1">
      <c r="A2830" s="1" t="s">
        <v>664</v>
      </c>
    </row>
    <row r="2831" spans="1:1">
      <c r="A2831" s="1" t="s">
        <v>665</v>
      </c>
    </row>
    <row r="2832" spans="1:1">
      <c r="A2832" s="1" t="s">
        <v>666</v>
      </c>
    </row>
    <row r="2833" spans="1:1">
      <c r="A2833" s="1" t="s">
        <v>667</v>
      </c>
    </row>
    <row r="2834" spans="1:1">
      <c r="A2834" s="1" t="s">
        <v>668</v>
      </c>
    </row>
    <row r="2835" spans="1:1">
      <c r="A2835" s="1" t="s">
        <v>669</v>
      </c>
    </row>
    <row r="2836" spans="1:1">
      <c r="A2836" s="1" t="s">
        <v>670</v>
      </c>
    </row>
    <row r="2837" spans="1:1">
      <c r="A2837" s="1" t="s">
        <v>671</v>
      </c>
    </row>
    <row r="2838" spans="1:1">
      <c r="A2838" s="1" t="s">
        <v>672</v>
      </c>
    </row>
    <row r="2839" spans="1:1">
      <c r="A2839" s="1" t="s">
        <v>673</v>
      </c>
    </row>
    <row r="2840" spans="1:1">
      <c r="A2840" s="1" t="s">
        <v>674</v>
      </c>
    </row>
    <row r="2841" spans="1:1">
      <c r="A2841" s="1" t="s">
        <v>675</v>
      </c>
    </row>
    <row r="2842" spans="1:1">
      <c r="A2842" s="1" t="s">
        <v>676</v>
      </c>
    </row>
    <row r="2843" spans="1:1">
      <c r="A2843" s="1" t="s">
        <v>677</v>
      </c>
    </row>
    <row r="2844" spans="1:1">
      <c r="A2844" s="1" t="s">
        <v>678</v>
      </c>
    </row>
    <row r="2845" spans="1:1">
      <c r="A2845" s="1" t="s">
        <v>679</v>
      </c>
    </row>
    <row r="2846" spans="1:1">
      <c r="A2846" s="1" t="s">
        <v>680</v>
      </c>
    </row>
    <row r="2847" spans="1:1">
      <c r="A2847" s="1" t="s">
        <v>681</v>
      </c>
    </row>
    <row r="2848" spans="1:1">
      <c r="A2848" s="1" t="s">
        <v>682</v>
      </c>
    </row>
    <row r="2849" spans="1:1">
      <c r="A2849" s="1" t="s">
        <v>683</v>
      </c>
    </row>
    <row r="2850" spans="1:1">
      <c r="A2850" s="1" t="s">
        <v>684</v>
      </c>
    </row>
    <row r="2851" spans="1:1">
      <c r="A2851" s="1" t="s">
        <v>685</v>
      </c>
    </row>
    <row r="2852" spans="1:1">
      <c r="A2852" s="1" t="s">
        <v>686</v>
      </c>
    </row>
    <row r="2853" spans="1:1">
      <c r="A2853" s="1" t="s">
        <v>687</v>
      </c>
    </row>
    <row r="2854" spans="1:1">
      <c r="A2854" s="1" t="s">
        <v>688</v>
      </c>
    </row>
    <row r="2855" spans="1:1">
      <c r="A2855" s="1" t="s">
        <v>689</v>
      </c>
    </row>
    <row r="2856" spans="1:1">
      <c r="A2856" s="1" t="s">
        <v>690</v>
      </c>
    </row>
    <row r="2857" spans="1:1">
      <c r="A2857" s="1" t="s">
        <v>691</v>
      </c>
    </row>
    <row r="2858" spans="1:1">
      <c r="A2858" s="1" t="s">
        <v>692</v>
      </c>
    </row>
    <row r="2859" spans="1:1">
      <c r="A2859" s="1" t="s">
        <v>693</v>
      </c>
    </row>
    <row r="2860" spans="1:1">
      <c r="A2860" s="1" t="s">
        <v>694</v>
      </c>
    </row>
    <row r="2861" spans="1:1">
      <c r="A2861" s="1" t="s">
        <v>695</v>
      </c>
    </row>
    <row r="2862" spans="1:1">
      <c r="A2862" s="1" t="s">
        <v>696</v>
      </c>
    </row>
    <row r="2863" spans="1:1">
      <c r="A2863" s="1" t="s">
        <v>697</v>
      </c>
    </row>
    <row r="2864" spans="1:1">
      <c r="A2864" s="1" t="s">
        <v>698</v>
      </c>
    </row>
    <row r="2865" spans="1:1">
      <c r="A2865" s="1" t="s">
        <v>699</v>
      </c>
    </row>
    <row r="2866" spans="1:1">
      <c r="A2866" s="1" t="s">
        <v>699</v>
      </c>
    </row>
    <row r="2867" spans="1:1">
      <c r="A2867" s="1" t="s">
        <v>700</v>
      </c>
    </row>
    <row r="2868" spans="1:1">
      <c r="A2868" s="1" t="s">
        <v>701</v>
      </c>
    </row>
    <row r="2869" spans="1:1">
      <c r="A2869" s="1" t="s">
        <v>702</v>
      </c>
    </row>
    <row r="2870" spans="1:1">
      <c r="A2870" s="1" t="s">
        <v>703</v>
      </c>
    </row>
    <row r="2871" spans="1:1">
      <c r="A2871" s="1" t="s">
        <v>704</v>
      </c>
    </row>
    <row r="2872" spans="1:1">
      <c r="A2872" s="1" t="s">
        <v>705</v>
      </c>
    </row>
    <row r="2873" spans="1:1">
      <c r="A2873" s="1" t="s">
        <v>706</v>
      </c>
    </row>
    <row r="2874" spans="1:1">
      <c r="A2874" s="1" t="s">
        <v>707</v>
      </c>
    </row>
    <row r="2875" spans="1:1">
      <c r="A2875" s="1" t="s">
        <v>699</v>
      </c>
    </row>
    <row r="2876" spans="1:1">
      <c r="A2876" s="1" t="s">
        <v>699</v>
      </c>
    </row>
    <row r="2877" spans="1:1">
      <c r="A2877" s="1" t="s">
        <v>699</v>
      </c>
    </row>
    <row r="2878" spans="1:1">
      <c r="A2878" s="1" t="s">
        <v>700</v>
      </c>
    </row>
    <row r="2879" spans="1:1">
      <c r="A2879" s="1" t="s">
        <v>701</v>
      </c>
    </row>
    <row r="2880" spans="1:1">
      <c r="A2880" s="1" t="s">
        <v>702</v>
      </c>
    </row>
    <row r="2881" spans="1:1">
      <c r="A2881" s="1" t="s">
        <v>703</v>
      </c>
    </row>
    <row r="2882" spans="1:1">
      <c r="A2882" s="1" t="s">
        <v>704</v>
      </c>
    </row>
    <row r="2883" spans="1:1">
      <c r="A2883" s="1" t="s">
        <v>705</v>
      </c>
    </row>
    <row r="2884" spans="1:1">
      <c r="A2884" s="1" t="s">
        <v>706</v>
      </c>
    </row>
    <row r="2885" spans="1:1">
      <c r="A2885" s="1" t="s">
        <v>707</v>
      </c>
    </row>
    <row r="2886" spans="1:1">
      <c r="A2886" s="1" t="s">
        <v>699</v>
      </c>
    </row>
    <row r="2887" spans="1:1">
      <c r="A2887" s="1" t="s">
        <v>699</v>
      </c>
    </row>
    <row r="2888" spans="1:1">
      <c r="A2888" s="1" t="s">
        <v>699</v>
      </c>
    </row>
    <row r="2889" spans="1:1">
      <c r="A2889" s="1" t="s">
        <v>700</v>
      </c>
    </row>
    <row r="2890" spans="1:1">
      <c r="A2890" s="1" t="s">
        <v>701</v>
      </c>
    </row>
    <row r="2891" spans="1:1">
      <c r="A2891" s="1" t="s">
        <v>702</v>
      </c>
    </row>
    <row r="2892" spans="1:1">
      <c r="A2892" s="1" t="s">
        <v>703</v>
      </c>
    </row>
    <row r="2893" spans="1:1">
      <c r="A2893" s="1" t="s">
        <v>704</v>
      </c>
    </row>
    <row r="2894" spans="1:1">
      <c r="A2894" s="1" t="s">
        <v>705</v>
      </c>
    </row>
    <row r="2895" spans="1:1">
      <c r="A2895" s="1" t="s">
        <v>706</v>
      </c>
    </row>
    <row r="2896" spans="1:1">
      <c r="A2896" s="1" t="s">
        <v>707</v>
      </c>
    </row>
    <row r="2897" spans="1:1">
      <c r="A2897" s="1" t="s">
        <v>699</v>
      </c>
    </row>
    <row r="2898" spans="1:1">
      <c r="A2898" s="1" t="s">
        <v>699</v>
      </c>
    </row>
    <row r="2899" spans="1:1">
      <c r="A2899" s="1" t="s">
        <v>699</v>
      </c>
    </row>
    <row r="2900" spans="1:1">
      <c r="A2900" s="1" t="s">
        <v>700</v>
      </c>
    </row>
    <row r="2901" spans="1:1">
      <c r="A2901" s="1" t="s">
        <v>701</v>
      </c>
    </row>
    <row r="2902" spans="1:1">
      <c r="A2902" s="1" t="s">
        <v>702</v>
      </c>
    </row>
    <row r="2903" spans="1:1">
      <c r="A2903" s="1" t="s">
        <v>703</v>
      </c>
    </row>
    <row r="2904" spans="1:1">
      <c r="A2904" s="1" t="s">
        <v>708</v>
      </c>
    </row>
    <row r="2905" spans="1:1">
      <c r="A2905" s="1" t="s">
        <v>709</v>
      </c>
    </row>
    <row r="2906" spans="1:1">
      <c r="A2906" s="1" t="s">
        <v>710</v>
      </c>
    </row>
    <row r="2907" spans="1:1">
      <c r="A2907" s="1" t="s">
        <v>711</v>
      </c>
    </row>
    <row r="2908" spans="1:1">
      <c r="A2908" s="1" t="s">
        <v>712</v>
      </c>
    </row>
    <row r="2909" spans="1:1">
      <c r="A2909" s="1" t="s">
        <v>712</v>
      </c>
    </row>
    <row r="2910" spans="1:1">
      <c r="A2910" s="1" t="s">
        <v>712</v>
      </c>
    </row>
    <row r="2911" spans="1:1">
      <c r="A2911" s="1" t="s">
        <v>713</v>
      </c>
    </row>
    <row r="2912" spans="1:1">
      <c r="A2912" s="1" t="s">
        <v>714</v>
      </c>
    </row>
    <row r="2913" spans="1:1">
      <c r="A2913" s="1" t="s">
        <v>715</v>
      </c>
    </row>
    <row r="2914" spans="1:1">
      <c r="A2914" s="1" t="s">
        <v>716</v>
      </c>
    </row>
    <row r="2915" spans="1:1">
      <c r="A2915" s="1" t="s">
        <v>708</v>
      </c>
    </row>
    <row r="2916" spans="1:1">
      <c r="A2916" s="1" t="s">
        <v>709</v>
      </c>
    </row>
    <row r="2917" spans="1:1">
      <c r="A2917" s="1" t="s">
        <v>710</v>
      </c>
    </row>
    <row r="2918" spans="1:1">
      <c r="A2918" s="1" t="s">
        <v>711</v>
      </c>
    </row>
    <row r="2919" spans="1:1">
      <c r="A2919" s="1" t="s">
        <v>712</v>
      </c>
    </row>
    <row r="2920" spans="1:1">
      <c r="A2920" s="1" t="s">
        <v>712</v>
      </c>
    </row>
    <row r="2921" spans="1:1">
      <c r="A2921" s="1" t="s">
        <v>712</v>
      </c>
    </row>
    <row r="2922" spans="1:1">
      <c r="A2922" s="1" t="s">
        <v>713</v>
      </c>
    </row>
    <row r="2923" spans="1:1">
      <c r="A2923" s="1" t="s">
        <v>714</v>
      </c>
    </row>
    <row r="2924" spans="1:1">
      <c r="A2924" s="1" t="s">
        <v>715</v>
      </c>
    </row>
    <row r="2925" spans="1:1">
      <c r="A2925" s="1" t="s">
        <v>716</v>
      </c>
    </row>
    <row r="2926" spans="1:1">
      <c r="A2926" s="1" t="s">
        <v>708</v>
      </c>
    </row>
    <row r="2927" spans="1:1">
      <c r="A2927" s="1" t="s">
        <v>709</v>
      </c>
    </row>
    <row r="2928" spans="1:1">
      <c r="A2928" s="1" t="s">
        <v>710</v>
      </c>
    </row>
    <row r="2929" spans="1:1">
      <c r="A2929" s="1" t="s">
        <v>711</v>
      </c>
    </row>
    <row r="2930" spans="1:1">
      <c r="A2930" s="1" t="s">
        <v>712</v>
      </c>
    </row>
    <row r="2931" spans="1:1">
      <c r="A2931" s="1" t="s">
        <v>712</v>
      </c>
    </row>
    <row r="2932" spans="1:1">
      <c r="A2932" s="1" t="s">
        <v>712</v>
      </c>
    </row>
    <row r="2933" spans="1:1">
      <c r="A2933" s="1" t="s">
        <v>713</v>
      </c>
    </row>
    <row r="2934" spans="1:1">
      <c r="A2934" s="1" t="s">
        <v>714</v>
      </c>
    </row>
    <row r="2935" spans="1:1">
      <c r="A2935" s="1" t="s">
        <v>715</v>
      </c>
    </row>
    <row r="2936" spans="1:1">
      <c r="A2936" s="1" t="s">
        <v>716</v>
      </c>
    </row>
    <row r="2937" spans="1:1">
      <c r="A2937" s="1" t="s">
        <v>708</v>
      </c>
    </row>
    <row r="2938" spans="1:1">
      <c r="A2938" s="1" t="s">
        <v>709</v>
      </c>
    </row>
    <row r="2939" spans="1:1">
      <c r="A2939" s="1" t="s">
        <v>710</v>
      </c>
    </row>
    <row r="2940" spans="1:1">
      <c r="A2940" s="1" t="s">
        <v>711</v>
      </c>
    </row>
    <row r="2941" spans="1:1">
      <c r="A2941" s="1" t="s">
        <v>712</v>
      </c>
    </row>
    <row r="2942" spans="1:1">
      <c r="A2942" s="1" t="s">
        <v>712</v>
      </c>
    </row>
    <row r="2943" spans="1:1">
      <c r="A2943" s="1" t="s">
        <v>712</v>
      </c>
    </row>
    <row r="2944" spans="1:1">
      <c r="A2944" s="1" t="s">
        <v>713</v>
      </c>
    </row>
    <row r="2945" spans="1:1">
      <c r="A2945" s="1" t="s">
        <v>714</v>
      </c>
    </row>
    <row r="2946" spans="1:1">
      <c r="A2946" s="1" t="s">
        <v>715</v>
      </c>
    </row>
    <row r="2947" spans="1:1">
      <c r="A2947" s="1" t="s">
        <v>716</v>
      </c>
    </row>
    <row r="2948" spans="1:1">
      <c r="A2948" s="1" t="s">
        <v>708</v>
      </c>
    </row>
    <row r="2949" spans="1:1">
      <c r="A2949" s="1" t="s">
        <v>709</v>
      </c>
    </row>
    <row r="2950" spans="1:1">
      <c r="A2950" s="1" t="s">
        <v>710</v>
      </c>
    </row>
    <row r="2951" spans="1:1">
      <c r="A2951" s="1" t="s">
        <v>711</v>
      </c>
    </row>
    <row r="2952" spans="1:1">
      <c r="A2952" s="1" t="s">
        <v>712</v>
      </c>
    </row>
    <row r="2953" spans="1:1">
      <c r="A2953" s="1" t="s">
        <v>717</v>
      </c>
    </row>
    <row r="2954" spans="1:1">
      <c r="A2954" s="1" t="s">
        <v>717</v>
      </c>
    </row>
    <row r="2955" spans="1:1">
      <c r="A2955" s="1" t="s">
        <v>718</v>
      </c>
    </row>
    <row r="2956" spans="1:1">
      <c r="A2956" s="1" t="s">
        <v>719</v>
      </c>
    </row>
    <row r="2957" spans="1:1">
      <c r="A2957" s="1" t="s">
        <v>720</v>
      </c>
    </row>
    <row r="2958" spans="1:1">
      <c r="A2958" s="1" t="s">
        <v>721</v>
      </c>
    </row>
    <row r="2959" spans="1:1">
      <c r="A2959" s="1" t="s">
        <v>722</v>
      </c>
    </row>
    <row r="2960" spans="1:1">
      <c r="A2960" s="1" t="s">
        <v>723</v>
      </c>
    </row>
    <row r="2961" spans="1:1">
      <c r="A2961" s="1" t="s">
        <v>724</v>
      </c>
    </row>
    <row r="2962" spans="1:1">
      <c r="A2962" s="1" t="s">
        <v>725</v>
      </c>
    </row>
    <row r="2963" spans="1:1">
      <c r="A2963" s="1" t="s">
        <v>717</v>
      </c>
    </row>
    <row r="2964" spans="1:1">
      <c r="A2964" s="1" t="s">
        <v>717</v>
      </c>
    </row>
    <row r="2965" spans="1:1">
      <c r="A2965" s="1" t="s">
        <v>717</v>
      </c>
    </row>
    <row r="2966" spans="1:1">
      <c r="A2966" s="1" t="s">
        <v>718</v>
      </c>
    </row>
    <row r="2967" spans="1:1">
      <c r="A2967" s="1" t="s">
        <v>719</v>
      </c>
    </row>
    <row r="2968" spans="1:1">
      <c r="A2968" s="1" t="s">
        <v>720</v>
      </c>
    </row>
    <row r="2969" spans="1:1">
      <c r="A2969" s="1" t="s">
        <v>721</v>
      </c>
    </row>
    <row r="2970" spans="1:1">
      <c r="A2970" s="1" t="s">
        <v>722</v>
      </c>
    </row>
    <row r="2971" spans="1:1">
      <c r="A2971" s="1" t="s">
        <v>723</v>
      </c>
    </row>
    <row r="2972" spans="1:1">
      <c r="A2972" s="1" t="s">
        <v>724</v>
      </c>
    </row>
    <row r="2973" spans="1:1">
      <c r="A2973" s="1" t="s">
        <v>725</v>
      </c>
    </row>
    <row r="2974" spans="1:1">
      <c r="A2974" s="1" t="s">
        <v>717</v>
      </c>
    </row>
    <row r="2975" spans="1:1">
      <c r="A2975" s="1" t="s">
        <v>717</v>
      </c>
    </row>
    <row r="2976" spans="1:1">
      <c r="A2976" s="1" t="s">
        <v>717</v>
      </c>
    </row>
    <row r="2977" spans="1:1">
      <c r="A2977" s="1" t="s">
        <v>718</v>
      </c>
    </row>
    <row r="2978" spans="1:1">
      <c r="A2978" s="1" t="s">
        <v>719</v>
      </c>
    </row>
    <row r="2979" spans="1:1">
      <c r="A2979" s="1" t="s">
        <v>720</v>
      </c>
    </row>
    <row r="2980" spans="1:1">
      <c r="A2980" s="1" t="s">
        <v>721</v>
      </c>
    </row>
    <row r="2981" spans="1:1">
      <c r="A2981" s="1" t="s">
        <v>722</v>
      </c>
    </row>
    <row r="2982" spans="1:1">
      <c r="A2982" s="1" t="s">
        <v>723</v>
      </c>
    </row>
    <row r="2983" spans="1:1">
      <c r="A2983" s="1" t="s">
        <v>724</v>
      </c>
    </row>
    <row r="2984" spans="1:1">
      <c r="A2984" s="1" t="s">
        <v>725</v>
      </c>
    </row>
    <row r="2985" spans="1:1">
      <c r="A2985" s="1" t="s">
        <v>717</v>
      </c>
    </row>
    <row r="2986" spans="1:1">
      <c r="A2986" s="1" t="s">
        <v>717</v>
      </c>
    </row>
    <row r="2987" spans="1:1">
      <c r="A2987" s="1" t="s">
        <v>717</v>
      </c>
    </row>
    <row r="2988" spans="1:1">
      <c r="A2988" s="1" t="s">
        <v>718</v>
      </c>
    </row>
    <row r="2989" spans="1:1">
      <c r="A2989" s="1" t="s">
        <v>719</v>
      </c>
    </row>
    <row r="2990" spans="1:1">
      <c r="A2990" s="1" t="s">
        <v>720</v>
      </c>
    </row>
    <row r="2991" spans="1:1">
      <c r="A2991" s="1" t="s">
        <v>721</v>
      </c>
    </row>
    <row r="2992" spans="1:1">
      <c r="A2992" s="1" t="s">
        <v>722</v>
      </c>
    </row>
    <row r="2993" spans="1:1">
      <c r="A2993" s="1" t="s">
        <v>723</v>
      </c>
    </row>
    <row r="2994" spans="1:1">
      <c r="A2994" s="1" t="s">
        <v>724</v>
      </c>
    </row>
    <row r="2995" spans="1:1">
      <c r="A2995" s="1" t="s">
        <v>725</v>
      </c>
    </row>
    <row r="2996" spans="1:1">
      <c r="A2996" s="1" t="s">
        <v>717</v>
      </c>
    </row>
    <row r="2997" spans="1:1">
      <c r="A2997" s="1" t="s">
        <v>717</v>
      </c>
    </row>
    <row r="2998" spans="1:1">
      <c r="A2998" s="1" t="s">
        <v>717</v>
      </c>
    </row>
    <row r="2999" spans="1:1">
      <c r="A2999" s="1" t="s">
        <v>718</v>
      </c>
    </row>
    <row r="3000" spans="1:1">
      <c r="A3000" s="1" t="s">
        <v>719</v>
      </c>
    </row>
    <row r="3001" spans="1:1">
      <c r="A3001" s="1" t="s">
        <v>720</v>
      </c>
    </row>
    <row r="3002" spans="1:1">
      <c r="A3002" s="1" t="s">
        <v>721</v>
      </c>
    </row>
    <row r="3003" spans="1:1">
      <c r="A3003" s="1" t="s">
        <v>722</v>
      </c>
    </row>
    <row r="3004" spans="1:1">
      <c r="A3004" s="1" t="s">
        <v>723</v>
      </c>
    </row>
    <row r="3005" spans="1:1">
      <c r="A3005" s="1" t="s">
        <v>724</v>
      </c>
    </row>
    <row r="3006" spans="1:1">
      <c r="A3006" s="1" t="s">
        <v>725</v>
      </c>
    </row>
    <row r="3007" spans="1:1">
      <c r="A3007" s="1" t="s">
        <v>717</v>
      </c>
    </row>
    <row r="3008" spans="1:1">
      <c r="A3008" s="1" t="s">
        <v>717</v>
      </c>
    </row>
    <row r="3009" spans="1:1">
      <c r="A3009" s="1" t="s">
        <v>717</v>
      </c>
    </row>
    <row r="3010" spans="1:1">
      <c r="A3010" s="1" t="s">
        <v>718</v>
      </c>
    </row>
    <row r="3011" spans="1:1">
      <c r="A3011" s="1" t="s">
        <v>719</v>
      </c>
    </row>
    <row r="3012" spans="1:1">
      <c r="A3012" s="1" t="s">
        <v>720</v>
      </c>
    </row>
    <row r="3013" spans="1:1">
      <c r="A3013" s="1" t="s">
        <v>721</v>
      </c>
    </row>
    <row r="3014" spans="1:1">
      <c r="A3014" s="1" t="s">
        <v>722</v>
      </c>
    </row>
    <row r="3015" spans="1:1">
      <c r="A3015" s="1" t="s">
        <v>723</v>
      </c>
    </row>
    <row r="3016" spans="1:1">
      <c r="A3016" s="1" t="s">
        <v>724</v>
      </c>
    </row>
    <row r="3017" spans="1:1">
      <c r="A3017" s="1" t="s">
        <v>725</v>
      </c>
    </row>
    <row r="3018" spans="1:1">
      <c r="A3018" s="1" t="s">
        <v>717</v>
      </c>
    </row>
    <row r="3019" spans="1:1">
      <c r="A3019" s="1" t="s">
        <v>717</v>
      </c>
    </row>
    <row r="3020" spans="1:1">
      <c r="A3020" s="1" t="s">
        <v>717</v>
      </c>
    </row>
    <row r="3021" spans="1:1">
      <c r="A3021" s="1" t="s">
        <v>718</v>
      </c>
    </row>
    <row r="3022" spans="1:1">
      <c r="A3022" s="1" t="s">
        <v>719</v>
      </c>
    </row>
    <row r="3023" spans="1:1">
      <c r="A3023" s="1" t="s">
        <v>720</v>
      </c>
    </row>
    <row r="3024" spans="1:1">
      <c r="A3024" s="1" t="s">
        <v>721</v>
      </c>
    </row>
    <row r="3025" spans="1:1">
      <c r="A3025" s="1" t="s">
        <v>722</v>
      </c>
    </row>
    <row r="3026" spans="1:1">
      <c r="A3026" s="1" t="s">
        <v>723</v>
      </c>
    </row>
    <row r="3027" spans="1:1">
      <c r="A3027" s="1" t="s">
        <v>724</v>
      </c>
    </row>
    <row r="3028" spans="1:1">
      <c r="A3028" s="1" t="s">
        <v>725</v>
      </c>
    </row>
    <row r="3029" spans="1:1">
      <c r="A3029" s="1" t="s">
        <v>717</v>
      </c>
    </row>
    <row r="3030" spans="1:1">
      <c r="A3030" s="1" t="s">
        <v>717</v>
      </c>
    </row>
    <row r="3031" spans="1:1">
      <c r="A3031" s="1" t="s">
        <v>717</v>
      </c>
    </row>
    <row r="3032" spans="1:1">
      <c r="A3032" s="1" t="s">
        <v>718</v>
      </c>
    </row>
    <row r="3033" spans="1:1">
      <c r="A3033" s="1" t="s">
        <v>719</v>
      </c>
    </row>
    <row r="3034" spans="1:1">
      <c r="A3034" s="1" t="s">
        <v>720</v>
      </c>
    </row>
    <row r="3035" spans="1:1">
      <c r="A3035" s="1" t="s">
        <v>721</v>
      </c>
    </row>
    <row r="3036" spans="1:1">
      <c r="A3036" s="1" t="s">
        <v>722</v>
      </c>
    </row>
    <row r="3037" spans="1:1">
      <c r="A3037" s="1" t="s">
        <v>723</v>
      </c>
    </row>
    <row r="3038" spans="1:1">
      <c r="A3038" s="1" t="s">
        <v>724</v>
      </c>
    </row>
    <row r="3039" spans="1:1">
      <c r="A3039" s="1" t="s">
        <v>725</v>
      </c>
    </row>
    <row r="3040" spans="1:1">
      <c r="A3040" s="1" t="s">
        <v>717</v>
      </c>
    </row>
    <row r="3041" spans="1:1">
      <c r="A3041" s="1" t="s">
        <v>726</v>
      </c>
    </row>
    <row r="3042" spans="1:1">
      <c r="A3042" s="1" t="s">
        <v>727</v>
      </c>
    </row>
    <row r="3043" spans="1:1">
      <c r="A3043" s="1" t="s">
        <v>728</v>
      </c>
    </row>
    <row r="3044" spans="1:1">
      <c r="A3044" s="1" t="s">
        <v>729</v>
      </c>
    </row>
    <row r="3045" spans="1:1">
      <c r="A3045" s="1" t="s">
        <v>730</v>
      </c>
    </row>
    <row r="3046" spans="1:1">
      <c r="A3046" s="1" t="s">
        <v>731</v>
      </c>
    </row>
    <row r="3047" spans="1:1">
      <c r="A3047" s="1" t="s">
        <v>732</v>
      </c>
    </row>
    <row r="3048" spans="1:1">
      <c r="A3048" s="1" t="s">
        <v>733</v>
      </c>
    </row>
    <row r="3049" spans="1:1">
      <c r="A3049" s="1" t="s">
        <v>734</v>
      </c>
    </row>
    <row r="3050" spans="1:1">
      <c r="A3050" s="1" t="s">
        <v>735</v>
      </c>
    </row>
    <row r="3051" spans="1:1">
      <c r="A3051" s="1" t="s">
        <v>736</v>
      </c>
    </row>
    <row r="3052" spans="1:1">
      <c r="A3052" s="1" t="s">
        <v>737</v>
      </c>
    </row>
    <row r="3053" spans="1:1">
      <c r="A3053" s="1" t="s">
        <v>738</v>
      </c>
    </row>
    <row r="3054" spans="1:1">
      <c r="A3054" s="1" t="s">
        <v>737</v>
      </c>
    </row>
    <row r="3055" spans="1:1">
      <c r="A3055" s="1" t="s">
        <v>738</v>
      </c>
    </row>
    <row r="3056" spans="1:1">
      <c r="A3056" s="1" t="s">
        <v>739</v>
      </c>
    </row>
    <row r="3057" spans="1:1">
      <c r="A3057" s="1" t="s">
        <v>740</v>
      </c>
    </row>
    <row r="3058" spans="1:1">
      <c r="A3058" s="1" t="s">
        <v>741</v>
      </c>
    </row>
    <row r="3059" spans="1:1">
      <c r="A3059" s="1" t="s">
        <v>742</v>
      </c>
    </row>
    <row r="3060" spans="1:1">
      <c r="A3060" s="1" t="s">
        <v>743</v>
      </c>
    </row>
    <row r="3061" spans="1:1">
      <c r="A3061" s="1" t="s">
        <v>744</v>
      </c>
    </row>
    <row r="3062" spans="1:1">
      <c r="A3062" s="1" t="s">
        <v>745</v>
      </c>
    </row>
    <row r="3063" spans="1:1">
      <c r="A3063" s="1" t="s">
        <v>746</v>
      </c>
    </row>
    <row r="3064" spans="1:1">
      <c r="A3064" s="1" t="s">
        <v>747</v>
      </c>
    </row>
    <row r="3065" spans="1:1">
      <c r="A3065" s="1" t="s">
        <v>748</v>
      </c>
    </row>
    <row r="3066" spans="1:1">
      <c r="A3066" s="1" t="s">
        <v>749</v>
      </c>
    </row>
    <row r="3067" spans="1:1">
      <c r="A3067" s="1" t="s">
        <v>750</v>
      </c>
    </row>
    <row r="3068" spans="1:1">
      <c r="A3068" s="1" t="s">
        <v>751</v>
      </c>
    </row>
    <row r="3069" spans="1:1">
      <c r="A3069" s="1" t="s">
        <v>752</v>
      </c>
    </row>
    <row r="3070" spans="1:1">
      <c r="A3070" s="1" t="s">
        <v>753</v>
      </c>
    </row>
    <row r="3071" spans="1:1">
      <c r="A3071" s="1" t="s">
        <v>754</v>
      </c>
    </row>
    <row r="3072" spans="1:1">
      <c r="A3072" s="1" t="s">
        <v>753</v>
      </c>
    </row>
    <row r="3073" spans="1:1">
      <c r="A3073" s="1" t="s">
        <v>754</v>
      </c>
    </row>
    <row r="3074" spans="1:1">
      <c r="A3074" s="1" t="s">
        <v>755</v>
      </c>
    </row>
    <row r="3075" spans="1:1">
      <c r="A3075" s="1" t="s">
        <v>756</v>
      </c>
    </row>
    <row r="3076" spans="1:1">
      <c r="A3076" s="1" t="s">
        <v>757</v>
      </c>
    </row>
    <row r="3077" spans="1:1">
      <c r="A3077" s="1" t="s">
        <v>758</v>
      </c>
    </row>
    <row r="3078" spans="1:1">
      <c r="A3078" s="1" t="s">
        <v>758</v>
      </c>
    </row>
    <row r="3079" spans="1:1">
      <c r="A3079" s="1" t="s">
        <v>759</v>
      </c>
    </row>
    <row r="3080" spans="1:1">
      <c r="A3080" s="1" t="s">
        <v>760</v>
      </c>
    </row>
    <row r="3081" spans="1:1">
      <c r="A3081" s="1" t="s">
        <v>760</v>
      </c>
    </row>
    <row r="3082" spans="1:1">
      <c r="A3082" s="1" t="s">
        <v>761</v>
      </c>
    </row>
    <row r="3083" spans="1:1">
      <c r="A3083" s="1" t="s">
        <v>762</v>
      </c>
    </row>
    <row r="3084" spans="1:1">
      <c r="A3084" s="1" t="s">
        <v>763</v>
      </c>
    </row>
    <row r="3085" spans="1:1">
      <c r="A3085" s="1" t="s">
        <v>764</v>
      </c>
    </row>
    <row r="3086" spans="1:1">
      <c r="A3086" s="1" t="s">
        <v>765</v>
      </c>
    </row>
    <row r="3087" spans="1:1">
      <c r="A3087" s="1" t="s">
        <v>766</v>
      </c>
    </row>
    <row r="3088" spans="1:1">
      <c r="A3088" s="1" t="s">
        <v>765</v>
      </c>
    </row>
    <row r="3089" spans="1:1">
      <c r="A3089" s="1" t="s">
        <v>766</v>
      </c>
    </row>
    <row r="3090" spans="1:1">
      <c r="A3090" s="1" t="s">
        <v>767</v>
      </c>
    </row>
    <row r="3091" spans="1:1">
      <c r="A3091" s="1" t="s">
        <v>768</v>
      </c>
    </row>
    <row r="3092" spans="1:1">
      <c r="A3092" s="1" t="s">
        <v>769</v>
      </c>
    </row>
    <row r="3093" spans="1:1">
      <c r="A3093" s="1" t="s">
        <v>770</v>
      </c>
    </row>
    <row r="3094" spans="1:1">
      <c r="A3094" s="1" t="s">
        <v>771</v>
      </c>
    </row>
    <row r="3095" spans="1:1">
      <c r="A3095" s="1" t="s">
        <v>772</v>
      </c>
    </row>
    <row r="3096" spans="1:1">
      <c r="A3096" s="1" t="s">
        <v>773</v>
      </c>
    </row>
    <row r="3097" spans="1:1">
      <c r="A3097" s="1" t="s">
        <v>774</v>
      </c>
    </row>
    <row r="3098" spans="1:1">
      <c r="A3098" s="1" t="s">
        <v>765</v>
      </c>
    </row>
    <row r="3099" spans="1:1">
      <c r="A3099" s="1" t="s">
        <v>766</v>
      </c>
    </row>
    <row r="3100" spans="1:1">
      <c r="A3100" s="1" t="s">
        <v>765</v>
      </c>
    </row>
    <row r="3101" spans="1:1">
      <c r="A3101" s="1" t="s">
        <v>766</v>
      </c>
    </row>
    <row r="3102" spans="1:1">
      <c r="A3102" s="1" t="s">
        <v>765</v>
      </c>
    </row>
    <row r="3103" spans="1:1">
      <c r="A3103" s="1" t="s">
        <v>766</v>
      </c>
    </row>
    <row r="3104" spans="1:1">
      <c r="A3104" s="1" t="s">
        <v>767</v>
      </c>
    </row>
    <row r="3105" spans="1:1">
      <c r="A3105" s="1" t="s">
        <v>768</v>
      </c>
    </row>
    <row r="3106" spans="1:1">
      <c r="A3106" s="1" t="s">
        <v>769</v>
      </c>
    </row>
    <row r="3107" spans="1:1">
      <c r="A3107" s="1" t="s">
        <v>770</v>
      </c>
    </row>
    <row r="3108" spans="1:1">
      <c r="A3108" s="1" t="s">
        <v>771</v>
      </c>
    </row>
    <row r="3109" spans="1:1">
      <c r="A3109" s="1" t="s">
        <v>772</v>
      </c>
    </row>
    <row r="3110" spans="1:1">
      <c r="A3110" s="1" t="s">
        <v>773</v>
      </c>
    </row>
    <row r="3111" spans="1:1">
      <c r="A3111" s="1" t="s">
        <v>774</v>
      </c>
    </row>
    <row r="3112" spans="1:1">
      <c r="A3112" s="1" t="s">
        <v>765</v>
      </c>
    </row>
    <row r="3113" spans="1:1">
      <c r="A3113" s="1" t="s">
        <v>766</v>
      </c>
    </row>
    <row r="3114" spans="1:1">
      <c r="A3114" s="1" t="s">
        <v>765</v>
      </c>
    </row>
    <row r="3115" spans="1:1">
      <c r="A3115" s="1" t="s">
        <v>766</v>
      </c>
    </row>
    <row r="3116" spans="1:1">
      <c r="A3116" s="1" t="s">
        <v>765</v>
      </c>
    </row>
    <row r="3117" spans="1:1">
      <c r="A3117" s="1" t="s">
        <v>766</v>
      </c>
    </row>
    <row r="3118" spans="1:1">
      <c r="A3118" s="1" t="s">
        <v>767</v>
      </c>
    </row>
    <row r="3119" spans="1:1">
      <c r="A3119" s="1" t="s">
        <v>768</v>
      </c>
    </row>
    <row r="3120" spans="1:1">
      <c r="A3120" s="1" t="s">
        <v>769</v>
      </c>
    </row>
    <row r="3121" spans="1:1">
      <c r="A3121" s="1" t="s">
        <v>770</v>
      </c>
    </row>
    <row r="3122" spans="1:1">
      <c r="A3122" s="1" t="s">
        <v>771</v>
      </c>
    </row>
    <row r="3123" spans="1:1">
      <c r="A3123" s="1" t="s">
        <v>772</v>
      </c>
    </row>
    <row r="3124" spans="1:1">
      <c r="A3124" s="1" t="s">
        <v>773</v>
      </c>
    </row>
    <row r="3125" spans="1:1">
      <c r="A3125" s="1" t="s">
        <v>774</v>
      </c>
    </row>
    <row r="3126" spans="1:1">
      <c r="A3126" s="1" t="s">
        <v>765</v>
      </c>
    </row>
    <row r="3127" spans="1:1">
      <c r="A3127" s="1" t="s">
        <v>766</v>
      </c>
    </row>
    <row r="3128" spans="1:1">
      <c r="A3128" s="1" t="s">
        <v>765</v>
      </c>
    </row>
    <row r="3129" spans="1:1">
      <c r="A3129" s="1" t="s">
        <v>766</v>
      </c>
    </row>
    <row r="3130" spans="1:1">
      <c r="A3130" s="1" t="s">
        <v>765</v>
      </c>
    </row>
    <row r="3131" spans="1:1">
      <c r="A3131" s="1" t="s">
        <v>766</v>
      </c>
    </row>
    <row r="3132" spans="1:1">
      <c r="A3132" s="1" t="s">
        <v>767</v>
      </c>
    </row>
    <row r="3133" spans="1:1">
      <c r="A3133" s="1" t="s">
        <v>768</v>
      </c>
    </row>
    <row r="3134" spans="1:1">
      <c r="A3134" s="1" t="s">
        <v>769</v>
      </c>
    </row>
    <row r="3135" spans="1:1">
      <c r="A3135" s="1" t="s">
        <v>770</v>
      </c>
    </row>
    <row r="3136" spans="1:1">
      <c r="A3136" s="1" t="s">
        <v>771</v>
      </c>
    </row>
    <row r="3137" spans="1:1">
      <c r="A3137" s="1" t="s">
        <v>772</v>
      </c>
    </row>
    <row r="3138" spans="1:1">
      <c r="A3138" s="1" t="s">
        <v>773</v>
      </c>
    </row>
    <row r="3139" spans="1:1">
      <c r="A3139" s="1" t="s">
        <v>774</v>
      </c>
    </row>
    <row r="3140" spans="1:1">
      <c r="A3140" s="1" t="s">
        <v>765</v>
      </c>
    </row>
    <row r="3141" spans="1:1">
      <c r="A3141" s="1" t="s">
        <v>766</v>
      </c>
    </row>
    <row r="3142" spans="1:1">
      <c r="A3142" s="1" t="s">
        <v>765</v>
      </c>
    </row>
    <row r="3143" spans="1:1">
      <c r="A3143" s="1" t="s">
        <v>766</v>
      </c>
    </row>
    <row r="3144" spans="1:1">
      <c r="A3144" s="1" t="s">
        <v>765</v>
      </c>
    </row>
    <row r="3145" spans="1:1">
      <c r="A3145" s="1" t="s">
        <v>766</v>
      </c>
    </row>
    <row r="3146" spans="1:1">
      <c r="A3146" s="1" t="s">
        <v>767</v>
      </c>
    </row>
    <row r="3147" spans="1:1">
      <c r="A3147" s="1" t="s">
        <v>768</v>
      </c>
    </row>
    <row r="3148" spans="1:1">
      <c r="A3148" s="1" t="s">
        <v>769</v>
      </c>
    </row>
    <row r="3149" spans="1:1">
      <c r="A3149" s="1" t="s">
        <v>770</v>
      </c>
    </row>
    <row r="3150" spans="1:1">
      <c r="A3150" s="1" t="s">
        <v>771</v>
      </c>
    </row>
    <row r="3151" spans="1:1">
      <c r="A3151" s="1" t="s">
        <v>772</v>
      </c>
    </row>
    <row r="3152" spans="1:1">
      <c r="A3152" s="1" t="s">
        <v>773</v>
      </c>
    </row>
    <row r="3153" spans="1:1">
      <c r="A3153" s="1" t="s">
        <v>774</v>
      </c>
    </row>
    <row r="3154" spans="1:1">
      <c r="A3154" s="1" t="s">
        <v>765</v>
      </c>
    </row>
    <row r="3155" spans="1:1">
      <c r="A3155" s="1" t="s">
        <v>766</v>
      </c>
    </row>
    <row r="3156" spans="1:1">
      <c r="A3156" s="1" t="s">
        <v>765</v>
      </c>
    </row>
    <row r="3157" spans="1:1">
      <c r="A3157" s="1" t="s">
        <v>766</v>
      </c>
    </row>
    <row r="3158" spans="1:1">
      <c r="A3158" s="1" t="s">
        <v>765</v>
      </c>
    </row>
    <row r="3159" spans="1:1">
      <c r="A3159" s="1" t="s">
        <v>766</v>
      </c>
    </row>
    <row r="3160" spans="1:1">
      <c r="A3160" s="1" t="s">
        <v>767</v>
      </c>
    </row>
    <row r="3161" spans="1:1">
      <c r="A3161" s="1" t="s">
        <v>768</v>
      </c>
    </row>
    <row r="3162" spans="1:1">
      <c r="A3162" s="1" t="s">
        <v>769</v>
      </c>
    </row>
    <row r="3163" spans="1:1">
      <c r="A3163" s="1" t="s">
        <v>770</v>
      </c>
    </row>
    <row r="3164" spans="1:1">
      <c r="A3164" s="1" t="s">
        <v>771</v>
      </c>
    </row>
    <row r="3165" spans="1:1">
      <c r="A3165" s="1" t="s">
        <v>772</v>
      </c>
    </row>
    <row r="3166" spans="1:1">
      <c r="A3166" s="1" t="s">
        <v>773</v>
      </c>
    </row>
    <row r="3167" spans="1:1">
      <c r="A3167" s="1" t="s">
        <v>774</v>
      </c>
    </row>
    <row r="3168" spans="1:1">
      <c r="A3168" s="1" t="s">
        <v>765</v>
      </c>
    </row>
    <row r="3169" spans="1:1">
      <c r="A3169" s="1" t="s">
        <v>766</v>
      </c>
    </row>
    <row r="3170" spans="1:1">
      <c r="A3170" s="1" t="s">
        <v>765</v>
      </c>
    </row>
    <row r="3171" spans="1:1">
      <c r="A3171" s="1" t="s">
        <v>766</v>
      </c>
    </row>
    <row r="3172" spans="1:1">
      <c r="A3172" s="1" t="s">
        <v>765</v>
      </c>
    </row>
    <row r="3173" spans="1:1">
      <c r="A3173" s="1" t="s">
        <v>766</v>
      </c>
    </row>
    <row r="3174" spans="1:1">
      <c r="A3174" s="1" t="s">
        <v>767</v>
      </c>
    </row>
    <row r="3175" spans="1:1">
      <c r="A3175" s="1" t="s">
        <v>768</v>
      </c>
    </row>
    <row r="3176" spans="1:1">
      <c r="A3176" s="1" t="s">
        <v>769</v>
      </c>
    </row>
    <row r="3177" spans="1:1">
      <c r="A3177" s="1" t="s">
        <v>770</v>
      </c>
    </row>
    <row r="3178" spans="1:1">
      <c r="A3178" s="1" t="s">
        <v>771</v>
      </c>
    </row>
    <row r="3179" spans="1:1">
      <c r="A3179" s="1" t="s">
        <v>772</v>
      </c>
    </row>
    <row r="3180" spans="1:1">
      <c r="A3180" s="1" t="s">
        <v>773</v>
      </c>
    </row>
    <row r="3181" spans="1:1">
      <c r="A3181" s="1" t="s">
        <v>774</v>
      </c>
    </row>
    <row r="3182" spans="1:1">
      <c r="A3182" s="1" t="s">
        <v>765</v>
      </c>
    </row>
    <row r="3183" spans="1:1">
      <c r="A3183" s="1" t="s">
        <v>766</v>
      </c>
    </row>
    <row r="3184" spans="1:1">
      <c r="A3184" s="1" t="s">
        <v>765</v>
      </c>
    </row>
    <row r="3185" spans="1:1">
      <c r="A3185" s="1" t="s">
        <v>766</v>
      </c>
    </row>
    <row r="3186" spans="1:1">
      <c r="A3186" s="1" t="s">
        <v>765</v>
      </c>
    </row>
    <row r="3187" spans="1:1">
      <c r="A3187" s="1" t="s">
        <v>766</v>
      </c>
    </row>
    <row r="3188" spans="1:1">
      <c r="A3188" s="1" t="s">
        <v>767</v>
      </c>
    </row>
    <row r="3189" spans="1:1">
      <c r="A3189" s="1" t="s">
        <v>768</v>
      </c>
    </row>
    <row r="3190" spans="1:1">
      <c r="A3190" s="1" t="s">
        <v>769</v>
      </c>
    </row>
    <row r="3191" spans="1:1">
      <c r="A3191" s="1" t="s">
        <v>770</v>
      </c>
    </row>
    <row r="3192" spans="1:1">
      <c r="A3192" s="1" t="s">
        <v>771</v>
      </c>
    </row>
    <row r="3193" spans="1:1">
      <c r="A3193" s="1" t="s">
        <v>772</v>
      </c>
    </row>
    <row r="3194" spans="1:1">
      <c r="A3194" s="1" t="s">
        <v>773</v>
      </c>
    </row>
    <row r="3195" spans="1:1">
      <c r="A3195" s="1" t="s">
        <v>774</v>
      </c>
    </row>
    <row r="3196" spans="1:1">
      <c r="A3196" s="1" t="s">
        <v>775</v>
      </c>
    </row>
    <row r="3197" spans="1:1">
      <c r="A3197" s="1" t="s">
        <v>776</v>
      </c>
    </row>
    <row r="3198" spans="1:1">
      <c r="A3198" s="1" t="s">
        <v>777</v>
      </c>
    </row>
    <row r="3199" spans="1:1">
      <c r="A3199" s="1" t="s">
        <v>778</v>
      </c>
    </row>
    <row r="3200" spans="1:1">
      <c r="A3200" s="1" t="s">
        <v>779</v>
      </c>
    </row>
    <row r="3201" spans="1:1">
      <c r="A3201" s="1" t="s">
        <v>780</v>
      </c>
    </row>
    <row r="3202" spans="1:1">
      <c r="A3202" s="1" t="s">
        <v>781</v>
      </c>
    </row>
    <row r="3203" spans="1:1">
      <c r="A3203" s="1" t="s">
        <v>782</v>
      </c>
    </row>
    <row r="3204" spans="1:1">
      <c r="A3204" s="1" t="s">
        <v>783</v>
      </c>
    </row>
    <row r="3205" spans="1:1">
      <c r="A3205" s="1" t="s">
        <v>781</v>
      </c>
    </row>
    <row r="3206" spans="1:1">
      <c r="A3206" s="1" t="s">
        <v>782</v>
      </c>
    </row>
    <row r="3207" spans="1:1">
      <c r="A3207" s="1" t="s">
        <v>783</v>
      </c>
    </row>
    <row r="3208" spans="1:1">
      <c r="A3208" s="1" t="s">
        <v>784</v>
      </c>
    </row>
    <row r="3209" spans="1:1">
      <c r="A3209" s="1" t="s">
        <v>785</v>
      </c>
    </row>
    <row r="3210" spans="1:1">
      <c r="A3210" s="1" t="s">
        <v>786</v>
      </c>
    </row>
    <row r="3211" spans="1:1">
      <c r="A3211" s="1" t="s">
        <v>787</v>
      </c>
    </row>
    <row r="3212" spans="1:1">
      <c r="A3212" s="1" t="s">
        <v>788</v>
      </c>
    </row>
    <row r="3213" spans="1:1">
      <c r="A3213" s="1" t="s">
        <v>789</v>
      </c>
    </row>
    <row r="3214" spans="1:1">
      <c r="A3214" s="1" t="s">
        <v>790</v>
      </c>
    </row>
    <row r="3215" spans="1:1">
      <c r="A3215" s="1" t="s">
        <v>791</v>
      </c>
    </row>
    <row r="3216" spans="1:1">
      <c r="A3216" s="1" t="s">
        <v>792</v>
      </c>
    </row>
    <row r="3217" spans="1:1">
      <c r="A3217" s="1" t="s">
        <v>793</v>
      </c>
    </row>
    <row r="3218" spans="1:1">
      <c r="A3218" s="1" t="s">
        <v>794</v>
      </c>
    </row>
    <row r="3219" spans="1:1">
      <c r="A3219" s="1" t="s">
        <v>795</v>
      </c>
    </row>
    <row r="3220" spans="1:1">
      <c r="A3220" s="1" t="s">
        <v>796</v>
      </c>
    </row>
    <row r="3221" spans="1:1">
      <c r="A3221" s="1" t="s">
        <v>797</v>
      </c>
    </row>
    <row r="3222" spans="1:1">
      <c r="A3222" s="1" t="s">
        <v>798</v>
      </c>
    </row>
    <row r="3223" spans="1:1">
      <c r="A3223" s="1" t="s">
        <v>799</v>
      </c>
    </row>
    <row r="3224" spans="1:1">
      <c r="A3224" s="1" t="s">
        <v>800</v>
      </c>
    </row>
    <row r="3225" spans="1:1">
      <c r="A3225" s="1" t="s">
        <v>801</v>
      </c>
    </row>
    <row r="3226" spans="1:1">
      <c r="A3226" s="1" t="s">
        <v>802</v>
      </c>
    </row>
    <row r="3227" spans="1:1">
      <c r="A3227" s="1" t="s">
        <v>803</v>
      </c>
    </row>
    <row r="3228" spans="1:1">
      <c r="A3228" s="1" t="s">
        <v>804</v>
      </c>
    </row>
    <row r="3229" spans="1:1">
      <c r="A3229" s="1" t="s">
        <v>799</v>
      </c>
    </row>
    <row r="3230" spans="1:1">
      <c r="A3230" s="1" t="s">
        <v>800</v>
      </c>
    </row>
    <row r="3231" spans="1:1">
      <c r="A3231" s="1" t="s">
        <v>802</v>
      </c>
    </row>
    <row r="3232" spans="1:1">
      <c r="A3232" s="1" t="s">
        <v>803</v>
      </c>
    </row>
    <row r="3233" spans="1:1">
      <c r="A3233" s="1" t="s">
        <v>804</v>
      </c>
    </row>
    <row r="3234" spans="1:1">
      <c r="A3234" s="1" t="s">
        <v>805</v>
      </c>
    </row>
    <row r="3235" spans="1:1">
      <c r="A3235" s="1" t="s">
        <v>806</v>
      </c>
    </row>
    <row r="3236" spans="1:1">
      <c r="A3236" s="1" t="s">
        <v>807</v>
      </c>
    </row>
    <row r="3237" spans="1:1">
      <c r="A3237" s="1" t="s">
        <v>808</v>
      </c>
    </row>
    <row r="3238" spans="1:1">
      <c r="A3238" s="1" t="s">
        <v>809</v>
      </c>
    </row>
    <row r="3239" spans="1:1">
      <c r="A3239" s="1" t="s">
        <v>810</v>
      </c>
    </row>
    <row r="3240" spans="1:1">
      <c r="A3240" s="1" t="s">
        <v>811</v>
      </c>
    </row>
    <row r="3241" spans="1:1">
      <c r="A3241" s="1" t="s">
        <v>812</v>
      </c>
    </row>
    <row r="3242" spans="1:1">
      <c r="A3242" s="1" t="s">
        <v>813</v>
      </c>
    </row>
    <row r="3243" spans="1:1">
      <c r="A3243" s="1" t="s">
        <v>814</v>
      </c>
    </row>
    <row r="3244" spans="1:1">
      <c r="A3244" s="1" t="s">
        <v>815</v>
      </c>
    </row>
    <row r="3245" spans="1:1">
      <c r="A3245" s="1" t="s">
        <v>816</v>
      </c>
    </row>
    <row r="3246" spans="1:1">
      <c r="A3246" s="1" t="s">
        <v>817</v>
      </c>
    </row>
    <row r="3247" spans="1:1">
      <c r="A3247" s="1" t="s">
        <v>818</v>
      </c>
    </row>
    <row r="3248" spans="1:1">
      <c r="A3248" s="1" t="s">
        <v>819</v>
      </c>
    </row>
    <row r="3249" spans="1:1">
      <c r="A3249" s="1" t="s">
        <v>820</v>
      </c>
    </row>
    <row r="3250" spans="1:1">
      <c r="A3250" s="1" t="s">
        <v>821</v>
      </c>
    </row>
    <row r="3251" spans="1:1">
      <c r="A3251" s="1" t="s">
        <v>822</v>
      </c>
    </row>
    <row r="3252" spans="1:1">
      <c r="A3252" s="1" t="s">
        <v>823</v>
      </c>
    </row>
    <row r="3253" spans="1:1">
      <c r="A3253" s="1" t="s">
        <v>823</v>
      </c>
    </row>
    <row r="3254" spans="1:1">
      <c r="A3254" s="1" t="s">
        <v>824</v>
      </c>
    </row>
    <row r="3255" spans="1:1">
      <c r="A3255" s="1" t="s">
        <v>823</v>
      </c>
    </row>
    <row r="3256" spans="1:1">
      <c r="A3256" s="1" t="s">
        <v>824</v>
      </c>
    </row>
    <row r="3257" spans="1:1">
      <c r="A3257" s="1" t="s">
        <v>823</v>
      </c>
    </row>
    <row r="3258" spans="1:1">
      <c r="A3258" s="1" t="s">
        <v>825</v>
      </c>
    </row>
    <row r="3259" spans="1:1">
      <c r="A3259" s="1" t="s">
        <v>826</v>
      </c>
    </row>
    <row r="3260" spans="1:1">
      <c r="A3260" s="1" t="s">
        <v>827</v>
      </c>
    </row>
    <row r="3261" spans="1:1">
      <c r="A3261" s="1" t="s">
        <v>828</v>
      </c>
    </row>
    <row r="3262" spans="1:1">
      <c r="A3262" s="1" t="s">
        <v>829</v>
      </c>
    </row>
    <row r="3263" spans="1:1">
      <c r="A3263" s="1" t="s">
        <v>830</v>
      </c>
    </row>
    <row r="3264" spans="1:1">
      <c r="A3264" s="1" t="s">
        <v>831</v>
      </c>
    </row>
    <row r="3265" spans="1:1">
      <c r="A3265" s="1" t="s">
        <v>832</v>
      </c>
    </row>
    <row r="3266" spans="1:1">
      <c r="A3266" s="1" t="s">
        <v>824</v>
      </c>
    </row>
    <row r="3267" spans="1:1">
      <c r="A3267" s="1" t="s">
        <v>823</v>
      </c>
    </row>
    <row r="3268" spans="1:1">
      <c r="A3268" s="1" t="s">
        <v>824</v>
      </c>
    </row>
    <row r="3269" spans="1:1">
      <c r="A3269" s="1" t="s">
        <v>823</v>
      </c>
    </row>
    <row r="3270" spans="1:1">
      <c r="A3270" s="1" t="s">
        <v>824</v>
      </c>
    </row>
    <row r="3271" spans="1:1">
      <c r="A3271" s="1" t="s">
        <v>823</v>
      </c>
    </row>
    <row r="3272" spans="1:1">
      <c r="A3272" s="1" t="s">
        <v>825</v>
      </c>
    </row>
    <row r="3273" spans="1:1">
      <c r="A3273" s="1" t="s">
        <v>826</v>
      </c>
    </row>
    <row r="3274" spans="1:1">
      <c r="A3274" s="1" t="s">
        <v>827</v>
      </c>
    </row>
    <row r="3275" spans="1:1">
      <c r="A3275" s="1" t="s">
        <v>828</v>
      </c>
    </row>
    <row r="3276" spans="1:1">
      <c r="A3276" s="1" t="s">
        <v>829</v>
      </c>
    </row>
    <row r="3277" spans="1:1">
      <c r="A3277" s="1" t="s">
        <v>830</v>
      </c>
    </row>
    <row r="3278" spans="1:1">
      <c r="A3278" s="1" t="s">
        <v>831</v>
      </c>
    </row>
    <row r="3279" spans="1:1">
      <c r="A3279" s="1" t="s">
        <v>832</v>
      </c>
    </row>
    <row r="3280" spans="1:1">
      <c r="A3280" s="1" t="s">
        <v>824</v>
      </c>
    </row>
    <row r="3281" spans="1:1">
      <c r="A3281" s="1" t="s">
        <v>823</v>
      </c>
    </row>
    <row r="3282" spans="1:1">
      <c r="A3282" s="1" t="s">
        <v>824</v>
      </c>
    </row>
    <row r="3283" spans="1:1">
      <c r="A3283" s="1" t="s">
        <v>823</v>
      </c>
    </row>
    <row r="3284" spans="1:1">
      <c r="A3284" s="1" t="s">
        <v>824</v>
      </c>
    </row>
    <row r="3285" spans="1:1">
      <c r="A3285" s="1" t="s">
        <v>823</v>
      </c>
    </row>
    <row r="3286" spans="1:1">
      <c r="A3286" s="1" t="s">
        <v>825</v>
      </c>
    </row>
    <row r="3287" spans="1:1">
      <c r="A3287" s="1" t="s">
        <v>826</v>
      </c>
    </row>
    <row r="3288" spans="1:1">
      <c r="A3288" s="1" t="s">
        <v>827</v>
      </c>
    </row>
    <row r="3289" spans="1:1">
      <c r="A3289" s="1" t="s">
        <v>828</v>
      </c>
    </row>
    <row r="3290" spans="1:1">
      <c r="A3290" s="1" t="s">
        <v>829</v>
      </c>
    </row>
    <row r="3291" spans="1:1">
      <c r="A3291" s="1" t="s">
        <v>830</v>
      </c>
    </row>
    <row r="3292" spans="1:1">
      <c r="A3292" s="1" t="s">
        <v>831</v>
      </c>
    </row>
    <row r="3293" spans="1:1">
      <c r="A3293" s="1" t="s">
        <v>832</v>
      </c>
    </row>
    <row r="3294" spans="1:1">
      <c r="A3294" s="1" t="s">
        <v>824</v>
      </c>
    </row>
    <row r="3295" spans="1:1">
      <c r="A3295" s="1" t="s">
        <v>823</v>
      </c>
    </row>
    <row r="3296" spans="1:1">
      <c r="A3296" s="1" t="s">
        <v>824</v>
      </c>
    </row>
    <row r="3297" spans="1:1">
      <c r="A3297" s="1" t="s">
        <v>823</v>
      </c>
    </row>
    <row r="3298" spans="1:1">
      <c r="A3298" s="1" t="s">
        <v>824</v>
      </c>
    </row>
    <row r="3299" spans="1:1">
      <c r="A3299" s="1" t="s">
        <v>823</v>
      </c>
    </row>
    <row r="3300" spans="1:1">
      <c r="A3300" s="1" t="s">
        <v>825</v>
      </c>
    </row>
    <row r="3301" spans="1:1">
      <c r="A3301" s="1" t="s">
        <v>826</v>
      </c>
    </row>
    <row r="3302" spans="1:1">
      <c r="A3302" s="1" t="s">
        <v>827</v>
      </c>
    </row>
    <row r="3303" spans="1:1">
      <c r="A3303" s="1" t="s">
        <v>828</v>
      </c>
    </row>
    <row r="3304" spans="1:1">
      <c r="A3304" s="1" t="s">
        <v>829</v>
      </c>
    </row>
    <row r="3305" spans="1:1">
      <c r="A3305" s="1" t="s">
        <v>830</v>
      </c>
    </row>
    <row r="3306" spans="1:1">
      <c r="A3306" s="1" t="s">
        <v>831</v>
      </c>
    </row>
    <row r="3307" spans="1:1">
      <c r="A3307" s="1" t="s">
        <v>832</v>
      </c>
    </row>
    <row r="3308" spans="1:1">
      <c r="A3308" s="1" t="s">
        <v>824</v>
      </c>
    </row>
    <row r="3309" spans="1:1">
      <c r="A3309" s="1" t="s">
        <v>823</v>
      </c>
    </row>
    <row r="3310" spans="1:1">
      <c r="A3310" s="1" t="s">
        <v>824</v>
      </c>
    </row>
    <row r="3311" spans="1:1">
      <c r="A3311" s="1" t="s">
        <v>823</v>
      </c>
    </row>
    <row r="3312" spans="1:1">
      <c r="A3312" s="1" t="s">
        <v>833</v>
      </c>
    </row>
    <row r="3313" spans="1:1">
      <c r="A3313" s="1" t="s">
        <v>834</v>
      </c>
    </row>
    <row r="3314" spans="1:1">
      <c r="A3314" s="1" t="s">
        <v>835</v>
      </c>
    </row>
    <row r="3315" spans="1:1">
      <c r="A3315" s="1" t="s">
        <v>836</v>
      </c>
    </row>
    <row r="3316" spans="1:1">
      <c r="A3316" s="1" t="s">
        <v>837</v>
      </c>
    </row>
    <row r="3317" spans="1:1">
      <c r="A3317" s="1" t="s">
        <v>838</v>
      </c>
    </row>
    <row r="3318" spans="1:1">
      <c r="A3318" s="1" t="s">
        <v>839</v>
      </c>
    </row>
    <row r="3319" spans="1:1">
      <c r="A3319" s="1" t="s">
        <v>840</v>
      </c>
    </row>
    <row r="3320" spans="1:1">
      <c r="A3320" s="1" t="s">
        <v>841</v>
      </c>
    </row>
    <row r="3321" spans="1:1">
      <c r="A3321" s="1" t="s">
        <v>842</v>
      </c>
    </row>
    <row r="3322" spans="1:1">
      <c r="A3322" s="1" t="s">
        <v>833</v>
      </c>
    </row>
    <row r="3323" spans="1:1">
      <c r="A3323" s="1" t="s">
        <v>834</v>
      </c>
    </row>
    <row r="3324" spans="1:1">
      <c r="A3324" s="1" t="s">
        <v>833</v>
      </c>
    </row>
    <row r="3325" spans="1:1">
      <c r="A3325" s="1" t="s">
        <v>834</v>
      </c>
    </row>
    <row r="3326" spans="1:1">
      <c r="A3326" s="1" t="s">
        <v>833</v>
      </c>
    </row>
    <row r="3327" spans="1:1">
      <c r="A3327" s="1" t="s">
        <v>834</v>
      </c>
    </row>
    <row r="3328" spans="1:1">
      <c r="A3328" s="1" t="s">
        <v>835</v>
      </c>
    </row>
    <row r="3329" spans="1:1">
      <c r="A3329" s="1" t="s">
        <v>836</v>
      </c>
    </row>
    <row r="3330" spans="1:1">
      <c r="A3330" s="1" t="s">
        <v>837</v>
      </c>
    </row>
    <row r="3331" spans="1:1">
      <c r="A3331" s="1" t="s">
        <v>838</v>
      </c>
    </row>
    <row r="3332" spans="1:1">
      <c r="A3332" s="1" t="s">
        <v>839</v>
      </c>
    </row>
    <row r="3333" spans="1:1">
      <c r="A3333" s="1" t="s">
        <v>840</v>
      </c>
    </row>
    <row r="3334" spans="1:1">
      <c r="A3334" s="1" t="s">
        <v>841</v>
      </c>
    </row>
    <row r="3335" spans="1:1">
      <c r="A3335" s="1" t="s">
        <v>842</v>
      </c>
    </row>
    <row r="3336" spans="1:1">
      <c r="A3336" s="1" t="s">
        <v>833</v>
      </c>
    </row>
    <row r="3337" spans="1:1">
      <c r="A3337" s="1" t="s">
        <v>834</v>
      </c>
    </row>
    <row r="3338" spans="1:1">
      <c r="A3338" s="1" t="s">
        <v>833</v>
      </c>
    </row>
    <row r="3339" spans="1:1">
      <c r="A3339" s="1" t="s">
        <v>834</v>
      </c>
    </row>
    <row r="3340" spans="1:1">
      <c r="A3340" s="1" t="s">
        <v>833</v>
      </c>
    </row>
    <row r="3341" spans="1:1">
      <c r="A3341" s="1" t="s">
        <v>834</v>
      </c>
    </row>
    <row r="3342" spans="1:1">
      <c r="A3342" s="1" t="s">
        <v>835</v>
      </c>
    </row>
    <row r="3343" spans="1:1">
      <c r="A3343" s="1" t="s">
        <v>836</v>
      </c>
    </row>
    <row r="3344" spans="1:1">
      <c r="A3344" s="1" t="s">
        <v>837</v>
      </c>
    </row>
    <row r="3345" spans="1:1">
      <c r="A3345" s="1" t="s">
        <v>838</v>
      </c>
    </row>
    <row r="3346" spans="1:1">
      <c r="A3346" s="1" t="s">
        <v>839</v>
      </c>
    </row>
    <row r="3347" spans="1:1">
      <c r="A3347" s="1" t="s">
        <v>840</v>
      </c>
    </row>
    <row r="3348" spans="1:1">
      <c r="A3348" s="1" t="s">
        <v>841</v>
      </c>
    </row>
    <row r="3349" spans="1:1">
      <c r="A3349" s="1" t="s">
        <v>842</v>
      </c>
    </row>
    <row r="3350" spans="1:1">
      <c r="A3350" s="1" t="s">
        <v>833</v>
      </c>
    </row>
    <row r="3351" spans="1:1">
      <c r="A3351" s="1" t="s">
        <v>834</v>
      </c>
    </row>
    <row r="3352" spans="1:1">
      <c r="A3352" s="1" t="s">
        <v>833</v>
      </c>
    </row>
    <row r="3353" spans="1:1">
      <c r="A3353" s="1" t="s">
        <v>834</v>
      </c>
    </row>
    <row r="3354" spans="1:1">
      <c r="A3354" s="1" t="s">
        <v>833</v>
      </c>
    </row>
    <row r="3355" spans="1:1">
      <c r="A3355" s="1" t="s">
        <v>834</v>
      </c>
    </row>
    <row r="3356" spans="1:1">
      <c r="A3356" s="1" t="s">
        <v>835</v>
      </c>
    </row>
    <row r="3357" spans="1:1">
      <c r="A3357" s="1" t="s">
        <v>836</v>
      </c>
    </row>
    <row r="3358" spans="1:1">
      <c r="A3358" s="1" t="s">
        <v>837</v>
      </c>
    </row>
    <row r="3359" spans="1:1">
      <c r="A3359" s="1" t="s">
        <v>838</v>
      </c>
    </row>
    <row r="3360" spans="1:1">
      <c r="A3360" s="1" t="s">
        <v>839</v>
      </c>
    </row>
    <row r="3361" spans="1:1">
      <c r="A3361" s="1" t="s">
        <v>840</v>
      </c>
    </row>
    <row r="3362" spans="1:1">
      <c r="A3362" s="1" t="s">
        <v>841</v>
      </c>
    </row>
    <row r="3363" spans="1:1">
      <c r="A3363" s="1" t="s">
        <v>842</v>
      </c>
    </row>
    <row r="3364" spans="1:1">
      <c r="A3364" s="1" t="s">
        <v>833</v>
      </c>
    </row>
    <row r="3365" spans="1:1">
      <c r="A3365" s="1" t="s">
        <v>834</v>
      </c>
    </row>
    <row r="3366" spans="1:1">
      <c r="A3366" s="1" t="s">
        <v>843</v>
      </c>
    </row>
    <row r="3367" spans="1:1">
      <c r="A3367" s="1" t="s">
        <v>843</v>
      </c>
    </row>
    <row r="3368" spans="1:1">
      <c r="A3368" s="1" t="s">
        <v>844</v>
      </c>
    </row>
    <row r="3369" spans="1:1">
      <c r="A3369" s="1" t="s">
        <v>845</v>
      </c>
    </row>
    <row r="3370" spans="1:1">
      <c r="A3370" s="1" t="s">
        <v>846</v>
      </c>
    </row>
    <row r="3371" spans="1:1">
      <c r="A3371" s="1" t="s">
        <v>847</v>
      </c>
    </row>
    <row r="3372" spans="1:1">
      <c r="A3372" s="1" t="s">
        <v>848</v>
      </c>
    </row>
    <row r="3373" spans="1:1">
      <c r="A3373" s="1" t="s">
        <v>849</v>
      </c>
    </row>
    <row r="3374" spans="1:1">
      <c r="A3374" s="1" t="s">
        <v>850</v>
      </c>
    </row>
    <row r="3375" spans="1:1">
      <c r="A3375" s="1" t="s">
        <v>851</v>
      </c>
    </row>
    <row r="3376" spans="1:1">
      <c r="A3376" s="1" t="s">
        <v>852</v>
      </c>
    </row>
    <row r="3377" spans="1:1">
      <c r="A3377" s="1" t="s">
        <v>852</v>
      </c>
    </row>
    <row r="3378" spans="1:1">
      <c r="A3378" s="1" t="s">
        <v>852</v>
      </c>
    </row>
    <row r="3379" spans="1:1">
      <c r="A3379" s="1" t="s">
        <v>853</v>
      </c>
    </row>
    <row r="3380" spans="1:1">
      <c r="A3380" s="1" t="s">
        <v>845</v>
      </c>
    </row>
    <row r="3381" spans="1:1">
      <c r="A3381" s="1" t="s">
        <v>846</v>
      </c>
    </row>
    <row r="3382" spans="1:1">
      <c r="A3382" s="1" t="s">
        <v>847</v>
      </c>
    </row>
    <row r="3383" spans="1:1">
      <c r="A3383" s="1" t="s">
        <v>848</v>
      </c>
    </row>
    <row r="3384" spans="1:1">
      <c r="A3384" s="1" t="s">
        <v>849</v>
      </c>
    </row>
    <row r="3385" spans="1:1">
      <c r="A3385" s="1" t="s">
        <v>850</v>
      </c>
    </row>
    <row r="3386" spans="1:1">
      <c r="A3386" s="1" t="s">
        <v>851</v>
      </c>
    </row>
    <row r="3387" spans="1:1">
      <c r="A3387" s="1" t="s">
        <v>852</v>
      </c>
    </row>
    <row r="3388" spans="1:1">
      <c r="A3388" s="1" t="s">
        <v>852</v>
      </c>
    </row>
    <row r="3389" spans="1:1">
      <c r="A3389" s="1" t="s">
        <v>852</v>
      </c>
    </row>
    <row r="3390" spans="1:1">
      <c r="A3390" s="1" t="s">
        <v>853</v>
      </c>
    </row>
    <row r="3391" spans="1:1">
      <c r="A3391" s="1" t="s">
        <v>845</v>
      </c>
    </row>
    <row r="3392" spans="1:1">
      <c r="A3392" s="1" t="s">
        <v>846</v>
      </c>
    </row>
    <row r="3393" spans="1:1">
      <c r="A3393" s="1" t="s">
        <v>847</v>
      </c>
    </row>
    <row r="3394" spans="1:1">
      <c r="A3394" s="1" t="s">
        <v>848</v>
      </c>
    </row>
    <row r="3395" spans="1:1">
      <c r="A3395" s="1" t="s">
        <v>849</v>
      </c>
    </row>
    <row r="3396" spans="1:1">
      <c r="A3396" s="1" t="s">
        <v>850</v>
      </c>
    </row>
    <row r="3397" spans="1:1">
      <c r="A3397" s="1" t="s">
        <v>851</v>
      </c>
    </row>
    <row r="3398" spans="1:1">
      <c r="A3398" s="1" t="s">
        <v>852</v>
      </c>
    </row>
    <row r="3399" spans="1:1">
      <c r="A3399" s="1" t="s">
        <v>852</v>
      </c>
    </row>
    <row r="3400" spans="1:1">
      <c r="A3400" s="1" t="s">
        <v>852</v>
      </c>
    </row>
    <row r="3401" spans="1:1">
      <c r="A3401" s="1" t="s">
        <v>853</v>
      </c>
    </row>
    <row r="3402" spans="1:1">
      <c r="A3402" s="1" t="s">
        <v>845</v>
      </c>
    </row>
    <row r="3403" spans="1:1">
      <c r="A3403" s="1" t="s">
        <v>846</v>
      </c>
    </row>
    <row r="3404" spans="1:1">
      <c r="A3404" s="1" t="s">
        <v>847</v>
      </c>
    </row>
    <row r="3405" spans="1:1">
      <c r="A3405" s="1" t="s">
        <v>848</v>
      </c>
    </row>
    <row r="3406" spans="1:1">
      <c r="A3406" s="1" t="s">
        <v>849</v>
      </c>
    </row>
    <row r="3407" spans="1:1">
      <c r="A3407" s="1" t="s">
        <v>850</v>
      </c>
    </row>
    <row r="3408" spans="1:1">
      <c r="A3408" s="1" t="s">
        <v>851</v>
      </c>
    </row>
    <row r="3409" spans="1:1">
      <c r="A3409" s="1" t="s">
        <v>852</v>
      </c>
    </row>
    <row r="3410" spans="1:1">
      <c r="A3410" s="1" t="s">
        <v>852</v>
      </c>
    </row>
    <row r="3411" spans="1:1">
      <c r="A3411" s="1" t="s">
        <v>852</v>
      </c>
    </row>
    <row r="3412" spans="1:1">
      <c r="A3412" s="1" t="s">
        <v>853</v>
      </c>
    </row>
    <row r="3413" spans="1:1">
      <c r="A3413" s="1" t="s">
        <v>845</v>
      </c>
    </row>
    <row r="3414" spans="1:1">
      <c r="A3414" s="1" t="s">
        <v>846</v>
      </c>
    </row>
    <row r="3415" spans="1:1">
      <c r="A3415" s="1" t="s">
        <v>847</v>
      </c>
    </row>
    <row r="3416" spans="1:1">
      <c r="A3416" s="1" t="s">
        <v>848</v>
      </c>
    </row>
    <row r="3417" spans="1:1">
      <c r="A3417" s="1" t="s">
        <v>849</v>
      </c>
    </row>
    <row r="3418" spans="1:1">
      <c r="A3418" s="1" t="s">
        <v>850</v>
      </c>
    </row>
    <row r="3419" spans="1:1">
      <c r="A3419" s="1" t="s">
        <v>851</v>
      </c>
    </row>
    <row r="3420" spans="1:1">
      <c r="A3420" s="1" t="s">
        <v>852</v>
      </c>
    </row>
    <row r="3421" spans="1:1">
      <c r="A3421" s="1" t="s">
        <v>852</v>
      </c>
    </row>
    <row r="3422" spans="1:1">
      <c r="A3422" s="1" t="s">
        <v>852</v>
      </c>
    </row>
    <row r="3423" spans="1:1">
      <c r="A3423" s="1" t="s">
        <v>853</v>
      </c>
    </row>
    <row r="3424" spans="1:1">
      <c r="A3424" s="1" t="s">
        <v>845</v>
      </c>
    </row>
    <row r="3425" spans="1:1">
      <c r="A3425" s="1" t="s">
        <v>846</v>
      </c>
    </row>
    <row r="3426" spans="1:1">
      <c r="A3426" s="1" t="s">
        <v>847</v>
      </c>
    </row>
    <row r="3427" spans="1:1">
      <c r="A3427" s="1" t="s">
        <v>848</v>
      </c>
    </row>
    <row r="3428" spans="1:1">
      <c r="A3428" s="1" t="s">
        <v>849</v>
      </c>
    </row>
    <row r="3429" spans="1:1">
      <c r="A3429" s="1" t="s">
        <v>850</v>
      </c>
    </row>
    <row r="3430" spans="1:1">
      <c r="A3430" s="1" t="s">
        <v>851</v>
      </c>
    </row>
    <row r="3431" spans="1:1">
      <c r="A3431" s="1" t="s">
        <v>852</v>
      </c>
    </row>
    <row r="3432" spans="1:1">
      <c r="A3432" s="1" t="s">
        <v>852</v>
      </c>
    </row>
    <row r="3433" spans="1:1">
      <c r="A3433" s="1" t="s">
        <v>852</v>
      </c>
    </row>
    <row r="3434" spans="1:1">
      <c r="A3434" s="1" t="s">
        <v>853</v>
      </c>
    </row>
    <row r="3435" spans="1:1">
      <c r="A3435" s="1" t="s">
        <v>845</v>
      </c>
    </row>
    <row r="3436" spans="1:1">
      <c r="A3436" s="1" t="s">
        <v>846</v>
      </c>
    </row>
    <row r="3437" spans="1:1">
      <c r="A3437" s="1" t="s">
        <v>847</v>
      </c>
    </row>
    <row r="3438" spans="1:1">
      <c r="A3438" s="1" t="s">
        <v>848</v>
      </c>
    </row>
    <row r="3439" spans="1:1">
      <c r="A3439" s="1" t="s">
        <v>849</v>
      </c>
    </row>
    <row r="3440" spans="1:1">
      <c r="A3440" s="1" t="s">
        <v>850</v>
      </c>
    </row>
    <row r="3441" spans="1:1">
      <c r="A3441" s="1" t="s">
        <v>851</v>
      </c>
    </row>
    <row r="3442" spans="1:1">
      <c r="A3442" s="1" t="s">
        <v>852</v>
      </c>
    </row>
    <row r="3443" spans="1:1">
      <c r="A3443" s="1" t="s">
        <v>852</v>
      </c>
    </row>
    <row r="3444" spans="1:1">
      <c r="A3444" s="1" t="s">
        <v>852</v>
      </c>
    </row>
    <row r="3445" spans="1:1">
      <c r="A3445" s="1" t="s">
        <v>853</v>
      </c>
    </row>
    <row r="3446" spans="1:1">
      <c r="A3446" s="1" t="s">
        <v>845</v>
      </c>
    </row>
    <row r="3447" spans="1:1">
      <c r="A3447" s="1" t="s">
        <v>846</v>
      </c>
    </row>
    <row r="3448" spans="1:1">
      <c r="A3448" s="1" t="s">
        <v>847</v>
      </c>
    </row>
    <row r="3449" spans="1:1">
      <c r="A3449" s="1" t="s">
        <v>848</v>
      </c>
    </row>
    <row r="3450" spans="1:1">
      <c r="A3450" s="1" t="s">
        <v>849</v>
      </c>
    </row>
    <row r="3451" spans="1:1">
      <c r="A3451" s="1" t="s">
        <v>850</v>
      </c>
    </row>
    <row r="3452" spans="1:1">
      <c r="A3452" s="1" t="s">
        <v>851</v>
      </c>
    </row>
    <row r="3453" spans="1:1">
      <c r="A3453" s="1" t="s">
        <v>852</v>
      </c>
    </row>
    <row r="3454" spans="1:1">
      <c r="A3454" s="1" t="s">
        <v>854</v>
      </c>
    </row>
    <row r="3455" spans="1:1">
      <c r="A3455" s="1" t="s">
        <v>854</v>
      </c>
    </row>
    <row r="3456" spans="1:1">
      <c r="A3456" s="1" t="s">
        <v>855</v>
      </c>
    </row>
    <row r="3457" spans="1:1">
      <c r="A3457" s="1" t="s">
        <v>856</v>
      </c>
    </row>
    <row r="3458" spans="1:1">
      <c r="A3458" s="1" t="s">
        <v>857</v>
      </c>
    </row>
    <row r="3459" spans="1:1">
      <c r="A3459" s="1" t="s">
        <v>858</v>
      </c>
    </row>
    <row r="3460" spans="1:1">
      <c r="A3460" s="1" t="s">
        <v>859</v>
      </c>
    </row>
    <row r="3461" spans="1:1">
      <c r="A3461" s="1" t="s">
        <v>860</v>
      </c>
    </row>
    <row r="3462" spans="1:1">
      <c r="A3462" s="1" t="s">
        <v>861</v>
      </c>
    </row>
    <row r="3463" spans="1:1">
      <c r="A3463" s="1" t="s">
        <v>862</v>
      </c>
    </row>
    <row r="3464" spans="1:1">
      <c r="A3464" s="1" t="s">
        <v>863</v>
      </c>
    </row>
    <row r="3465" spans="1:1">
      <c r="A3465" s="1" t="s">
        <v>863</v>
      </c>
    </row>
    <row r="3466" spans="1:1">
      <c r="A3466" s="1" t="s">
        <v>863</v>
      </c>
    </row>
    <row r="3467" spans="1:1">
      <c r="A3467" s="1" t="s">
        <v>864</v>
      </c>
    </row>
    <row r="3468" spans="1:1">
      <c r="A3468" s="1" t="s">
        <v>856</v>
      </c>
    </row>
    <row r="3469" spans="1:1">
      <c r="A3469" s="1" t="s">
        <v>865</v>
      </c>
    </row>
    <row r="3470" spans="1:1">
      <c r="A3470" s="1" t="s">
        <v>866</v>
      </c>
    </row>
    <row r="3471" spans="1:1">
      <c r="A3471" s="1" t="s">
        <v>867</v>
      </c>
    </row>
    <row r="3472" spans="1:1">
      <c r="A3472" s="1" t="s">
        <v>868</v>
      </c>
    </row>
    <row r="3473" spans="1:1">
      <c r="A3473" s="1" t="s">
        <v>869</v>
      </c>
    </row>
    <row r="3474" spans="1:1">
      <c r="A3474" s="1" t="s">
        <v>870</v>
      </c>
    </row>
    <row r="3475" spans="1:1">
      <c r="A3475" s="1" t="s">
        <v>871</v>
      </c>
    </row>
    <row r="3476" spans="1:1">
      <c r="A3476" s="1" t="s">
        <v>872</v>
      </c>
    </row>
    <row r="3477" spans="1:1">
      <c r="A3477" s="1" t="s">
        <v>872</v>
      </c>
    </row>
    <row r="3478" spans="1:1">
      <c r="A3478" s="1" t="s">
        <v>873</v>
      </c>
    </row>
    <row r="3479" spans="1:1">
      <c r="A3479" s="1" t="s">
        <v>874</v>
      </c>
    </row>
    <row r="3480" spans="1:1">
      <c r="A3480" s="1" t="s">
        <v>875</v>
      </c>
    </row>
    <row r="3481" spans="1:1">
      <c r="A3481" s="1" t="s">
        <v>876</v>
      </c>
    </row>
    <row r="3482" spans="1:1">
      <c r="A3482" s="1" t="s">
        <v>877</v>
      </c>
    </row>
    <row r="3483" spans="1:1">
      <c r="A3483" s="1" t="s">
        <v>878</v>
      </c>
    </row>
    <row r="3484" spans="1:1">
      <c r="A3484" s="1" t="s">
        <v>879</v>
      </c>
    </row>
    <row r="3485" spans="1:1">
      <c r="A3485" s="1" t="s">
        <v>880</v>
      </c>
    </row>
    <row r="3486" spans="1:1">
      <c r="A3486" s="1" t="s">
        <v>881</v>
      </c>
    </row>
    <row r="3487" spans="1:1">
      <c r="A3487" s="1" t="s">
        <v>881</v>
      </c>
    </row>
    <row r="3488" spans="1:1">
      <c r="A3488" s="1" t="s">
        <v>881</v>
      </c>
    </row>
    <row r="3489" spans="1:1">
      <c r="A3489" s="1" t="s">
        <v>882</v>
      </c>
    </row>
    <row r="3490" spans="1:1">
      <c r="A3490" s="1" t="s">
        <v>883</v>
      </c>
    </row>
    <row r="3491" spans="1:1">
      <c r="A3491" s="1" t="s">
        <v>884</v>
      </c>
    </row>
    <row r="3492" spans="1:1">
      <c r="A3492" s="1" t="s">
        <v>876</v>
      </c>
    </row>
    <row r="3493" spans="1:1">
      <c r="A3493" s="1" t="s">
        <v>885</v>
      </c>
    </row>
    <row r="3494" spans="1:1">
      <c r="A3494" s="1" t="s">
        <v>886</v>
      </c>
    </row>
    <row r="3495" spans="1:1">
      <c r="A3495" s="1" t="s">
        <v>887</v>
      </c>
    </row>
    <row r="3496" spans="1:1">
      <c r="A3496" s="1" t="s">
        <v>888</v>
      </c>
    </row>
    <row r="3497" spans="1:1">
      <c r="A3497" s="1" t="s">
        <v>889</v>
      </c>
    </row>
    <row r="3498" spans="1:1">
      <c r="A3498" s="1" t="s">
        <v>889</v>
      </c>
    </row>
    <row r="3499" spans="1:1">
      <c r="A3499" s="1" t="s">
        <v>889</v>
      </c>
    </row>
    <row r="3500" spans="1:1">
      <c r="A3500" s="1" t="s">
        <v>890</v>
      </c>
    </row>
    <row r="3501" spans="1:1">
      <c r="A3501" s="1" t="s">
        <v>891</v>
      </c>
    </row>
    <row r="3502" spans="1:1">
      <c r="A3502" s="1" t="s">
        <v>892</v>
      </c>
    </row>
    <row r="3503" spans="1:1">
      <c r="A3503" s="1" t="s">
        <v>893</v>
      </c>
    </row>
    <row r="3504" spans="1:1">
      <c r="A3504" s="1" t="s">
        <v>885</v>
      </c>
    </row>
    <row r="3505" spans="1:1">
      <c r="A3505" s="1" t="s">
        <v>894</v>
      </c>
    </row>
    <row r="3506" spans="1:1">
      <c r="A3506" s="1" t="s">
        <v>895</v>
      </c>
    </row>
    <row r="3507" spans="1:1">
      <c r="A3507" s="1" t="s">
        <v>896</v>
      </c>
    </row>
    <row r="3508" spans="1:1">
      <c r="A3508" s="1" t="s">
        <v>897</v>
      </c>
    </row>
    <row r="3509" spans="1:1">
      <c r="A3509" s="1" t="s">
        <v>897</v>
      </c>
    </row>
    <row r="3510" spans="1:1">
      <c r="A3510" s="1" t="s">
        <v>897</v>
      </c>
    </row>
    <row r="3511" spans="1:1">
      <c r="A3511" s="1" t="s">
        <v>898</v>
      </c>
    </row>
    <row r="3512" spans="1:1">
      <c r="A3512" s="1" t="s">
        <v>899</v>
      </c>
    </row>
    <row r="3513" spans="1:1">
      <c r="A3513" s="1" t="s">
        <v>900</v>
      </c>
    </row>
    <row r="3514" spans="1:1">
      <c r="A3514" s="1" t="s">
        <v>901</v>
      </c>
    </row>
    <row r="3515" spans="1:1">
      <c r="A3515" s="1" t="s">
        <v>902</v>
      </c>
    </row>
    <row r="3516" spans="1:1">
      <c r="A3516" s="1" t="s">
        <v>894</v>
      </c>
    </row>
    <row r="3517" spans="1:1">
      <c r="A3517" s="1" t="s">
        <v>903</v>
      </c>
    </row>
    <row r="3518" spans="1:1">
      <c r="A3518" s="1" t="s">
        <v>904</v>
      </c>
    </row>
    <row r="3519" spans="1:1">
      <c r="A3519" s="1" t="s">
        <v>905</v>
      </c>
    </row>
    <row r="3520" spans="1:1">
      <c r="A3520" s="1" t="s">
        <v>905</v>
      </c>
    </row>
    <row r="3521" spans="1:1">
      <c r="A3521" s="1" t="s">
        <v>905</v>
      </c>
    </row>
    <row r="3522" spans="1:1">
      <c r="A3522" s="1" t="s">
        <v>906</v>
      </c>
    </row>
    <row r="3523" spans="1:1">
      <c r="A3523" s="1" t="s">
        <v>907</v>
      </c>
    </row>
    <row r="3524" spans="1:1">
      <c r="A3524" s="1" t="s">
        <v>908</v>
      </c>
    </row>
    <row r="3525" spans="1:1">
      <c r="A3525" s="1" t="s">
        <v>909</v>
      </c>
    </row>
    <row r="3526" spans="1:1">
      <c r="A3526" s="1" t="s">
        <v>910</v>
      </c>
    </row>
    <row r="3527" spans="1:1">
      <c r="A3527" s="1" t="s">
        <v>911</v>
      </c>
    </row>
    <row r="3528" spans="1:1">
      <c r="A3528" s="1" t="s">
        <v>903</v>
      </c>
    </row>
    <row r="3529" spans="1:1">
      <c r="A3529" s="1" t="s">
        <v>904</v>
      </c>
    </row>
    <row r="3530" spans="1:1">
      <c r="A3530" s="1" t="s">
        <v>905</v>
      </c>
    </row>
    <row r="3531" spans="1:1">
      <c r="A3531" s="1" t="s">
        <v>905</v>
      </c>
    </row>
    <row r="3532" spans="1:1">
      <c r="A3532" s="1" t="s">
        <v>905</v>
      </c>
    </row>
    <row r="3533" spans="1:1">
      <c r="A3533" s="1" t="s">
        <v>906</v>
      </c>
    </row>
    <row r="3534" spans="1:1">
      <c r="A3534" s="1" t="s">
        <v>907</v>
      </c>
    </row>
    <row r="3535" spans="1:1">
      <c r="A3535" s="1" t="s">
        <v>908</v>
      </c>
    </row>
    <row r="3536" spans="1:1">
      <c r="A3536" s="1" t="s">
        <v>909</v>
      </c>
    </row>
    <row r="3537" spans="1:1">
      <c r="A3537" s="1" t="s">
        <v>910</v>
      </c>
    </row>
    <row r="3538" spans="1:1">
      <c r="A3538" s="1" t="s">
        <v>911</v>
      </c>
    </row>
    <row r="3539" spans="1:1">
      <c r="A3539" s="1" t="s">
        <v>903</v>
      </c>
    </row>
    <row r="3540" spans="1:1">
      <c r="A3540" s="1" t="s">
        <v>904</v>
      </c>
    </row>
    <row r="3541" spans="1:1">
      <c r="A3541" s="1" t="s">
        <v>912</v>
      </c>
    </row>
    <row r="3542" spans="1:1">
      <c r="A3542" s="1" t="s">
        <v>913</v>
      </c>
    </row>
    <row r="3543" spans="1:1">
      <c r="A3543" s="1" t="s">
        <v>914</v>
      </c>
    </row>
    <row r="3544" spans="1:1">
      <c r="A3544" s="1" t="s">
        <v>915</v>
      </c>
    </row>
    <row r="3545" spans="1:1">
      <c r="A3545" s="1" t="s">
        <v>916</v>
      </c>
    </row>
    <row r="3546" spans="1:1">
      <c r="A3546" s="1" t="s">
        <v>917</v>
      </c>
    </row>
    <row r="3547" spans="1:1">
      <c r="A3547" s="1" t="s">
        <v>918</v>
      </c>
    </row>
    <row r="3548" spans="1:1">
      <c r="A3548" s="1" t="s">
        <v>919</v>
      </c>
    </row>
    <row r="3549" spans="1:1">
      <c r="A3549" s="1" t="s">
        <v>920</v>
      </c>
    </row>
    <row r="3550" spans="1:1">
      <c r="A3550" s="1" t="s">
        <v>921</v>
      </c>
    </row>
    <row r="3551" spans="1:1">
      <c r="A3551" s="1" t="s">
        <v>922</v>
      </c>
    </row>
    <row r="3552" spans="1:1">
      <c r="A3552" s="1" t="s">
        <v>923</v>
      </c>
    </row>
    <row r="3553" spans="1:1">
      <c r="A3553" s="1" t="s">
        <v>924</v>
      </c>
    </row>
    <row r="3554" spans="1:1">
      <c r="A3554" s="1" t="s">
        <v>925</v>
      </c>
    </row>
    <row r="3555" spans="1:1">
      <c r="A3555" s="1" t="s">
        <v>926</v>
      </c>
    </row>
    <row r="3556" spans="1:1">
      <c r="A3556" s="1" t="s">
        <v>927</v>
      </c>
    </row>
    <row r="3557" spans="1:1">
      <c r="A3557" s="1" t="s">
        <v>928</v>
      </c>
    </row>
    <row r="3558" spans="1:1">
      <c r="A3558" s="1" t="s">
        <v>929</v>
      </c>
    </row>
    <row r="3559" spans="1:1">
      <c r="A3559" s="1" t="s">
        <v>930</v>
      </c>
    </row>
    <row r="3560" spans="1:1">
      <c r="A3560" s="1" t="s">
        <v>931</v>
      </c>
    </row>
    <row r="3561" spans="1:1">
      <c r="A3561" s="1" t="s">
        <v>932</v>
      </c>
    </row>
    <row r="3562" spans="1:1">
      <c r="A3562" s="1" t="s">
        <v>933</v>
      </c>
    </row>
    <row r="3563" spans="1:1">
      <c r="A3563" s="1" t="s">
        <v>934</v>
      </c>
    </row>
    <row r="3564" spans="1:1">
      <c r="A3564" s="1" t="s">
        <v>935</v>
      </c>
    </row>
    <row r="3565" spans="1:1">
      <c r="A3565" s="1" t="s">
        <v>936</v>
      </c>
    </row>
    <row r="3566" spans="1:1">
      <c r="A3566" s="1" t="s">
        <v>937</v>
      </c>
    </row>
    <row r="3567" spans="1:1">
      <c r="A3567" s="1" t="s">
        <v>938</v>
      </c>
    </row>
    <row r="3568" spans="1:1">
      <c r="A3568" s="1" t="s">
        <v>939</v>
      </c>
    </row>
    <row r="3569" spans="1:1">
      <c r="A3569" s="1" t="s">
        <v>940</v>
      </c>
    </row>
    <row r="3570" spans="1:1">
      <c r="A3570" s="1" t="s">
        <v>941</v>
      </c>
    </row>
    <row r="3571" spans="1:1">
      <c r="A3571" s="1" t="s">
        <v>942</v>
      </c>
    </row>
    <row r="3572" spans="1:1">
      <c r="A3572" s="1" t="s">
        <v>943</v>
      </c>
    </row>
    <row r="3573" spans="1:1">
      <c r="A3573" s="1" t="s">
        <v>944</v>
      </c>
    </row>
    <row r="3574" spans="1:1">
      <c r="A3574" s="1" t="s">
        <v>945</v>
      </c>
    </row>
    <row r="3575" spans="1:1">
      <c r="A3575" s="1" t="s">
        <v>946</v>
      </c>
    </row>
    <row r="3576" spans="1:1">
      <c r="A3576" s="1" t="s">
        <v>947</v>
      </c>
    </row>
    <row r="3577" spans="1:1">
      <c r="A3577" s="1" t="s">
        <v>948</v>
      </c>
    </row>
    <row r="3578" spans="1:1">
      <c r="A3578" s="1" t="s">
        <v>949</v>
      </c>
    </row>
    <row r="3579" spans="1:1">
      <c r="A3579" s="1" t="s">
        <v>950</v>
      </c>
    </row>
    <row r="3580" spans="1:1">
      <c r="A3580" s="1" t="s">
        <v>951</v>
      </c>
    </row>
    <row r="3581" spans="1:1">
      <c r="A3581" s="1" t="s">
        <v>952</v>
      </c>
    </row>
    <row r="3582" spans="1:1">
      <c r="A3582" s="1" t="s">
        <v>953</v>
      </c>
    </row>
    <row r="3583" spans="1:1">
      <c r="A3583" s="1" t="s">
        <v>954</v>
      </c>
    </row>
    <row r="3584" spans="1:1">
      <c r="A3584" s="1" t="s">
        <v>955</v>
      </c>
    </row>
    <row r="3585" spans="1:1">
      <c r="A3585" s="1" t="s">
        <v>956</v>
      </c>
    </row>
    <row r="3586" spans="1:1">
      <c r="A3586" s="1" t="s">
        <v>957</v>
      </c>
    </row>
    <row r="3587" spans="1:1">
      <c r="A3587" s="1" t="s">
        <v>958</v>
      </c>
    </row>
    <row r="3588" spans="1:1">
      <c r="A3588" s="1" t="s">
        <v>959</v>
      </c>
    </row>
    <row r="3589" spans="1:1">
      <c r="A3589" s="1" t="s">
        <v>960</v>
      </c>
    </row>
    <row r="3590" spans="1:1">
      <c r="A3590" s="1" t="s">
        <v>961</v>
      </c>
    </row>
    <row r="3591" spans="1:1">
      <c r="A3591" s="1" t="s">
        <v>962</v>
      </c>
    </row>
    <row r="3592" spans="1:1">
      <c r="A3592" s="1" t="s">
        <v>963</v>
      </c>
    </row>
    <row r="3593" spans="1:1">
      <c r="A3593" s="1" t="s">
        <v>964</v>
      </c>
    </row>
    <row r="3594" spans="1:1">
      <c r="A3594" s="1" t="s">
        <v>965</v>
      </c>
    </row>
    <row r="3595" spans="1:1">
      <c r="A3595" s="1" t="s">
        <v>966</v>
      </c>
    </row>
    <row r="3596" spans="1:1">
      <c r="A3596" s="1" t="s">
        <v>967</v>
      </c>
    </row>
    <row r="3597" spans="1:1">
      <c r="A3597" s="1" t="s">
        <v>968</v>
      </c>
    </row>
    <row r="3598" spans="1:1">
      <c r="A3598" s="1" t="s">
        <v>969</v>
      </c>
    </row>
    <row r="3599" spans="1:1">
      <c r="A3599" s="1" t="s">
        <v>970</v>
      </c>
    </row>
    <row r="3600" spans="1:1">
      <c r="A3600" s="1" t="s">
        <v>971</v>
      </c>
    </row>
    <row r="3601" spans="1:1">
      <c r="A3601" s="1" t="s">
        <v>972</v>
      </c>
    </row>
    <row r="3602" spans="1:1">
      <c r="A3602" s="1" t="s">
        <v>973</v>
      </c>
    </row>
    <row r="3603" spans="1:1">
      <c r="A3603" s="1" t="s">
        <v>974</v>
      </c>
    </row>
    <row r="3604" spans="1:1">
      <c r="A3604" s="1" t="s">
        <v>975</v>
      </c>
    </row>
    <row r="3605" spans="1:1">
      <c r="A3605" s="1" t="s">
        <v>976</v>
      </c>
    </row>
    <row r="3606" spans="1:1">
      <c r="A3606" s="1" t="s">
        <v>977</v>
      </c>
    </row>
    <row r="3607" spans="1:1">
      <c r="A3607" s="1" t="s">
        <v>978</v>
      </c>
    </row>
    <row r="3608" spans="1:1">
      <c r="A3608" s="1" t="s">
        <v>973</v>
      </c>
    </row>
    <row r="3609" spans="1:1">
      <c r="A3609" s="1" t="s">
        <v>974</v>
      </c>
    </row>
    <row r="3610" spans="1:1">
      <c r="A3610" s="1" t="s">
        <v>976</v>
      </c>
    </row>
    <row r="3611" spans="1:1">
      <c r="A3611" s="1" t="s">
        <v>977</v>
      </c>
    </row>
    <row r="3612" spans="1:1">
      <c r="A3612" s="1" t="s">
        <v>978</v>
      </c>
    </row>
    <row r="3613" spans="1:1">
      <c r="A3613" s="1" t="s">
        <v>979</v>
      </c>
    </row>
    <row r="3614" spans="1:1">
      <c r="A3614" s="1" t="s">
        <v>980</v>
      </c>
    </row>
    <row r="3615" spans="1:1">
      <c r="A3615" s="1" t="s">
        <v>981</v>
      </c>
    </row>
    <row r="3616" spans="1:1">
      <c r="A3616" s="1" t="s">
        <v>982</v>
      </c>
    </row>
    <row r="3617" spans="1:1">
      <c r="A3617" s="1" t="s">
        <v>983</v>
      </c>
    </row>
    <row r="3618" spans="1:1">
      <c r="A3618" s="1" t="s">
        <v>984</v>
      </c>
    </row>
    <row r="3619" spans="1:1">
      <c r="A3619" s="1" t="s">
        <v>985</v>
      </c>
    </row>
    <row r="3620" spans="1:1">
      <c r="A3620" s="1" t="s">
        <v>986</v>
      </c>
    </row>
    <row r="3621" spans="1:1">
      <c r="A3621" s="1" t="s">
        <v>985</v>
      </c>
    </row>
    <row r="3622" spans="1:1">
      <c r="A3622" s="1" t="s">
        <v>986</v>
      </c>
    </row>
    <row r="3623" spans="1:1">
      <c r="A3623" s="1" t="s">
        <v>987</v>
      </c>
    </row>
    <row r="3624" spans="1:1">
      <c r="A3624" s="1" t="s">
        <v>988</v>
      </c>
    </row>
    <row r="3625" spans="1:1">
      <c r="A3625" s="1" t="s">
        <v>989</v>
      </c>
    </row>
    <row r="3626" spans="1:1">
      <c r="A3626" s="1" t="s">
        <v>989</v>
      </c>
    </row>
    <row r="3627" spans="1:1">
      <c r="A3627" s="1" t="s">
        <v>990</v>
      </c>
    </row>
    <row r="3628" spans="1:1">
      <c r="A3628" s="1" t="s">
        <v>991</v>
      </c>
    </row>
    <row r="3629" spans="1:1">
      <c r="A3629" s="1" t="s">
        <v>992</v>
      </c>
    </row>
    <row r="3630" spans="1:1">
      <c r="A3630" s="1" t="s">
        <v>993</v>
      </c>
    </row>
    <row r="3631" spans="1:1">
      <c r="A3631" s="1" t="s">
        <v>994</v>
      </c>
    </row>
    <row r="3632" spans="1:1">
      <c r="A3632" s="1" t="s">
        <v>995</v>
      </c>
    </row>
    <row r="3633" spans="1:1">
      <c r="A3633" s="1" t="s">
        <v>996</v>
      </c>
    </row>
    <row r="3634" spans="1:1">
      <c r="A3634" s="1" t="s">
        <v>997</v>
      </c>
    </row>
    <row r="3635" spans="1:1">
      <c r="A3635" s="1" t="s">
        <v>998</v>
      </c>
    </row>
    <row r="3636" spans="1:1">
      <c r="A3636" s="1" t="s">
        <v>998</v>
      </c>
    </row>
    <row r="3637" spans="1:1">
      <c r="A3637" s="1" t="s">
        <v>998</v>
      </c>
    </row>
    <row r="3638" spans="1:1">
      <c r="A3638" s="1" t="s">
        <v>999</v>
      </c>
    </row>
    <row r="3639" spans="1:1">
      <c r="A3639" s="1" t="s">
        <v>991</v>
      </c>
    </row>
    <row r="3640" spans="1:1">
      <c r="A3640" s="1" t="s">
        <v>992</v>
      </c>
    </row>
    <row r="3641" spans="1:1">
      <c r="A3641" s="1" t="s">
        <v>993</v>
      </c>
    </row>
    <row r="3642" spans="1:1">
      <c r="A3642" s="1" t="s">
        <v>994</v>
      </c>
    </row>
    <row r="3643" spans="1:1">
      <c r="A3643" s="1" t="s">
        <v>995</v>
      </c>
    </row>
    <row r="3644" spans="1:1">
      <c r="A3644" s="1" t="s">
        <v>996</v>
      </c>
    </row>
    <row r="3645" spans="1:1">
      <c r="A3645" s="1" t="s">
        <v>997</v>
      </c>
    </row>
    <row r="3646" spans="1:1">
      <c r="A3646" s="1" t="s">
        <v>998</v>
      </c>
    </row>
    <row r="3647" spans="1:1">
      <c r="A3647" s="1" t="s">
        <v>998</v>
      </c>
    </row>
    <row r="3648" spans="1:1">
      <c r="A3648" s="1" t="s">
        <v>998</v>
      </c>
    </row>
    <row r="3649" spans="1:1">
      <c r="A3649" s="1" t="s">
        <v>999</v>
      </c>
    </row>
    <row r="3650" spans="1:1">
      <c r="A3650" s="1" t="s">
        <v>991</v>
      </c>
    </row>
    <row r="3651" spans="1:1">
      <c r="A3651" s="1" t="s">
        <v>992</v>
      </c>
    </row>
    <row r="3652" spans="1:1">
      <c r="A3652" s="1" t="s">
        <v>1000</v>
      </c>
    </row>
    <row r="3653" spans="1:1">
      <c r="A3653" s="1" t="s">
        <v>1001</v>
      </c>
    </row>
    <row r="3654" spans="1:1">
      <c r="A3654" s="1" t="s">
        <v>1002</v>
      </c>
    </row>
    <row r="3655" spans="1:1">
      <c r="A3655" s="1" t="s">
        <v>1003</v>
      </c>
    </row>
    <row r="3656" spans="1:1">
      <c r="A3656" s="1" t="s">
        <v>1004</v>
      </c>
    </row>
    <row r="3657" spans="1:1">
      <c r="A3657" s="1" t="s">
        <v>1005</v>
      </c>
    </row>
    <row r="3658" spans="1:1">
      <c r="A3658" s="1" t="s">
        <v>1005</v>
      </c>
    </row>
    <row r="3659" spans="1:1">
      <c r="A3659" s="1" t="s">
        <v>1005</v>
      </c>
    </row>
    <row r="3660" spans="1:1">
      <c r="A3660" s="1" t="s">
        <v>1006</v>
      </c>
    </row>
    <row r="3661" spans="1:1">
      <c r="A3661" s="1" t="s">
        <v>1007</v>
      </c>
    </row>
    <row r="3662" spans="1:1">
      <c r="A3662" s="1" t="s">
        <v>1008</v>
      </c>
    </row>
    <row r="3663" spans="1:1">
      <c r="A3663" s="1" t="s">
        <v>1000</v>
      </c>
    </row>
    <row r="3664" spans="1:1">
      <c r="A3664" s="1" t="s">
        <v>1001</v>
      </c>
    </row>
    <row r="3665" spans="1:1">
      <c r="A3665" s="1" t="s">
        <v>1002</v>
      </c>
    </row>
    <row r="3666" spans="1:1">
      <c r="A3666" s="1" t="s">
        <v>1003</v>
      </c>
    </row>
    <row r="3667" spans="1:1">
      <c r="A3667" s="1" t="s">
        <v>1004</v>
      </c>
    </row>
    <row r="3668" spans="1:1">
      <c r="A3668" s="1" t="s">
        <v>1005</v>
      </c>
    </row>
    <row r="3669" spans="1:1">
      <c r="A3669" s="1" t="s">
        <v>1005</v>
      </c>
    </row>
    <row r="3670" spans="1:1">
      <c r="A3670" s="1" t="s">
        <v>1005</v>
      </c>
    </row>
    <row r="3671" spans="1:1">
      <c r="A3671" s="1" t="s">
        <v>1006</v>
      </c>
    </row>
    <row r="3672" spans="1:1">
      <c r="A3672" s="1" t="s">
        <v>1007</v>
      </c>
    </row>
    <row r="3673" spans="1:1">
      <c r="A3673" s="1" t="s">
        <v>1008</v>
      </c>
    </row>
    <row r="3674" spans="1:1">
      <c r="A3674" s="1" t="s">
        <v>1000</v>
      </c>
    </row>
    <row r="3675" spans="1:1">
      <c r="A3675" s="1" t="s">
        <v>1001</v>
      </c>
    </row>
    <row r="3676" spans="1:1">
      <c r="A3676" s="1" t="s">
        <v>1002</v>
      </c>
    </row>
    <row r="3677" spans="1:1">
      <c r="A3677" s="1" t="s">
        <v>1003</v>
      </c>
    </row>
    <row r="3678" spans="1:1">
      <c r="A3678" s="1" t="s">
        <v>1004</v>
      </c>
    </row>
    <row r="3679" spans="1:1">
      <c r="A3679" s="1" t="s">
        <v>1005</v>
      </c>
    </row>
    <row r="3680" spans="1:1">
      <c r="A3680" s="1" t="s">
        <v>1005</v>
      </c>
    </row>
    <row r="3681" spans="1:1">
      <c r="A3681" s="1" t="s">
        <v>1005</v>
      </c>
    </row>
    <row r="3682" spans="1:1">
      <c r="A3682" s="1" t="s">
        <v>1006</v>
      </c>
    </row>
    <row r="3683" spans="1:1">
      <c r="A3683" s="1" t="s">
        <v>1007</v>
      </c>
    </row>
    <row r="3684" spans="1:1">
      <c r="A3684" s="1" t="s">
        <v>1008</v>
      </c>
    </row>
    <row r="3685" spans="1:1">
      <c r="A3685" s="1" t="s">
        <v>1000</v>
      </c>
    </row>
    <row r="3686" spans="1:1">
      <c r="A3686" s="1" t="s">
        <v>1001</v>
      </c>
    </row>
    <row r="3687" spans="1:1">
      <c r="A3687" s="1" t="s">
        <v>1002</v>
      </c>
    </row>
    <row r="3688" spans="1:1">
      <c r="A3688" s="1" t="s">
        <v>1003</v>
      </c>
    </row>
    <row r="3689" spans="1:1">
      <c r="A3689" s="1" t="s">
        <v>1004</v>
      </c>
    </row>
    <row r="3690" spans="1:1">
      <c r="A3690" s="1" t="s">
        <v>1005</v>
      </c>
    </row>
    <row r="3691" spans="1:1">
      <c r="A3691" s="1" t="s">
        <v>1005</v>
      </c>
    </row>
    <row r="3692" spans="1:1">
      <c r="A3692" s="1" t="s">
        <v>1005</v>
      </c>
    </row>
    <row r="3693" spans="1:1">
      <c r="A3693" s="1" t="s">
        <v>1006</v>
      </c>
    </row>
    <row r="3694" spans="1:1">
      <c r="A3694" s="1" t="s">
        <v>1007</v>
      </c>
    </row>
    <row r="3695" spans="1:1">
      <c r="A3695" s="1" t="s">
        <v>1008</v>
      </c>
    </row>
    <row r="3696" spans="1:1">
      <c r="A3696" s="1" t="s">
        <v>1000</v>
      </c>
    </row>
    <row r="3697" spans="1:1">
      <c r="A3697" s="1" t="s">
        <v>1001</v>
      </c>
    </row>
    <row r="3698" spans="1:1">
      <c r="A3698" s="1" t="s">
        <v>1002</v>
      </c>
    </row>
    <row r="3699" spans="1:1">
      <c r="A3699" s="1" t="s">
        <v>1003</v>
      </c>
    </row>
    <row r="3700" spans="1:1">
      <c r="A3700" s="1" t="s">
        <v>1004</v>
      </c>
    </row>
    <row r="3701" spans="1:1">
      <c r="A3701" s="1" t="s">
        <v>1005</v>
      </c>
    </row>
    <row r="3702" spans="1:1">
      <c r="A3702" s="1" t="s">
        <v>1005</v>
      </c>
    </row>
    <row r="3703" spans="1:1">
      <c r="A3703" s="1" t="s">
        <v>1005</v>
      </c>
    </row>
    <row r="3704" spans="1:1">
      <c r="A3704" s="1" t="s">
        <v>1006</v>
      </c>
    </row>
    <row r="3705" spans="1:1">
      <c r="A3705" s="1" t="s">
        <v>1007</v>
      </c>
    </row>
    <row r="3706" spans="1:1">
      <c r="A3706" s="1" t="s">
        <v>1008</v>
      </c>
    </row>
    <row r="3707" spans="1:1">
      <c r="A3707" s="1" t="s">
        <v>1000</v>
      </c>
    </row>
    <row r="3708" spans="1:1">
      <c r="A3708" s="1" t="s">
        <v>1001</v>
      </c>
    </row>
    <row r="3709" spans="1:1">
      <c r="A3709" s="1" t="s">
        <v>1002</v>
      </c>
    </row>
    <row r="3710" spans="1:1">
      <c r="A3710" s="1" t="s">
        <v>1003</v>
      </c>
    </row>
    <row r="3711" spans="1:1">
      <c r="A3711" s="1" t="s">
        <v>1004</v>
      </c>
    </row>
    <row r="3712" spans="1:1">
      <c r="A3712" s="1" t="s">
        <v>1009</v>
      </c>
    </row>
    <row r="3713" spans="1:1">
      <c r="A3713" s="1" t="s">
        <v>1010</v>
      </c>
    </row>
    <row r="3714" spans="1:1">
      <c r="A3714" s="1" t="s">
        <v>1011</v>
      </c>
    </row>
    <row r="3715" spans="1:1">
      <c r="A3715" s="1" t="s">
        <v>1012</v>
      </c>
    </row>
    <row r="3716" spans="1:1">
      <c r="A3716" s="1" t="s">
        <v>1013</v>
      </c>
    </row>
    <row r="3717" spans="1:1">
      <c r="A3717" s="1" t="s">
        <v>1014</v>
      </c>
    </row>
    <row r="3718" spans="1:1">
      <c r="A3718" s="1" t="s">
        <v>1015</v>
      </c>
    </row>
    <row r="3719" spans="1:1">
      <c r="A3719" s="1" t="s">
        <v>1016</v>
      </c>
    </row>
    <row r="3720" spans="1:1">
      <c r="A3720" s="1" t="s">
        <v>1017</v>
      </c>
    </row>
    <row r="3721" spans="1:1">
      <c r="A3721" s="1" t="s">
        <v>1018</v>
      </c>
    </row>
    <row r="3722" spans="1:1">
      <c r="A3722" s="1" t="s">
        <v>1019</v>
      </c>
    </row>
    <row r="3723" spans="1:1">
      <c r="A3723" s="1" t="s">
        <v>1020</v>
      </c>
    </row>
    <row r="3724" spans="1:1">
      <c r="A3724" s="1" t="s">
        <v>1021</v>
      </c>
    </row>
    <row r="3725" spans="1:1">
      <c r="A3725" s="1" t="s">
        <v>1022</v>
      </c>
    </row>
    <row r="3726" spans="1:1">
      <c r="A3726" s="1" t="s">
        <v>1023</v>
      </c>
    </row>
    <row r="3727" spans="1:1">
      <c r="A3727" s="1" t="s">
        <v>1024</v>
      </c>
    </row>
    <row r="3728" spans="1:1">
      <c r="A3728" s="1" t="s">
        <v>1025</v>
      </c>
    </row>
    <row r="3729" spans="1:1">
      <c r="A3729" s="1" t="s">
        <v>1026</v>
      </c>
    </row>
    <row r="3730" spans="1:1">
      <c r="A3730" s="1" t="s">
        <v>1027</v>
      </c>
    </row>
    <row r="3731" spans="1:1">
      <c r="A3731" s="1" t="s">
        <v>1028</v>
      </c>
    </row>
    <row r="3732" spans="1:1">
      <c r="A3732" s="1" t="s">
        <v>1029</v>
      </c>
    </row>
    <row r="3733" spans="1:1">
      <c r="A3733" s="1" t="s">
        <v>1030</v>
      </c>
    </row>
    <row r="3734" spans="1:1">
      <c r="A3734" s="1" t="s">
        <v>1031</v>
      </c>
    </row>
    <row r="3735" spans="1:1">
      <c r="A3735" s="1" t="s">
        <v>1032</v>
      </c>
    </row>
    <row r="3736" spans="1:1">
      <c r="A3736" s="1" t="s">
        <v>1033</v>
      </c>
    </row>
    <row r="3737" spans="1:1">
      <c r="A3737" s="1" t="s">
        <v>1034</v>
      </c>
    </row>
    <row r="3738" spans="1:1">
      <c r="A3738" s="1" t="s">
        <v>1035</v>
      </c>
    </row>
    <row r="3739" spans="1:1">
      <c r="A3739" s="1" t="s">
        <v>1036</v>
      </c>
    </row>
    <row r="3740" spans="1:1">
      <c r="A3740" s="1" t="s">
        <v>1037</v>
      </c>
    </row>
    <row r="3741" spans="1:1">
      <c r="A3741" s="1" t="s">
        <v>1038</v>
      </c>
    </row>
    <row r="3742" spans="1:1">
      <c r="A3742" s="1" t="s">
        <v>1039</v>
      </c>
    </row>
    <row r="3743" spans="1:1">
      <c r="A3743" s="1" t="s">
        <v>1040</v>
      </c>
    </row>
    <row r="3744" spans="1:1">
      <c r="A3744" s="1" t="s">
        <v>1041</v>
      </c>
    </row>
    <row r="3745" spans="1:1">
      <c r="A3745" s="1" t="s">
        <v>1042</v>
      </c>
    </row>
    <row r="3746" spans="1:1">
      <c r="A3746" s="1" t="s">
        <v>1043</v>
      </c>
    </row>
    <row r="3747" spans="1:1">
      <c r="A3747" s="1" t="s">
        <v>1044</v>
      </c>
    </row>
    <row r="3748" spans="1:1">
      <c r="A3748" s="1" t="s">
        <v>1045</v>
      </c>
    </row>
    <row r="3749" spans="1:1">
      <c r="A3749" s="1" t="s">
        <v>1046</v>
      </c>
    </row>
    <row r="3750" spans="1:1">
      <c r="A3750" s="1" t="s">
        <v>1047</v>
      </c>
    </row>
    <row r="3751" spans="1:1">
      <c r="A3751" s="1" t="s">
        <v>1048</v>
      </c>
    </row>
    <row r="3752" spans="1:1">
      <c r="A3752" s="1" t="s">
        <v>1049</v>
      </c>
    </row>
    <row r="3753" spans="1:1">
      <c r="A3753" s="1" t="s">
        <v>1050</v>
      </c>
    </row>
    <row r="3754" spans="1:1">
      <c r="A3754" s="1" t="s">
        <v>1051</v>
      </c>
    </row>
    <row r="3755" spans="1:1">
      <c r="A3755" s="1" t="s">
        <v>1052</v>
      </c>
    </row>
    <row r="3756" spans="1:1">
      <c r="A3756" s="1" t="s">
        <v>1053</v>
      </c>
    </row>
    <row r="3757" spans="1:1">
      <c r="A3757" s="1" t="s">
        <v>1054</v>
      </c>
    </row>
    <row r="3758" spans="1:1">
      <c r="A3758" s="1" t="s">
        <v>1055</v>
      </c>
    </row>
    <row r="3759" spans="1:1">
      <c r="A3759" s="1" t="s">
        <v>1056</v>
      </c>
    </row>
    <row r="3760" spans="1:1">
      <c r="A3760" s="1" t="s">
        <v>1057</v>
      </c>
    </row>
    <row r="3761" spans="1:1">
      <c r="A3761" s="1" t="s">
        <v>1058</v>
      </c>
    </row>
    <row r="3762" spans="1:1">
      <c r="A3762" s="1" t="s">
        <v>1059</v>
      </c>
    </row>
    <row r="3763" spans="1:1">
      <c r="A3763" s="1" t="s">
        <v>1060</v>
      </c>
    </row>
    <row r="3764" spans="1:1">
      <c r="A3764" s="1" t="s">
        <v>1061</v>
      </c>
    </row>
    <row r="3765" spans="1:1">
      <c r="A3765" s="1" t="s">
        <v>1062</v>
      </c>
    </row>
    <row r="3766" spans="1:1">
      <c r="A3766" s="1" t="s">
        <v>1063</v>
      </c>
    </row>
    <row r="3767" spans="1:1">
      <c r="A3767" s="1" t="s">
        <v>1053</v>
      </c>
    </row>
    <row r="3768" spans="1:1">
      <c r="A3768" s="1" t="s">
        <v>1054</v>
      </c>
    </row>
    <row r="3769" spans="1:1">
      <c r="A3769" s="1" t="s">
        <v>1055</v>
      </c>
    </row>
    <row r="3770" spans="1:1">
      <c r="A3770" s="1" t="s">
        <v>1056</v>
      </c>
    </row>
    <row r="3771" spans="1:1">
      <c r="A3771" s="1" t="s">
        <v>1057</v>
      </c>
    </row>
    <row r="3772" spans="1:1">
      <c r="A3772" s="1" t="s">
        <v>1064</v>
      </c>
    </row>
    <row r="3773" spans="1:1">
      <c r="A3773" s="1" t="s">
        <v>1059</v>
      </c>
    </row>
    <row r="3774" spans="1:1">
      <c r="A3774" s="1" t="s">
        <v>1060</v>
      </c>
    </row>
    <row r="3775" spans="1:1">
      <c r="A3775" s="1" t="s">
        <v>1061</v>
      </c>
    </row>
    <row r="3776" spans="1:1">
      <c r="A3776" s="1" t="s">
        <v>1062</v>
      </c>
    </row>
    <row r="3777" spans="1:1">
      <c r="A3777" s="1" t="s">
        <v>1063</v>
      </c>
    </row>
    <row r="3778" spans="1:1">
      <c r="A3778" s="1" t="s">
        <v>1065</v>
      </c>
    </row>
    <row r="3779" spans="1:1">
      <c r="A3779" s="1" t="s">
        <v>1065</v>
      </c>
    </row>
    <row r="3780" spans="1:1">
      <c r="A3780" s="1" t="s">
        <v>1066</v>
      </c>
    </row>
    <row r="3781" spans="1:1">
      <c r="A3781" s="1" t="s">
        <v>1067</v>
      </c>
    </row>
    <row r="3782" spans="1:1">
      <c r="A3782" s="1" t="s">
        <v>1067</v>
      </c>
    </row>
    <row r="3783" spans="1:1">
      <c r="A3783" s="1" t="s">
        <v>1068</v>
      </c>
    </row>
    <row r="3784" spans="1:1">
      <c r="A3784" s="1" t="s">
        <v>1069</v>
      </c>
    </row>
    <row r="3785" spans="1:1">
      <c r="A3785" s="1" t="s">
        <v>1069</v>
      </c>
    </row>
    <row r="3786" spans="1:1">
      <c r="A3786" s="1" t="s">
        <v>1070</v>
      </c>
    </row>
    <row r="3787" spans="1:1">
      <c r="A3787" s="1" t="s">
        <v>1071</v>
      </c>
    </row>
    <row r="3788" spans="1:1">
      <c r="A3788" s="1" t="s">
        <v>1072</v>
      </c>
    </row>
    <row r="3789" spans="1:1">
      <c r="A3789" s="1" t="s">
        <v>1073</v>
      </c>
    </row>
    <row r="3790" spans="1:1">
      <c r="A3790" s="1" t="s">
        <v>1074</v>
      </c>
    </row>
    <row r="3791" spans="1:1">
      <c r="A3791" s="1" t="s">
        <v>1075</v>
      </c>
    </row>
    <row r="3792" spans="1:1">
      <c r="A3792" s="1" t="s">
        <v>1076</v>
      </c>
    </row>
    <row r="3793" spans="1:1">
      <c r="A3793" s="1" t="s">
        <v>1077</v>
      </c>
    </row>
    <row r="3794" spans="1:1">
      <c r="A3794" s="1" t="s">
        <v>1078</v>
      </c>
    </row>
    <row r="3795" spans="1:1">
      <c r="A3795" s="1" t="s">
        <v>1078</v>
      </c>
    </row>
    <row r="3796" spans="1:1">
      <c r="A3796" s="1" t="s">
        <v>1078</v>
      </c>
    </row>
    <row r="3797" spans="1:1">
      <c r="A3797" s="1" t="s">
        <v>1079</v>
      </c>
    </row>
    <row r="3798" spans="1:1">
      <c r="A3798" s="1" t="s">
        <v>1071</v>
      </c>
    </row>
    <row r="3799" spans="1:1">
      <c r="A3799" s="1" t="s">
        <v>1072</v>
      </c>
    </row>
    <row r="3800" spans="1:1">
      <c r="A3800" s="1" t="s">
        <v>1073</v>
      </c>
    </row>
    <row r="3801" spans="1:1">
      <c r="A3801" s="1" t="s">
        <v>1074</v>
      </c>
    </row>
    <row r="3802" spans="1:1">
      <c r="A3802" s="1" t="s">
        <v>1075</v>
      </c>
    </row>
    <row r="3803" spans="1:1">
      <c r="A3803" s="1" t="s">
        <v>1076</v>
      </c>
    </row>
    <row r="3804" spans="1:1">
      <c r="A3804" s="1" t="s">
        <v>1077</v>
      </c>
    </row>
    <row r="3805" spans="1:1">
      <c r="A3805" s="1" t="s">
        <v>1078</v>
      </c>
    </row>
    <row r="3806" spans="1:1">
      <c r="A3806" s="1" t="s">
        <v>1078</v>
      </c>
    </row>
    <row r="3807" spans="1:1">
      <c r="A3807" s="1" t="s">
        <v>1078</v>
      </c>
    </row>
    <row r="3808" spans="1:1">
      <c r="A3808" s="1" t="s">
        <v>1079</v>
      </c>
    </row>
    <row r="3809" spans="1:1">
      <c r="A3809" s="1" t="s">
        <v>1071</v>
      </c>
    </row>
    <row r="3810" spans="1:1">
      <c r="A3810" s="1" t="s">
        <v>1072</v>
      </c>
    </row>
    <row r="3811" spans="1:1">
      <c r="A3811" s="1" t="s">
        <v>1080</v>
      </c>
    </row>
    <row r="3812" spans="1:1">
      <c r="A3812" s="1" t="s">
        <v>1080</v>
      </c>
    </row>
    <row r="3813" spans="1:1">
      <c r="A3813" s="1" t="s">
        <v>1081</v>
      </c>
    </row>
    <row r="3814" spans="1:1">
      <c r="A3814" s="1" t="s">
        <v>1082</v>
      </c>
    </row>
    <row r="3815" spans="1:1">
      <c r="A3815" s="1" t="s">
        <v>1082</v>
      </c>
    </row>
    <row r="3816" spans="1:1">
      <c r="A3816" s="1" t="s">
        <v>1083</v>
      </c>
    </row>
    <row r="3817" spans="1:1">
      <c r="A3817" s="1" t="s">
        <v>1084</v>
      </c>
    </row>
    <row r="3818" spans="1:1">
      <c r="A3818" s="1" t="s">
        <v>1085</v>
      </c>
    </row>
    <row r="3819" spans="1:1">
      <c r="A3819" s="1" t="s">
        <v>1086</v>
      </c>
    </row>
    <row r="3820" spans="1:1">
      <c r="A3820" s="1" t="s">
        <v>1087</v>
      </c>
    </row>
    <row r="3821" spans="1:1">
      <c r="A3821" s="1" t="s">
        <v>1088</v>
      </c>
    </row>
    <row r="3822" spans="1:1">
      <c r="A3822" s="1" t="s">
        <v>1089</v>
      </c>
    </row>
    <row r="3823" spans="1:1">
      <c r="A3823" s="1" t="s">
        <v>1090</v>
      </c>
    </row>
    <row r="3824" spans="1:1">
      <c r="A3824" s="1" t="s">
        <v>1091</v>
      </c>
    </row>
    <row r="3825" spans="1:1">
      <c r="A3825" s="1" t="s">
        <v>1092</v>
      </c>
    </row>
    <row r="3826" spans="1:1">
      <c r="A3826" s="1" t="s">
        <v>1093</v>
      </c>
    </row>
    <row r="3827" spans="1:1">
      <c r="A3827" s="1" t="s">
        <v>1094</v>
      </c>
    </row>
    <row r="3828" spans="1:1">
      <c r="A3828" s="1" t="s">
        <v>1095</v>
      </c>
    </row>
    <row r="3829" spans="1:1">
      <c r="A3829" s="1" t="s">
        <v>1096</v>
      </c>
    </row>
    <row r="3830" spans="1:1">
      <c r="A3830" s="1" t="s">
        <v>1096</v>
      </c>
    </row>
    <row r="3831" spans="1:1">
      <c r="A3831" s="1" t="s">
        <v>1096</v>
      </c>
    </row>
    <row r="3832" spans="1:1">
      <c r="A3832" s="1" t="s">
        <v>1096</v>
      </c>
    </row>
    <row r="3833" spans="1:1">
      <c r="A3833" s="1" t="s">
        <v>1097</v>
      </c>
    </row>
    <row r="3834" spans="1:1">
      <c r="A3834" s="1" t="s">
        <v>1097</v>
      </c>
    </row>
    <row r="3835" spans="1:1">
      <c r="A3835" s="1" t="s">
        <v>1097</v>
      </c>
    </row>
    <row r="3836" spans="1:1">
      <c r="A3836" s="1" t="s">
        <v>1098</v>
      </c>
    </row>
    <row r="3837" spans="1:1">
      <c r="A3837" s="1" t="s">
        <v>1090</v>
      </c>
    </row>
    <row r="3838" spans="1:1">
      <c r="A3838" s="1" t="s">
        <v>1099</v>
      </c>
    </row>
    <row r="3839" spans="1:1">
      <c r="A3839" s="1" t="s">
        <v>1100</v>
      </c>
    </row>
    <row r="3840" spans="1:1">
      <c r="A3840" s="1" t="s">
        <v>1101</v>
      </c>
    </row>
    <row r="3841" spans="1:1">
      <c r="A3841" s="1" t="s">
        <v>1102</v>
      </c>
    </row>
    <row r="3842" spans="1:1">
      <c r="A3842" s="1" t="s">
        <v>1103</v>
      </c>
    </row>
    <row r="3843" spans="1:1">
      <c r="A3843" s="1" t="s">
        <v>1104</v>
      </c>
    </row>
    <row r="3844" spans="1:1">
      <c r="A3844" s="1" t="s">
        <v>1104</v>
      </c>
    </row>
    <row r="3845" spans="1:1">
      <c r="A3845" s="1" t="s">
        <v>1104</v>
      </c>
    </row>
    <row r="3846" spans="1:1">
      <c r="A3846" s="1" t="s">
        <v>1104</v>
      </c>
    </row>
    <row r="3847" spans="1:1">
      <c r="A3847" s="1" t="s">
        <v>1105</v>
      </c>
    </row>
    <row r="3848" spans="1:1">
      <c r="A3848" s="1" t="s">
        <v>1105</v>
      </c>
    </row>
    <row r="3849" spans="1:1">
      <c r="A3849" s="1" t="s">
        <v>1105</v>
      </c>
    </row>
    <row r="3850" spans="1:1">
      <c r="A3850" s="1" t="s">
        <v>1106</v>
      </c>
    </row>
    <row r="3851" spans="1:1">
      <c r="A3851" s="1" t="s">
        <v>1107</v>
      </c>
    </row>
    <row r="3852" spans="1:1">
      <c r="A3852" s="1" t="s">
        <v>1108</v>
      </c>
    </row>
    <row r="3853" spans="1:1">
      <c r="A3853" s="1" t="s">
        <v>1109</v>
      </c>
    </row>
    <row r="3854" spans="1:1">
      <c r="A3854" s="1" t="s">
        <v>1110</v>
      </c>
    </row>
    <row r="3855" spans="1:1">
      <c r="A3855" s="1" t="s">
        <v>1111</v>
      </c>
    </row>
    <row r="3856" spans="1:1">
      <c r="A3856" s="1" t="s">
        <v>1112</v>
      </c>
    </row>
    <row r="3857" spans="1:1">
      <c r="A3857" s="1" t="s">
        <v>1113</v>
      </c>
    </row>
    <row r="3858" spans="1:1">
      <c r="A3858" s="1" t="s">
        <v>1113</v>
      </c>
    </row>
    <row r="3859" spans="1:1">
      <c r="A3859" s="1" t="s">
        <v>1113</v>
      </c>
    </row>
    <row r="3860" spans="1:1">
      <c r="A3860" s="1" t="s">
        <v>1113</v>
      </c>
    </row>
    <row r="3861" spans="1:1">
      <c r="A3861" s="1" t="s">
        <v>1114</v>
      </c>
    </row>
    <row r="3862" spans="1:1">
      <c r="A3862" s="1" t="s">
        <v>1114</v>
      </c>
    </row>
    <row r="3863" spans="1:1">
      <c r="A3863" s="1" t="s">
        <v>1114</v>
      </c>
    </row>
    <row r="3864" spans="1:1">
      <c r="A3864" s="1" t="s">
        <v>1115</v>
      </c>
    </row>
    <row r="3865" spans="1:1">
      <c r="A3865" s="1" t="s">
        <v>1116</v>
      </c>
    </row>
    <row r="3866" spans="1:1">
      <c r="A3866" s="1" t="s">
        <v>1117</v>
      </c>
    </row>
    <row r="3867" spans="1:1">
      <c r="A3867" s="1" t="s">
        <v>1109</v>
      </c>
    </row>
    <row r="3868" spans="1:1">
      <c r="A3868" s="1" t="s">
        <v>1110</v>
      </c>
    </row>
    <row r="3869" spans="1:1">
      <c r="A3869" s="1" t="s">
        <v>1111</v>
      </c>
    </row>
    <row r="3870" spans="1:1">
      <c r="A3870" s="1" t="s">
        <v>1112</v>
      </c>
    </row>
    <row r="3871" spans="1:1">
      <c r="A3871" s="1" t="s">
        <v>1113</v>
      </c>
    </row>
    <row r="3872" spans="1:1">
      <c r="A3872" s="1" t="s">
        <v>1113</v>
      </c>
    </row>
    <row r="3873" spans="1:1">
      <c r="A3873" s="1" t="s">
        <v>1113</v>
      </c>
    </row>
    <row r="3874" spans="1:1">
      <c r="A3874" s="1" t="s">
        <v>1113</v>
      </c>
    </row>
    <row r="3875" spans="1:1">
      <c r="A3875" s="1" t="s">
        <v>1114</v>
      </c>
    </row>
    <row r="3876" spans="1:1">
      <c r="A3876" s="1" t="s">
        <v>1114</v>
      </c>
    </row>
    <row r="3877" spans="1:1">
      <c r="A3877" s="1" t="s">
        <v>1114</v>
      </c>
    </row>
    <row r="3878" spans="1:1">
      <c r="A3878" s="1" t="s">
        <v>1115</v>
      </c>
    </row>
    <row r="3879" spans="1:1">
      <c r="A3879" s="1" t="s">
        <v>1118</v>
      </c>
    </row>
    <row r="3880" spans="1:1">
      <c r="A3880" s="1" t="s">
        <v>1119</v>
      </c>
    </row>
    <row r="3881" spans="1:1">
      <c r="A3881" s="1" t="s">
        <v>1120</v>
      </c>
    </row>
    <row r="3882" spans="1:1">
      <c r="A3882" s="1" t="s">
        <v>1121</v>
      </c>
    </row>
    <row r="3883" spans="1:1">
      <c r="A3883" s="1" t="s">
        <v>1122</v>
      </c>
    </row>
    <row r="3884" spans="1:1">
      <c r="A3884" s="1" t="s">
        <v>1123</v>
      </c>
    </row>
    <row r="3885" spans="1:1">
      <c r="A3885" s="1" t="s">
        <v>1124</v>
      </c>
    </row>
    <row r="3886" spans="1:1">
      <c r="A3886" s="1" t="s">
        <v>1124</v>
      </c>
    </row>
    <row r="3887" spans="1:1">
      <c r="A3887" s="1" t="s">
        <v>1124</v>
      </c>
    </row>
    <row r="3888" spans="1:1">
      <c r="A3888" s="1" t="s">
        <v>1124</v>
      </c>
    </row>
    <row r="3889" spans="1:1">
      <c r="A3889" s="1" t="s">
        <v>1125</v>
      </c>
    </row>
    <row r="3890" spans="1:1">
      <c r="A3890" s="1" t="s">
        <v>1125</v>
      </c>
    </row>
    <row r="3891" spans="1:1">
      <c r="A3891" s="1" t="s">
        <v>1125</v>
      </c>
    </row>
    <row r="3892" spans="1:1">
      <c r="A3892" s="1" t="s">
        <v>1126</v>
      </c>
    </row>
    <row r="3893" spans="1:1">
      <c r="A3893" s="1" t="s">
        <v>1127</v>
      </c>
    </row>
    <row r="3894" spans="1:1">
      <c r="A3894" s="1" t="s">
        <v>1128</v>
      </c>
    </row>
    <row r="3895" spans="1:1">
      <c r="A3895" s="1" t="s">
        <v>1129</v>
      </c>
    </row>
    <row r="3896" spans="1:1">
      <c r="A3896" s="1" t="s">
        <v>1130</v>
      </c>
    </row>
    <row r="3897" spans="1:1">
      <c r="A3897" s="1" t="s">
        <v>1131</v>
      </c>
    </row>
    <row r="3898" spans="1:1">
      <c r="A3898" s="1" t="s">
        <v>1132</v>
      </c>
    </row>
    <row r="3899" spans="1:1">
      <c r="A3899" s="1" t="s">
        <v>1133</v>
      </c>
    </row>
    <row r="3900" spans="1:1">
      <c r="A3900" s="1" t="s">
        <v>1133</v>
      </c>
    </row>
    <row r="3901" spans="1:1">
      <c r="A3901" s="1" t="s">
        <v>1133</v>
      </c>
    </row>
    <row r="3902" spans="1:1">
      <c r="A3902" s="1" t="s">
        <v>1133</v>
      </c>
    </row>
    <row r="3903" spans="1:1">
      <c r="A3903" s="1" t="s">
        <v>1134</v>
      </c>
    </row>
    <row r="3904" spans="1:1">
      <c r="A3904" s="1" t="s">
        <v>1134</v>
      </c>
    </row>
    <row r="3905" spans="1:1">
      <c r="A3905" s="1" t="s">
        <v>1134</v>
      </c>
    </row>
    <row r="3906" spans="1:1">
      <c r="A3906" s="1" t="s">
        <v>1135</v>
      </c>
    </row>
    <row r="3907" spans="1:1">
      <c r="A3907" s="1" t="s">
        <v>1136</v>
      </c>
    </row>
    <row r="3908" spans="1:1">
      <c r="A3908" s="1" t="s">
        <v>1137</v>
      </c>
    </row>
    <row r="3909" spans="1:1">
      <c r="A3909" s="1" t="s">
        <v>1138</v>
      </c>
    </row>
    <row r="3910" spans="1:1">
      <c r="A3910" s="1" t="s">
        <v>1139</v>
      </c>
    </row>
    <row r="3911" spans="1:1">
      <c r="A3911" s="1" t="s">
        <v>1140</v>
      </c>
    </row>
    <row r="3912" spans="1:1">
      <c r="A3912" s="1" t="s">
        <v>1141</v>
      </c>
    </row>
    <row r="3913" spans="1:1">
      <c r="A3913" s="1" t="s">
        <v>1142</v>
      </c>
    </row>
    <row r="3914" spans="1:1">
      <c r="A3914" s="1" t="s">
        <v>1142</v>
      </c>
    </row>
    <row r="3915" spans="1:1">
      <c r="A3915" s="1" t="s">
        <v>1142</v>
      </c>
    </row>
    <row r="3916" spans="1:1">
      <c r="A3916" s="1" t="s">
        <v>1142</v>
      </c>
    </row>
    <row r="3917" spans="1:1">
      <c r="A3917" s="1" t="s">
        <v>1143</v>
      </c>
    </row>
    <row r="3918" spans="1:1">
      <c r="A3918" s="1" t="s">
        <v>1143</v>
      </c>
    </row>
    <row r="3919" spans="1:1">
      <c r="A3919" s="1" t="s">
        <v>1143</v>
      </c>
    </row>
    <row r="3920" spans="1:1">
      <c r="A3920" s="1" t="s">
        <v>1144</v>
      </c>
    </row>
    <row r="3921" spans="1:1">
      <c r="A3921" s="1" t="s">
        <v>1145</v>
      </c>
    </row>
    <row r="3922" spans="1:1">
      <c r="A3922" s="1" t="s">
        <v>1146</v>
      </c>
    </row>
    <row r="3923" spans="1:1">
      <c r="A3923" s="1" t="s">
        <v>1147</v>
      </c>
    </row>
    <row r="3924" spans="1:1">
      <c r="A3924" s="1" t="s">
        <v>1148</v>
      </c>
    </row>
    <row r="3925" spans="1:1">
      <c r="A3925" s="1" t="s">
        <v>1149</v>
      </c>
    </row>
    <row r="3926" spans="1:1">
      <c r="A3926" s="1" t="s">
        <v>1150</v>
      </c>
    </row>
    <row r="3927" spans="1:1">
      <c r="A3927" s="1" t="s">
        <v>1151</v>
      </c>
    </row>
    <row r="3928" spans="1:1">
      <c r="A3928" s="1" t="s">
        <v>1151</v>
      </c>
    </row>
    <row r="3929" spans="1:1">
      <c r="A3929" s="1" t="s">
        <v>1151</v>
      </c>
    </row>
    <row r="3930" spans="1:1">
      <c r="A3930" s="1" t="s">
        <v>1151</v>
      </c>
    </row>
    <row r="3931" spans="1:1">
      <c r="A3931" s="1" t="s">
        <v>1152</v>
      </c>
    </row>
    <row r="3932" spans="1:1">
      <c r="A3932" s="1" t="s">
        <v>1152</v>
      </c>
    </row>
    <row r="3933" spans="1:1">
      <c r="A3933" s="1" t="s">
        <v>1152</v>
      </c>
    </row>
    <row r="3934" spans="1:1">
      <c r="A3934" s="1" t="s">
        <v>1153</v>
      </c>
    </row>
    <row r="3935" spans="1:1">
      <c r="A3935" s="1" t="s">
        <v>1145</v>
      </c>
    </row>
    <row r="3936" spans="1:1">
      <c r="A3936" s="1" t="s">
        <v>1146</v>
      </c>
    </row>
    <row r="3937" spans="1:1">
      <c r="A3937" s="1" t="s">
        <v>1147</v>
      </c>
    </row>
    <row r="3938" spans="1:1">
      <c r="A3938" s="1" t="s">
        <v>1148</v>
      </c>
    </row>
    <row r="3939" spans="1:1">
      <c r="A3939" s="1" t="s">
        <v>1149</v>
      </c>
    </row>
    <row r="3940" spans="1:1">
      <c r="A3940" s="1" t="s">
        <v>1150</v>
      </c>
    </row>
    <row r="3941" spans="1:1">
      <c r="A3941" s="1" t="s">
        <v>1151</v>
      </c>
    </row>
    <row r="3942" spans="1:1">
      <c r="A3942" s="1" t="s">
        <v>1151</v>
      </c>
    </row>
    <row r="3943" spans="1:1">
      <c r="A3943" s="1" t="s">
        <v>1151</v>
      </c>
    </row>
    <row r="3944" spans="1:1">
      <c r="A3944" s="1" t="s">
        <v>1151</v>
      </c>
    </row>
    <row r="3945" spans="1:1">
      <c r="A3945" s="1" t="s">
        <v>1152</v>
      </c>
    </row>
    <row r="3946" spans="1:1">
      <c r="A3946" s="1" t="s">
        <v>1152</v>
      </c>
    </row>
    <row r="3947" spans="1:1">
      <c r="A3947" s="1" t="s">
        <v>1152</v>
      </c>
    </row>
    <row r="3948" spans="1:1">
      <c r="A3948" s="1" t="s">
        <v>1153</v>
      </c>
    </row>
    <row r="3949" spans="1:1">
      <c r="A3949" s="1" t="s">
        <v>1154</v>
      </c>
    </row>
    <row r="3950" spans="1:1">
      <c r="A3950" s="1" t="s">
        <v>1155</v>
      </c>
    </row>
    <row r="3951" spans="1:1">
      <c r="A3951" s="1" t="s">
        <v>1156</v>
      </c>
    </row>
    <row r="3952" spans="1:1">
      <c r="A3952" s="1" t="s">
        <v>1157</v>
      </c>
    </row>
    <row r="3953" spans="1:1">
      <c r="A3953" s="1" t="s">
        <v>1158</v>
      </c>
    </row>
    <row r="3954" spans="1:1">
      <c r="A3954" s="1" t="s">
        <v>1159</v>
      </c>
    </row>
    <row r="3955" spans="1:1">
      <c r="A3955" s="1" t="s">
        <v>1160</v>
      </c>
    </row>
    <row r="3956" spans="1:1">
      <c r="A3956" s="1" t="s">
        <v>1160</v>
      </c>
    </row>
    <row r="3957" spans="1:1">
      <c r="A3957" s="1" t="s">
        <v>1160</v>
      </c>
    </row>
    <row r="3958" spans="1:1">
      <c r="A3958" s="1" t="s">
        <v>1160</v>
      </c>
    </row>
    <row r="3959" spans="1:1">
      <c r="A3959" s="1" t="s">
        <v>1161</v>
      </c>
    </row>
    <row r="3960" spans="1:1">
      <c r="A3960" s="1" t="s">
        <v>1161</v>
      </c>
    </row>
    <row r="3961" spans="1:1">
      <c r="A3961" s="1" t="s">
        <v>1161</v>
      </c>
    </row>
    <row r="3962" spans="1:1">
      <c r="A3962" s="1" t="s">
        <v>1162</v>
      </c>
    </row>
    <row r="3963" spans="1:1">
      <c r="A3963" s="1" t="s">
        <v>1154</v>
      </c>
    </row>
    <row r="3964" spans="1:1">
      <c r="A3964" s="1" t="s">
        <v>1155</v>
      </c>
    </row>
    <row r="3965" spans="1:1">
      <c r="A3965" s="1" t="s">
        <v>1156</v>
      </c>
    </row>
    <row r="3966" spans="1:1">
      <c r="A3966" s="1" t="s">
        <v>1157</v>
      </c>
    </row>
    <row r="3967" spans="1:1">
      <c r="A3967" s="1" t="s">
        <v>1158</v>
      </c>
    </row>
    <row r="3968" spans="1:1">
      <c r="A3968" s="1" t="s">
        <v>1159</v>
      </c>
    </row>
    <row r="3969" spans="1:1">
      <c r="A3969" s="1" t="s">
        <v>1160</v>
      </c>
    </row>
    <row r="3970" spans="1:1">
      <c r="A3970" s="1" t="s">
        <v>1160</v>
      </c>
    </row>
    <row r="3971" spans="1:1">
      <c r="A3971" s="1" t="s">
        <v>1160</v>
      </c>
    </row>
    <row r="3972" spans="1:1">
      <c r="A3972" s="1" t="s">
        <v>1160</v>
      </c>
    </row>
    <row r="3973" spans="1:1">
      <c r="A3973" s="1" t="s">
        <v>1161</v>
      </c>
    </row>
    <row r="3974" spans="1:1">
      <c r="A3974" s="1" t="s">
        <v>1163</v>
      </c>
    </row>
    <row r="3975" spans="1:1">
      <c r="A3975" s="1" t="s">
        <v>1163</v>
      </c>
    </row>
    <row r="3976" spans="1:1">
      <c r="A3976" s="1" t="s">
        <v>1164</v>
      </c>
    </row>
    <row r="3977" spans="1:1">
      <c r="A3977" s="1" t="s">
        <v>1165</v>
      </c>
    </row>
    <row r="3978" spans="1:1">
      <c r="A3978" s="1" t="s">
        <v>1166</v>
      </c>
    </row>
    <row r="3979" spans="1:1">
      <c r="A3979" s="1" t="s">
        <v>1167</v>
      </c>
    </row>
    <row r="3980" spans="1:1">
      <c r="A3980" s="1" t="s">
        <v>1168</v>
      </c>
    </row>
    <row r="3981" spans="1:1">
      <c r="A3981" s="1" t="s">
        <v>1169</v>
      </c>
    </row>
    <row r="3982" spans="1:1">
      <c r="A3982" s="1" t="s">
        <v>1170</v>
      </c>
    </row>
    <row r="3983" spans="1:1">
      <c r="A3983" s="1" t="s">
        <v>1171</v>
      </c>
    </row>
    <row r="3984" spans="1:1">
      <c r="A3984" s="1" t="s">
        <v>1171</v>
      </c>
    </row>
    <row r="3985" spans="1:1">
      <c r="A3985" s="1" t="s">
        <v>1171</v>
      </c>
    </row>
    <row r="3986" spans="1:1">
      <c r="A3986" s="1" t="s">
        <v>1171</v>
      </c>
    </row>
    <row r="3987" spans="1:1">
      <c r="A3987" s="1" t="s">
        <v>1172</v>
      </c>
    </row>
    <row r="3988" spans="1:1">
      <c r="A3988" s="1" t="s">
        <v>1172</v>
      </c>
    </row>
    <row r="3989" spans="1:1">
      <c r="A3989" s="1" t="s">
        <v>1172</v>
      </c>
    </row>
    <row r="3990" spans="1:1">
      <c r="A3990" s="1" t="s">
        <v>1173</v>
      </c>
    </row>
    <row r="3991" spans="1:1">
      <c r="A3991" s="1" t="s">
        <v>1174</v>
      </c>
    </row>
    <row r="3992" spans="1:1">
      <c r="A3992" s="1" t="s">
        <v>1175</v>
      </c>
    </row>
    <row r="3993" spans="1:1">
      <c r="A3993" s="1" t="s">
        <v>1176</v>
      </c>
    </row>
    <row r="3994" spans="1:1">
      <c r="A3994" s="1" t="s">
        <v>1177</v>
      </c>
    </row>
    <row r="3995" spans="1:1">
      <c r="A3995" s="1" t="s">
        <v>1178</v>
      </c>
    </row>
    <row r="3996" spans="1:1">
      <c r="A3996" s="1" t="s">
        <v>1179</v>
      </c>
    </row>
    <row r="3997" spans="1:1">
      <c r="A3997" s="1" t="s">
        <v>1180</v>
      </c>
    </row>
    <row r="3998" spans="1:1">
      <c r="A3998" s="1" t="s">
        <v>1180</v>
      </c>
    </row>
    <row r="3999" spans="1:1">
      <c r="A3999" s="1" t="s">
        <v>1180</v>
      </c>
    </row>
    <row r="4000" spans="1:1">
      <c r="A4000" s="1" t="s">
        <v>1180</v>
      </c>
    </row>
    <row r="4001" spans="1:1">
      <c r="A4001" s="1" t="s">
        <v>1181</v>
      </c>
    </row>
    <row r="4002" spans="1:1">
      <c r="A4002" s="1" t="s">
        <v>1181</v>
      </c>
    </row>
    <row r="4003" spans="1:1">
      <c r="A4003" s="1" t="s">
        <v>1181</v>
      </c>
    </row>
    <row r="4004" spans="1:1">
      <c r="A4004" s="1" t="s">
        <v>1182</v>
      </c>
    </row>
    <row r="4005" spans="1:1">
      <c r="A4005" s="1" t="s">
        <v>1183</v>
      </c>
    </row>
    <row r="4006" spans="1:1">
      <c r="A4006" s="1" t="s">
        <v>1184</v>
      </c>
    </row>
    <row r="4007" spans="1:1">
      <c r="A4007" s="1" t="s">
        <v>1185</v>
      </c>
    </row>
    <row r="4008" spans="1:1">
      <c r="A4008" s="1" t="s">
        <v>1186</v>
      </c>
    </row>
    <row r="4009" spans="1:1">
      <c r="A4009" s="1" t="s">
        <v>1187</v>
      </c>
    </row>
    <row r="4010" spans="1:1">
      <c r="A4010" s="1" t="s">
        <v>1188</v>
      </c>
    </row>
    <row r="4011" spans="1:1">
      <c r="A4011" s="1" t="s">
        <v>1189</v>
      </c>
    </row>
    <row r="4012" spans="1:1">
      <c r="A4012" s="1" t="s">
        <v>1189</v>
      </c>
    </row>
    <row r="4013" spans="1:1">
      <c r="A4013" s="1" t="s">
        <v>1189</v>
      </c>
    </row>
    <row r="4014" spans="1:1">
      <c r="A4014" s="1" t="s">
        <v>1189</v>
      </c>
    </row>
    <row r="4015" spans="1:1">
      <c r="A4015" s="1" t="s">
        <v>1190</v>
      </c>
    </row>
    <row r="4016" spans="1:1">
      <c r="A4016" s="1" t="s">
        <v>1191</v>
      </c>
    </row>
    <row r="4017" spans="1:1">
      <c r="A4017" s="1" t="s">
        <v>1192</v>
      </c>
    </row>
    <row r="4018" spans="1:1">
      <c r="A4018" s="1" t="s">
        <v>1193</v>
      </c>
    </row>
    <row r="4019" spans="1:1">
      <c r="A4019" s="1" t="s">
        <v>1194</v>
      </c>
    </row>
    <row r="4020" spans="1:1">
      <c r="A4020" s="1" t="s">
        <v>1195</v>
      </c>
    </row>
    <row r="4021" spans="1:1">
      <c r="A4021" s="1" t="s">
        <v>1196</v>
      </c>
    </row>
    <row r="4022" spans="1:1">
      <c r="A4022" s="1" t="s">
        <v>1197</v>
      </c>
    </row>
    <row r="4023" spans="1:1">
      <c r="A4023" s="1" t="s">
        <v>1198</v>
      </c>
    </row>
    <row r="4024" spans="1:1">
      <c r="A4024" s="1" t="s">
        <v>1199</v>
      </c>
    </row>
    <row r="4025" spans="1:1">
      <c r="A4025" s="1" t="s">
        <v>1200</v>
      </c>
    </row>
    <row r="4026" spans="1:1">
      <c r="A4026" s="1" t="s">
        <v>1201</v>
      </c>
    </row>
    <row r="4027" spans="1:1">
      <c r="A4027" s="1" t="s">
        <v>1202</v>
      </c>
    </row>
    <row r="4028" spans="1:1">
      <c r="A4028" s="1" t="s">
        <v>1203</v>
      </c>
    </row>
    <row r="4029" spans="1:1">
      <c r="A4029" s="1" t="s">
        <v>1204</v>
      </c>
    </row>
    <row r="4030" spans="1:1">
      <c r="A4030" s="1" t="s">
        <v>1205</v>
      </c>
    </row>
    <row r="4031" spans="1:1">
      <c r="A4031" s="1" t="s">
        <v>1206</v>
      </c>
    </row>
    <row r="4032" spans="1:1">
      <c r="A4032" s="1" t="s">
        <v>1207</v>
      </c>
    </row>
    <row r="4033" spans="1:1">
      <c r="A4033" s="1" t="s">
        <v>1208</v>
      </c>
    </row>
    <row r="4034" spans="1:1">
      <c r="A4034" s="1" t="s">
        <v>1209</v>
      </c>
    </row>
    <row r="4035" spans="1:1">
      <c r="A4035" s="1" t="s">
        <v>1210</v>
      </c>
    </row>
    <row r="4036" spans="1:1">
      <c r="A4036" s="1" t="s">
        <v>1211</v>
      </c>
    </row>
    <row r="4037" spans="1:1">
      <c r="A4037" s="1" t="s">
        <v>1212</v>
      </c>
    </row>
    <row r="4038" spans="1:1">
      <c r="A4038" s="1" t="s">
        <v>1213</v>
      </c>
    </row>
    <row r="4039" spans="1:1">
      <c r="A4039" s="1" t="s">
        <v>1214</v>
      </c>
    </row>
    <row r="4040" spans="1:1">
      <c r="A4040" s="1" t="s">
        <v>1215</v>
      </c>
    </row>
    <row r="4041" spans="1:1">
      <c r="A4041" s="1" t="s">
        <v>1216</v>
      </c>
    </row>
    <row r="4042" spans="1:1">
      <c r="A4042" s="1" t="s">
        <v>1217</v>
      </c>
    </row>
    <row r="4043" spans="1:1">
      <c r="A4043" s="1" t="s">
        <v>1218</v>
      </c>
    </row>
    <row r="4044" spans="1:1">
      <c r="A4044" s="1" t="s">
        <v>1219</v>
      </c>
    </row>
    <row r="4045" spans="1:1">
      <c r="A4045" s="1" t="s">
        <v>1220</v>
      </c>
    </row>
    <row r="4046" spans="1:1">
      <c r="A4046" s="1" t="s">
        <v>1221</v>
      </c>
    </row>
    <row r="4047" spans="1:1">
      <c r="A4047" s="1" t="s">
        <v>1222</v>
      </c>
    </row>
    <row r="4048" spans="1:1">
      <c r="A4048" s="1" t="s">
        <v>1223</v>
      </c>
    </row>
    <row r="4049" spans="1:1">
      <c r="A4049" s="1" t="s">
        <v>1224</v>
      </c>
    </row>
    <row r="4050" spans="1:1">
      <c r="A4050" s="1" t="s">
        <v>1225</v>
      </c>
    </row>
    <row r="4051" spans="1:1">
      <c r="A4051" s="1" t="s">
        <v>1226</v>
      </c>
    </row>
    <row r="4052" spans="1:1">
      <c r="A4052" s="1" t="s">
        <v>1227</v>
      </c>
    </row>
    <row r="4053" spans="1:1">
      <c r="A4053" s="1" t="s">
        <v>1228</v>
      </c>
    </row>
    <row r="4054" spans="1:1">
      <c r="A4054" s="1" t="s">
        <v>1229</v>
      </c>
    </row>
    <row r="4055" spans="1:1">
      <c r="A4055" s="1" t="s">
        <v>1230</v>
      </c>
    </row>
    <row r="4056" spans="1:1">
      <c r="A4056" s="1" t="s">
        <v>1231</v>
      </c>
    </row>
    <row r="4057" spans="1:1">
      <c r="A4057" s="1" t="s">
        <v>1232</v>
      </c>
    </row>
    <row r="4058" spans="1:1">
      <c r="A4058" s="1" t="s">
        <v>1233</v>
      </c>
    </row>
    <row r="4059" spans="1:1">
      <c r="A4059" s="1" t="s">
        <v>1234</v>
      </c>
    </row>
    <row r="4060" spans="1:1">
      <c r="A4060" s="1" t="s">
        <v>1235</v>
      </c>
    </row>
    <row r="4061" spans="1:1">
      <c r="A4061" s="1" t="s">
        <v>1236</v>
      </c>
    </row>
    <row r="4062" spans="1:1">
      <c r="A4062" s="1" t="s">
        <v>1237</v>
      </c>
    </row>
    <row r="4063" spans="1:1">
      <c r="A4063" s="1" t="s">
        <v>1238</v>
      </c>
    </row>
    <row r="4064" spans="1:1">
      <c r="A4064" s="1" t="s">
        <v>1239</v>
      </c>
    </row>
    <row r="4065" spans="1:1">
      <c r="A4065" s="1" t="s">
        <v>1240</v>
      </c>
    </row>
    <row r="4066" spans="1:1">
      <c r="A4066" s="1" t="s">
        <v>1241</v>
      </c>
    </row>
    <row r="4067" spans="1:1">
      <c r="A4067" s="1" t="s">
        <v>1242</v>
      </c>
    </row>
    <row r="4068" spans="1:1">
      <c r="A4068" s="1" t="s">
        <v>1243</v>
      </c>
    </row>
    <row r="4069" spans="1:1">
      <c r="A4069" s="1" t="s">
        <v>1244</v>
      </c>
    </row>
    <row r="4070" spans="1:1">
      <c r="A4070" s="1" t="s">
        <v>1245</v>
      </c>
    </row>
    <row r="4071" spans="1:1">
      <c r="A4071" s="1" t="s">
        <v>1246</v>
      </c>
    </row>
    <row r="4072" spans="1:1">
      <c r="A4072" s="1" t="s">
        <v>1247</v>
      </c>
    </row>
    <row r="4073" spans="1:1">
      <c r="A4073" s="1" t="s">
        <v>1248</v>
      </c>
    </row>
    <row r="4074" spans="1:1">
      <c r="A4074" s="1" t="s">
        <v>1249</v>
      </c>
    </row>
    <row r="4075" spans="1:1">
      <c r="A4075" s="1" t="s">
        <v>1250</v>
      </c>
    </row>
    <row r="4076" spans="1:1">
      <c r="A4076" s="1" t="s">
        <v>1251</v>
      </c>
    </row>
    <row r="4077" spans="1:1">
      <c r="A4077" s="1" t="s">
        <v>1252</v>
      </c>
    </row>
    <row r="4078" spans="1:1">
      <c r="A4078" s="1" t="s">
        <v>1253</v>
      </c>
    </row>
    <row r="4079" spans="1:1">
      <c r="A4079" s="1" t="s">
        <v>1254</v>
      </c>
    </row>
    <row r="4080" spans="1:1">
      <c r="A4080" s="1" t="s">
        <v>1255</v>
      </c>
    </row>
    <row r="4081" spans="1:1">
      <c r="A4081" s="1" t="s">
        <v>1256</v>
      </c>
    </row>
    <row r="4082" spans="1:1">
      <c r="A4082" s="1" t="s">
        <v>1257</v>
      </c>
    </row>
    <row r="4083" spans="1:1">
      <c r="A4083" s="1" t="s">
        <v>1258</v>
      </c>
    </row>
    <row r="4084" spans="1:1">
      <c r="A4084" s="1" t="s">
        <v>1259</v>
      </c>
    </row>
    <row r="4085" spans="1:1">
      <c r="A4085" s="1" t="s">
        <v>1260</v>
      </c>
    </row>
    <row r="4086" spans="1:1">
      <c r="A4086" s="1" t="s">
        <v>1261</v>
      </c>
    </row>
    <row r="4087" spans="1:1">
      <c r="A4087" s="1" t="s">
        <v>1262</v>
      </c>
    </row>
    <row r="4088" spans="1:1">
      <c r="A4088" s="1" t="s">
        <v>1263</v>
      </c>
    </row>
    <row r="4089" spans="1:1">
      <c r="A4089" s="1" t="s">
        <v>1264</v>
      </c>
    </row>
    <row r="4090" spans="1:1">
      <c r="A4090" s="1" t="s">
        <v>1265</v>
      </c>
    </row>
    <row r="4091" spans="1:1">
      <c r="A4091" s="1" t="s">
        <v>1266</v>
      </c>
    </row>
    <row r="4092" spans="1:1">
      <c r="A4092" s="1" t="s">
        <v>1267</v>
      </c>
    </row>
    <row r="4093" spans="1:1">
      <c r="A4093" s="1" t="s">
        <v>1268</v>
      </c>
    </row>
    <row r="4094" spans="1:1">
      <c r="A4094" s="1" t="s">
        <v>1269</v>
      </c>
    </row>
    <row r="4095" spans="1:1">
      <c r="A4095" s="1" t="s">
        <v>1270</v>
      </c>
    </row>
    <row r="4096" spans="1:1">
      <c r="A4096" s="1" t="s">
        <v>1271</v>
      </c>
    </row>
    <row r="4097" spans="1:1">
      <c r="A4097" s="1" t="s">
        <v>1272</v>
      </c>
    </row>
    <row r="4098" spans="1:1">
      <c r="A4098" s="1" t="s">
        <v>1273</v>
      </c>
    </row>
    <row r="4099" spans="1:1">
      <c r="A4099" s="1" t="s">
        <v>1274</v>
      </c>
    </row>
    <row r="4100" spans="1:1">
      <c r="A4100" s="1" t="s">
        <v>1275</v>
      </c>
    </row>
    <row r="4101" spans="1:1">
      <c r="A4101" s="1" t="s">
        <v>1276</v>
      </c>
    </row>
    <row r="4102" spans="1:1">
      <c r="A4102" s="1" t="s">
        <v>1277</v>
      </c>
    </row>
    <row r="4103" spans="1:1">
      <c r="A4103" s="1" t="s">
        <v>1278</v>
      </c>
    </row>
    <row r="4104" spans="1:1">
      <c r="A4104" s="1" t="s">
        <v>1279</v>
      </c>
    </row>
    <row r="4105" spans="1:1">
      <c r="A4105" s="1" t="s">
        <v>1280</v>
      </c>
    </row>
    <row r="4106" spans="1:1">
      <c r="A4106" s="1" t="s">
        <v>1281</v>
      </c>
    </row>
    <row r="4107" spans="1:1">
      <c r="A4107" s="1" t="s">
        <v>1282</v>
      </c>
    </row>
    <row r="4108" spans="1:1">
      <c r="A4108" s="1" t="s">
        <v>1283</v>
      </c>
    </row>
    <row r="4109" spans="1:1">
      <c r="A4109" s="1" t="s">
        <v>1284</v>
      </c>
    </row>
    <row r="4110" spans="1:1">
      <c r="A4110" s="1" t="s">
        <v>1285</v>
      </c>
    </row>
    <row r="4111" spans="1:1">
      <c r="A4111" s="1" t="s">
        <v>1286</v>
      </c>
    </row>
    <row r="4112" spans="1:1">
      <c r="A4112" s="1" t="s">
        <v>1287</v>
      </c>
    </row>
    <row r="4113" spans="1:1">
      <c r="A4113" s="1" t="s">
        <v>1288</v>
      </c>
    </row>
    <row r="4114" spans="1:1">
      <c r="A4114" s="1" t="s">
        <v>1289</v>
      </c>
    </row>
    <row r="4115" spans="1:1">
      <c r="A4115" s="1" t="s">
        <v>1290</v>
      </c>
    </row>
    <row r="4116" spans="1:1">
      <c r="A4116" s="1" t="s">
        <v>1291</v>
      </c>
    </row>
    <row r="4117" spans="1:1">
      <c r="A4117" s="1" t="s">
        <v>1292</v>
      </c>
    </row>
    <row r="4118" spans="1:1">
      <c r="A4118" s="1" t="s">
        <v>1293</v>
      </c>
    </row>
    <row r="4119" spans="1:1">
      <c r="A4119" s="1" t="s">
        <v>1294</v>
      </c>
    </row>
    <row r="4120" spans="1:1">
      <c r="A4120" s="1" t="s">
        <v>1295</v>
      </c>
    </row>
    <row r="4121" spans="1:1">
      <c r="A4121" s="1" t="s">
        <v>1296</v>
      </c>
    </row>
    <row r="4122" spans="1:1">
      <c r="A4122" s="1" t="s">
        <v>1297</v>
      </c>
    </row>
    <row r="4123" spans="1:1">
      <c r="A4123" s="1" t="s">
        <v>1298</v>
      </c>
    </row>
    <row r="4124" spans="1:1">
      <c r="A4124" s="1" t="s">
        <v>1299</v>
      </c>
    </row>
    <row r="4125" spans="1:1">
      <c r="A4125" s="1" t="s">
        <v>1300</v>
      </c>
    </row>
    <row r="4126" spans="1:1">
      <c r="A4126" s="1" t="s">
        <v>1301</v>
      </c>
    </row>
    <row r="4127" spans="1:1">
      <c r="A4127" s="1" t="s">
        <v>1302</v>
      </c>
    </row>
    <row r="4128" spans="1:1">
      <c r="A4128" s="1" t="s">
        <v>1303</v>
      </c>
    </row>
    <row r="4129" spans="1:1">
      <c r="A4129" s="1" t="s">
        <v>1304</v>
      </c>
    </row>
    <row r="4130" spans="1:1">
      <c r="A4130" s="1" t="s">
        <v>1305</v>
      </c>
    </row>
    <row r="4131" spans="1:1">
      <c r="A4131" s="1" t="s">
        <v>1306</v>
      </c>
    </row>
    <row r="4132" spans="1:1">
      <c r="A4132" s="1" t="s">
        <v>1307</v>
      </c>
    </row>
    <row r="4133" spans="1:1">
      <c r="A4133" s="1" t="s">
        <v>1308</v>
      </c>
    </row>
    <row r="4134" spans="1:1">
      <c r="A4134" s="1" t="s">
        <v>1309</v>
      </c>
    </row>
    <row r="4135" spans="1:1">
      <c r="A4135" s="1" t="s">
        <v>1310</v>
      </c>
    </row>
    <row r="4136" spans="1:1">
      <c r="A4136" s="1" t="s">
        <v>1311</v>
      </c>
    </row>
    <row r="4137" spans="1:1">
      <c r="A4137" s="1" t="s">
        <v>1312</v>
      </c>
    </row>
    <row r="4138" spans="1:1">
      <c r="A4138" s="1" t="s">
        <v>1313</v>
      </c>
    </row>
    <row r="4139" spans="1:1">
      <c r="A4139" s="1" t="s">
        <v>1314</v>
      </c>
    </row>
    <row r="4140" spans="1:1">
      <c r="A4140" s="1" t="s">
        <v>1315</v>
      </c>
    </row>
    <row r="4141" spans="1:1">
      <c r="A4141" s="1" t="s">
        <v>1316</v>
      </c>
    </row>
    <row r="4142" spans="1:1">
      <c r="A4142" s="1" t="s">
        <v>1317</v>
      </c>
    </row>
    <row r="4143" spans="1:1">
      <c r="A4143" s="1" t="s">
        <v>1318</v>
      </c>
    </row>
    <row r="4144" spans="1:1">
      <c r="A4144" s="1" t="s">
        <v>1319</v>
      </c>
    </row>
    <row r="4145" spans="1:1">
      <c r="A4145" s="1" t="s">
        <v>1320</v>
      </c>
    </row>
    <row r="4146" spans="1:1">
      <c r="A4146" s="1" t="s">
        <v>1321</v>
      </c>
    </row>
    <row r="4147" spans="1:1">
      <c r="A4147" s="1" t="s">
        <v>1322</v>
      </c>
    </row>
    <row r="4148" spans="1:1">
      <c r="A4148" s="1" t="s">
        <v>1323</v>
      </c>
    </row>
    <row r="4149" spans="1:1">
      <c r="A4149" s="1" t="s">
        <v>1323</v>
      </c>
    </row>
    <row r="4150" spans="1:1">
      <c r="A4150" s="1" t="s">
        <v>1324</v>
      </c>
    </row>
    <row r="4151" spans="1:1">
      <c r="A4151" s="1" t="s">
        <v>1325</v>
      </c>
    </row>
    <row r="4152" spans="1:1">
      <c r="A4152" s="1" t="s">
        <v>1326</v>
      </c>
    </row>
    <row r="4153" spans="1:1">
      <c r="A4153" s="1" t="s">
        <v>1327</v>
      </c>
    </row>
    <row r="4154" spans="1:1">
      <c r="A4154" s="1" t="s">
        <v>1328</v>
      </c>
    </row>
    <row r="4155" spans="1:1">
      <c r="A4155" s="1" t="s">
        <v>1329</v>
      </c>
    </row>
    <row r="4156" spans="1:1">
      <c r="A4156" s="1" t="s">
        <v>1330</v>
      </c>
    </row>
    <row r="4157" spans="1:1">
      <c r="A4157" s="1" t="s">
        <v>1331</v>
      </c>
    </row>
    <row r="4158" spans="1:1">
      <c r="A4158" s="1" t="s">
        <v>1331</v>
      </c>
    </row>
    <row r="4159" spans="1:1">
      <c r="A4159" s="1" t="s">
        <v>1331</v>
      </c>
    </row>
    <row r="4160" spans="1:1">
      <c r="A4160" s="1" t="s">
        <v>1331</v>
      </c>
    </row>
    <row r="4161" spans="1:1">
      <c r="A4161" s="1" t="s">
        <v>1332</v>
      </c>
    </row>
    <row r="4162" spans="1:1">
      <c r="A4162" s="1" t="s">
        <v>1332</v>
      </c>
    </row>
    <row r="4163" spans="1:1">
      <c r="A4163" s="1" t="s">
        <v>1332</v>
      </c>
    </row>
    <row r="4164" spans="1:1">
      <c r="A4164" s="1" t="s">
        <v>1333</v>
      </c>
    </row>
    <row r="4165" spans="1:1">
      <c r="A4165" s="1" t="s">
        <v>1325</v>
      </c>
    </row>
    <row r="4166" spans="1:1">
      <c r="A4166" s="1" t="s">
        <v>1326</v>
      </c>
    </row>
    <row r="4167" spans="1:1">
      <c r="A4167" s="1" t="s">
        <v>1327</v>
      </c>
    </row>
    <row r="4168" spans="1:1">
      <c r="A4168" s="1" t="s">
        <v>1328</v>
      </c>
    </row>
    <row r="4169" spans="1:1">
      <c r="A4169" s="1" t="s">
        <v>1329</v>
      </c>
    </row>
    <row r="4170" spans="1:1">
      <c r="A4170" s="1" t="s">
        <v>1330</v>
      </c>
    </row>
    <row r="4171" spans="1:1">
      <c r="A4171" s="1" t="s">
        <v>1331</v>
      </c>
    </row>
    <row r="4172" spans="1:1">
      <c r="A4172" s="1" t="s">
        <v>1331</v>
      </c>
    </row>
    <row r="4173" spans="1:1">
      <c r="A4173" s="1" t="s">
        <v>1331</v>
      </c>
    </row>
    <row r="4174" spans="1:1">
      <c r="A4174" s="1" t="s">
        <v>1331</v>
      </c>
    </row>
    <row r="4175" spans="1:1">
      <c r="A4175" s="1" t="s">
        <v>1332</v>
      </c>
    </row>
    <row r="4176" spans="1:1">
      <c r="A4176" s="1" t="s">
        <v>1332</v>
      </c>
    </row>
    <row r="4177" spans="1:1">
      <c r="A4177" s="1" t="s">
        <v>1332</v>
      </c>
    </row>
    <row r="4178" spans="1:1">
      <c r="A4178" s="1" t="s">
        <v>1333</v>
      </c>
    </row>
    <row r="4179" spans="1:1">
      <c r="A4179" s="1" t="s">
        <v>1334</v>
      </c>
    </row>
    <row r="4180" spans="1:1">
      <c r="A4180" s="1" t="s">
        <v>1335</v>
      </c>
    </row>
    <row r="4181" spans="1:1">
      <c r="A4181" s="1" t="s">
        <v>1336</v>
      </c>
    </row>
    <row r="4182" spans="1:1">
      <c r="A4182" s="1" t="s">
        <v>1337</v>
      </c>
    </row>
    <row r="4183" spans="1:1">
      <c r="A4183" s="1" t="s">
        <v>1338</v>
      </c>
    </row>
    <row r="4184" spans="1:1">
      <c r="A4184" s="1" t="s">
        <v>1339</v>
      </c>
    </row>
    <row r="4185" spans="1:1">
      <c r="A4185" s="1" t="s">
        <v>1340</v>
      </c>
    </row>
    <row r="4186" spans="1:1">
      <c r="A4186" s="1" t="s">
        <v>1340</v>
      </c>
    </row>
    <row r="4187" spans="1:1">
      <c r="A4187" s="1" t="s">
        <v>1340</v>
      </c>
    </row>
    <row r="4188" spans="1:1">
      <c r="A4188" s="1" t="s">
        <v>1340</v>
      </c>
    </row>
    <row r="4189" spans="1:1">
      <c r="A4189" s="1" t="s">
        <v>1341</v>
      </c>
    </row>
    <row r="4190" spans="1:1">
      <c r="A4190" s="1" t="s">
        <v>1341</v>
      </c>
    </row>
    <row r="4191" spans="1:1">
      <c r="A4191" s="1" t="s">
        <v>1341</v>
      </c>
    </row>
    <row r="4192" spans="1:1">
      <c r="A4192" s="1" t="s">
        <v>1342</v>
      </c>
    </row>
    <row r="4193" spans="1:1">
      <c r="A4193" s="1" t="s">
        <v>1343</v>
      </c>
    </row>
    <row r="4194" spans="1:1">
      <c r="A4194" s="1" t="s">
        <v>1344</v>
      </c>
    </row>
    <row r="4195" spans="1:1">
      <c r="A4195" s="1" t="s">
        <v>1336</v>
      </c>
    </row>
    <row r="4196" spans="1:1">
      <c r="A4196" s="1" t="s">
        <v>1345</v>
      </c>
    </row>
    <row r="4197" spans="1:1">
      <c r="A4197" s="1" t="s">
        <v>1346</v>
      </c>
    </row>
    <row r="4198" spans="1:1">
      <c r="A4198" s="1" t="s">
        <v>1347</v>
      </c>
    </row>
    <row r="4199" spans="1:1">
      <c r="A4199" s="1" t="s">
        <v>1348</v>
      </c>
    </row>
    <row r="4200" spans="1:1">
      <c r="A4200" s="1" t="s">
        <v>1348</v>
      </c>
    </row>
    <row r="4201" spans="1:1">
      <c r="A4201" s="1" t="s">
        <v>1348</v>
      </c>
    </row>
    <row r="4202" spans="1:1">
      <c r="A4202" s="1" t="s">
        <v>1348</v>
      </c>
    </row>
    <row r="4203" spans="1:1">
      <c r="A4203" s="1" t="s">
        <v>1349</v>
      </c>
    </row>
    <row r="4204" spans="1:1">
      <c r="A4204" s="1" t="s">
        <v>1349</v>
      </c>
    </row>
    <row r="4205" spans="1:1">
      <c r="A4205" s="1" t="s">
        <v>1349</v>
      </c>
    </row>
    <row r="4206" spans="1:1">
      <c r="A4206" s="1" t="s">
        <v>1350</v>
      </c>
    </row>
    <row r="4207" spans="1:1">
      <c r="A4207" s="1" t="s">
        <v>1351</v>
      </c>
    </row>
    <row r="4208" spans="1:1">
      <c r="A4208" s="1" t="s">
        <v>1352</v>
      </c>
    </row>
    <row r="4209" spans="1:1">
      <c r="A4209" s="1" t="s">
        <v>1353</v>
      </c>
    </row>
    <row r="4210" spans="1:1">
      <c r="A4210" s="1" t="s">
        <v>1354</v>
      </c>
    </row>
    <row r="4211" spans="1:1">
      <c r="A4211" s="1" t="s">
        <v>1355</v>
      </c>
    </row>
    <row r="4212" spans="1:1">
      <c r="A4212" s="1" t="s">
        <v>1356</v>
      </c>
    </row>
    <row r="4213" spans="1:1">
      <c r="A4213" s="1" t="s">
        <v>1357</v>
      </c>
    </row>
    <row r="4214" spans="1:1">
      <c r="A4214" s="1" t="s">
        <v>1357</v>
      </c>
    </row>
    <row r="4215" spans="1:1">
      <c r="A4215" s="1" t="s">
        <v>1357</v>
      </c>
    </row>
    <row r="4216" spans="1:1">
      <c r="A4216" s="1" t="s">
        <v>1357</v>
      </c>
    </row>
    <row r="4217" spans="1:1">
      <c r="A4217" s="1" t="s">
        <v>1358</v>
      </c>
    </row>
    <row r="4218" spans="1:1">
      <c r="A4218" s="1" t="s">
        <v>1358</v>
      </c>
    </row>
    <row r="4219" spans="1:1">
      <c r="A4219" s="1" t="s">
        <v>1358</v>
      </c>
    </row>
    <row r="4220" spans="1:1">
      <c r="A4220" s="1" t="s">
        <v>1359</v>
      </c>
    </row>
    <row r="4221" spans="1:1">
      <c r="A4221" s="1" t="s">
        <v>1360</v>
      </c>
    </row>
    <row r="4222" spans="1:1">
      <c r="A4222" s="1" t="s">
        <v>1361</v>
      </c>
    </row>
    <row r="4223" spans="1:1">
      <c r="A4223" s="1" t="s">
        <v>1362</v>
      </c>
    </row>
    <row r="4224" spans="1:1">
      <c r="A4224" s="1" t="s">
        <v>1363</v>
      </c>
    </row>
    <row r="4225" spans="1:1">
      <c r="A4225" s="1" t="s">
        <v>1364</v>
      </c>
    </row>
    <row r="4226" spans="1:1">
      <c r="A4226" s="1" t="s">
        <v>1365</v>
      </c>
    </row>
    <row r="4227" spans="1:1">
      <c r="A4227" s="1" t="s">
        <v>1366</v>
      </c>
    </row>
    <row r="4228" spans="1:1">
      <c r="A4228" s="1" t="s">
        <v>1366</v>
      </c>
    </row>
    <row r="4229" spans="1:1">
      <c r="A4229" s="1" t="s">
        <v>1366</v>
      </c>
    </row>
    <row r="4230" spans="1:1">
      <c r="A4230" s="1" t="s">
        <v>1366</v>
      </c>
    </row>
    <row r="4231" spans="1:1">
      <c r="A4231" s="1" t="s">
        <v>1367</v>
      </c>
    </row>
    <row r="4232" spans="1:1">
      <c r="A4232" s="1" t="s">
        <v>1367</v>
      </c>
    </row>
    <row r="4233" spans="1:1">
      <c r="A4233" s="1" t="s">
        <v>1367</v>
      </c>
    </row>
    <row r="4234" spans="1:1">
      <c r="A4234" s="1" t="s">
        <v>1368</v>
      </c>
    </row>
    <row r="4235" spans="1:1">
      <c r="A4235" s="1" t="s">
        <v>1369</v>
      </c>
    </row>
    <row r="4236" spans="1:1">
      <c r="A4236" s="1" t="s">
        <v>1370</v>
      </c>
    </row>
    <row r="4237" spans="1:1">
      <c r="A4237" s="1" t="s">
        <v>1371</v>
      </c>
    </row>
    <row r="4238" spans="1:1">
      <c r="A4238" s="1" t="s">
        <v>1372</v>
      </c>
    </row>
    <row r="4239" spans="1:1">
      <c r="A4239" s="1" t="s">
        <v>1373</v>
      </c>
    </row>
    <row r="4240" spans="1:1">
      <c r="A4240" s="1" t="s">
        <v>1374</v>
      </c>
    </row>
    <row r="4241" spans="1:1">
      <c r="A4241" s="1" t="s">
        <v>1375</v>
      </c>
    </row>
    <row r="4242" spans="1:1">
      <c r="A4242" s="1" t="s">
        <v>1375</v>
      </c>
    </row>
    <row r="4243" spans="1:1">
      <c r="A4243" s="1" t="s">
        <v>1375</v>
      </c>
    </row>
    <row r="4244" spans="1:1">
      <c r="A4244" s="1" t="s">
        <v>1375</v>
      </c>
    </row>
    <row r="4245" spans="1:1">
      <c r="A4245" s="1" t="s">
        <v>1376</v>
      </c>
    </row>
    <row r="4246" spans="1:1">
      <c r="A4246" s="1" t="s">
        <v>1376</v>
      </c>
    </row>
    <row r="4247" spans="1:1">
      <c r="A4247" s="1" t="s">
        <v>1376</v>
      </c>
    </row>
    <row r="4248" spans="1:1">
      <c r="A4248" s="1" t="s">
        <v>1377</v>
      </c>
    </row>
    <row r="4249" spans="1:1">
      <c r="A4249" s="1" t="s">
        <v>1378</v>
      </c>
    </row>
    <row r="4250" spans="1:1">
      <c r="A4250" s="1" t="s">
        <v>1379</v>
      </c>
    </row>
    <row r="4251" spans="1:1">
      <c r="A4251" s="1" t="s">
        <v>1380</v>
      </c>
    </row>
    <row r="4252" spans="1:1">
      <c r="A4252" s="1" t="s">
        <v>1381</v>
      </c>
    </row>
    <row r="4253" spans="1:1">
      <c r="A4253" s="1" t="s">
        <v>1382</v>
      </c>
    </row>
    <row r="4254" spans="1:1">
      <c r="A4254" s="1" t="s">
        <v>1383</v>
      </c>
    </row>
    <row r="4255" spans="1:1">
      <c r="A4255" s="1" t="s">
        <v>1384</v>
      </c>
    </row>
    <row r="4256" spans="1:1">
      <c r="A4256" s="1" t="s">
        <v>1385</v>
      </c>
    </row>
    <row r="4257" spans="1:1">
      <c r="A4257" s="1" t="s">
        <v>1386</v>
      </c>
    </row>
    <row r="4258" spans="1:1">
      <c r="A4258" s="1" t="s">
        <v>1387</v>
      </c>
    </row>
    <row r="4259" spans="1:1">
      <c r="A4259" s="1" t="s">
        <v>1387</v>
      </c>
    </row>
    <row r="4260" spans="1:1">
      <c r="A4260" s="1" t="s">
        <v>1387</v>
      </c>
    </row>
    <row r="4261" spans="1:1">
      <c r="A4261" s="1" t="s">
        <v>1387</v>
      </c>
    </row>
    <row r="4262" spans="1:1">
      <c r="A4262" s="1" t="s">
        <v>1388</v>
      </c>
    </row>
    <row r="4263" spans="1:1">
      <c r="A4263" s="1" t="s">
        <v>1389</v>
      </c>
    </row>
    <row r="4264" spans="1:1">
      <c r="A4264" s="1" t="s">
        <v>1389</v>
      </c>
    </row>
    <row r="4265" spans="1:1">
      <c r="A4265" s="1" t="s">
        <v>1390</v>
      </c>
    </row>
    <row r="4266" spans="1:1">
      <c r="A4266" s="1" t="s">
        <v>1391</v>
      </c>
    </row>
    <row r="4267" spans="1:1">
      <c r="A4267" s="1" t="s">
        <v>1391</v>
      </c>
    </row>
    <row r="4268" spans="1:1">
      <c r="A4268" s="1" t="s">
        <v>1392</v>
      </c>
    </row>
    <row r="4269" spans="1:1">
      <c r="A4269" s="1" t="s">
        <v>1393</v>
      </c>
    </row>
    <row r="4270" spans="1:1">
      <c r="A4270" s="1" t="s">
        <v>1394</v>
      </c>
    </row>
    <row r="4271" spans="1:1">
      <c r="A4271" s="1" t="s">
        <v>1395</v>
      </c>
    </row>
    <row r="4272" spans="1:1">
      <c r="A4272" s="1" t="s">
        <v>1396</v>
      </c>
    </row>
    <row r="4273" spans="1:1">
      <c r="A4273" s="1" t="s">
        <v>1397</v>
      </c>
    </row>
    <row r="4274" spans="1:1">
      <c r="A4274" s="1" t="s">
        <v>1398</v>
      </c>
    </row>
    <row r="4275" spans="1:1">
      <c r="A4275" s="1" t="s">
        <v>1399</v>
      </c>
    </row>
    <row r="4276" spans="1:1">
      <c r="A4276" s="1" t="s">
        <v>1399</v>
      </c>
    </row>
    <row r="4277" spans="1:1">
      <c r="A4277" s="1" t="s">
        <v>1399</v>
      </c>
    </row>
    <row r="4278" spans="1:1">
      <c r="A4278" s="1" t="s">
        <v>1399</v>
      </c>
    </row>
    <row r="4279" spans="1:1">
      <c r="A4279" s="1" t="s">
        <v>1400</v>
      </c>
    </row>
    <row r="4280" spans="1:1">
      <c r="A4280" s="1" t="s">
        <v>1400</v>
      </c>
    </row>
    <row r="4281" spans="1:1">
      <c r="A4281" s="1" t="s">
        <v>1400</v>
      </c>
    </row>
    <row r="4282" spans="1:1">
      <c r="A4282" s="1" t="s">
        <v>1401</v>
      </c>
    </row>
    <row r="4283" spans="1:1">
      <c r="A4283" s="1" t="s">
        <v>1393</v>
      </c>
    </row>
    <row r="4284" spans="1:1">
      <c r="A4284" s="1" t="s">
        <v>1402</v>
      </c>
    </row>
    <row r="4285" spans="1:1">
      <c r="A4285" s="1" t="s">
        <v>1403</v>
      </c>
    </row>
    <row r="4286" spans="1:1">
      <c r="A4286" s="1" t="s">
        <v>1404</v>
      </c>
    </row>
    <row r="4287" spans="1:1">
      <c r="A4287" s="1" t="s">
        <v>1405</v>
      </c>
    </row>
    <row r="4288" spans="1:1">
      <c r="A4288" s="1" t="s">
        <v>1406</v>
      </c>
    </row>
    <row r="4289" spans="1:1">
      <c r="A4289" s="1" t="s">
        <v>1407</v>
      </c>
    </row>
    <row r="4290" spans="1:1">
      <c r="A4290" s="1" t="s">
        <v>1407</v>
      </c>
    </row>
    <row r="4291" spans="1:1">
      <c r="A4291" s="1" t="s">
        <v>1407</v>
      </c>
    </row>
    <row r="4292" spans="1:1">
      <c r="A4292" s="1" t="s">
        <v>1407</v>
      </c>
    </row>
    <row r="4293" spans="1:1">
      <c r="A4293" s="1" t="s">
        <v>1408</v>
      </c>
    </row>
    <row r="4294" spans="1:1">
      <c r="A4294" s="1" t="s">
        <v>1408</v>
      </c>
    </row>
    <row r="4295" spans="1:1">
      <c r="A4295" s="1" t="s">
        <v>1408</v>
      </c>
    </row>
    <row r="4296" spans="1:1">
      <c r="A4296" s="1" t="s">
        <v>1409</v>
      </c>
    </row>
    <row r="4297" spans="1:1">
      <c r="A4297" s="1" t="s">
        <v>1410</v>
      </c>
    </row>
    <row r="4298" spans="1:1">
      <c r="A4298" s="1" t="s">
        <v>1402</v>
      </c>
    </row>
    <row r="4299" spans="1:1">
      <c r="A4299" s="1" t="s">
        <v>1411</v>
      </c>
    </row>
    <row r="4300" spans="1:1">
      <c r="A4300" s="1" t="s">
        <v>1412</v>
      </c>
    </row>
    <row r="4301" spans="1:1">
      <c r="A4301" s="1" t="s">
        <v>1413</v>
      </c>
    </row>
    <row r="4302" spans="1:1">
      <c r="A4302" s="1" t="s">
        <v>1414</v>
      </c>
    </row>
    <row r="4303" spans="1:1">
      <c r="A4303" s="1" t="s">
        <v>1415</v>
      </c>
    </row>
    <row r="4304" spans="1:1">
      <c r="A4304" s="1" t="s">
        <v>1415</v>
      </c>
    </row>
    <row r="4305" spans="1:1">
      <c r="A4305" s="1" t="s">
        <v>1415</v>
      </c>
    </row>
    <row r="4306" spans="1:1">
      <c r="A4306" s="1" t="s">
        <v>1415</v>
      </c>
    </row>
    <row r="4307" spans="1:1">
      <c r="A4307" s="1" t="s">
        <v>1416</v>
      </c>
    </row>
    <row r="4308" spans="1:1">
      <c r="A4308" s="1" t="s">
        <v>1416</v>
      </c>
    </row>
    <row r="4309" spans="1:1">
      <c r="A4309" s="1" t="s">
        <v>1416</v>
      </c>
    </row>
    <row r="4310" spans="1:1">
      <c r="A4310" s="1" t="s">
        <v>1417</v>
      </c>
    </row>
    <row r="4311" spans="1:1">
      <c r="A4311" s="1" t="s">
        <v>1418</v>
      </c>
    </row>
    <row r="4312" spans="1:1">
      <c r="A4312" s="1" t="s">
        <v>1419</v>
      </c>
    </row>
    <row r="4313" spans="1:1">
      <c r="A4313" s="1" t="s">
        <v>1411</v>
      </c>
    </row>
    <row r="4314" spans="1:1">
      <c r="A4314" s="1" t="s">
        <v>1420</v>
      </c>
    </row>
    <row r="4315" spans="1:1">
      <c r="A4315" s="1" t="s">
        <v>1421</v>
      </c>
    </row>
    <row r="4316" spans="1:1">
      <c r="A4316" s="1" t="s">
        <v>1422</v>
      </c>
    </row>
    <row r="4317" spans="1:1">
      <c r="A4317" s="1" t="s">
        <v>1423</v>
      </c>
    </row>
    <row r="4318" spans="1:1">
      <c r="A4318" s="1" t="s">
        <v>1423</v>
      </c>
    </row>
    <row r="4319" spans="1:1">
      <c r="A4319" s="1" t="s">
        <v>1423</v>
      </c>
    </row>
    <row r="4320" spans="1:1">
      <c r="A4320" s="1" t="s">
        <v>1423</v>
      </c>
    </row>
    <row r="4321" spans="1:1">
      <c r="A4321" s="1" t="s">
        <v>1424</v>
      </c>
    </row>
    <row r="4322" spans="1:1">
      <c r="A4322" s="1" t="s">
        <v>1424</v>
      </c>
    </row>
    <row r="4323" spans="1:1">
      <c r="A4323" s="1" t="s">
        <v>1424</v>
      </c>
    </row>
    <row r="4324" spans="1:1">
      <c r="A4324" s="1" t="s">
        <v>1425</v>
      </c>
    </row>
    <row r="4325" spans="1:1">
      <c r="A4325" s="1" t="s">
        <v>1426</v>
      </c>
    </row>
    <row r="4326" spans="1:1">
      <c r="A4326" s="1" t="s">
        <v>1427</v>
      </c>
    </row>
    <row r="4327" spans="1:1">
      <c r="A4327" s="1" t="s">
        <v>1428</v>
      </c>
    </row>
    <row r="4328" spans="1:1">
      <c r="A4328" s="1" t="s">
        <v>1420</v>
      </c>
    </row>
    <row r="4329" spans="1:1">
      <c r="A4329" s="1" t="s">
        <v>1421</v>
      </c>
    </row>
    <row r="4330" spans="1:1">
      <c r="A4330" s="1" t="s">
        <v>1422</v>
      </c>
    </row>
    <row r="4331" spans="1:1">
      <c r="A4331" s="1" t="s">
        <v>1423</v>
      </c>
    </row>
    <row r="4332" spans="1:1">
      <c r="A4332" s="1" t="s">
        <v>1423</v>
      </c>
    </row>
    <row r="4333" spans="1:1">
      <c r="A4333" s="1" t="s">
        <v>1423</v>
      </c>
    </row>
    <row r="4334" spans="1:1">
      <c r="A4334" s="1" t="s">
        <v>1423</v>
      </c>
    </row>
    <row r="4335" spans="1:1">
      <c r="A4335" s="1" t="s">
        <v>1424</v>
      </c>
    </row>
    <row r="4336" spans="1:1">
      <c r="A4336" s="1" t="s">
        <v>1424</v>
      </c>
    </row>
    <row r="4337" spans="1:1">
      <c r="A4337" s="1" t="s">
        <v>1424</v>
      </c>
    </row>
    <row r="4338" spans="1:1">
      <c r="A4338" s="1" t="s">
        <v>1425</v>
      </c>
    </row>
    <row r="4339" spans="1:1">
      <c r="A4339" s="1" t="s">
        <v>1426</v>
      </c>
    </row>
    <row r="4340" spans="1:1">
      <c r="A4340" s="1" t="s">
        <v>1427</v>
      </c>
    </row>
    <row r="4341" spans="1:1">
      <c r="A4341" s="1" t="s">
        <v>1428</v>
      </c>
    </row>
    <row r="4342" spans="1:1">
      <c r="A4342" s="1" t="s">
        <v>1420</v>
      </c>
    </row>
    <row r="4343" spans="1:1">
      <c r="A4343" s="1" t="s">
        <v>1421</v>
      </c>
    </row>
    <row r="4344" spans="1:1">
      <c r="A4344" s="1" t="s">
        <v>1422</v>
      </c>
    </row>
    <row r="4345" spans="1:1">
      <c r="A4345" s="1" t="s">
        <v>1423</v>
      </c>
    </row>
    <row r="4346" spans="1:1">
      <c r="A4346" s="1" t="s">
        <v>1423</v>
      </c>
    </row>
    <row r="4347" spans="1:1">
      <c r="A4347" s="1" t="s">
        <v>1423</v>
      </c>
    </row>
    <row r="4348" spans="1:1">
      <c r="A4348" s="1" t="s">
        <v>1423</v>
      </c>
    </row>
    <row r="4349" spans="1:1">
      <c r="A4349" s="1" t="s">
        <v>1424</v>
      </c>
    </row>
    <row r="4350" spans="1:1">
      <c r="A4350" s="1" t="s">
        <v>1424</v>
      </c>
    </row>
    <row r="4351" spans="1:1">
      <c r="A4351" s="1" t="s">
        <v>1424</v>
      </c>
    </row>
    <row r="4352" spans="1:1">
      <c r="A4352" s="1" t="s">
        <v>1425</v>
      </c>
    </row>
    <row r="4353" spans="1:1">
      <c r="A4353" s="1" t="s">
        <v>1426</v>
      </c>
    </row>
    <row r="4354" spans="1:1">
      <c r="A4354" s="1" t="s">
        <v>1427</v>
      </c>
    </row>
    <row r="4355" spans="1:1">
      <c r="A4355" s="1" t="s">
        <v>1428</v>
      </c>
    </row>
    <row r="4356" spans="1:1">
      <c r="A4356" s="1" t="s">
        <v>1420</v>
      </c>
    </row>
    <row r="4357" spans="1:1">
      <c r="A4357" s="1" t="s">
        <v>1421</v>
      </c>
    </row>
    <row r="4358" spans="1:1">
      <c r="A4358" s="1" t="s">
        <v>1422</v>
      </c>
    </row>
    <row r="4359" spans="1:1">
      <c r="A4359" s="1" t="s">
        <v>1423</v>
      </c>
    </row>
    <row r="4360" spans="1:1">
      <c r="A4360" s="1" t="s">
        <v>1423</v>
      </c>
    </row>
    <row r="4361" spans="1:1">
      <c r="A4361" s="1" t="s">
        <v>1423</v>
      </c>
    </row>
    <row r="4362" spans="1:1">
      <c r="A4362" s="1" t="s">
        <v>1423</v>
      </c>
    </row>
    <row r="4363" spans="1:1">
      <c r="A4363" s="1" t="s">
        <v>1424</v>
      </c>
    </row>
    <row r="4364" spans="1:1">
      <c r="A4364" s="1" t="s">
        <v>1429</v>
      </c>
    </row>
    <row r="4365" spans="1:1">
      <c r="A4365" s="1" t="s">
        <v>1429</v>
      </c>
    </row>
    <row r="4366" spans="1:1">
      <c r="A4366" s="1" t="s">
        <v>1430</v>
      </c>
    </row>
    <row r="4367" spans="1:1">
      <c r="A4367" s="1" t="s">
        <v>1431</v>
      </c>
    </row>
    <row r="4368" spans="1:1">
      <c r="A4368" s="1" t="s">
        <v>1432</v>
      </c>
    </row>
    <row r="4369" spans="1:1">
      <c r="A4369" s="1" t="s">
        <v>1433</v>
      </c>
    </row>
    <row r="4370" spans="1:1">
      <c r="A4370" s="1" t="s">
        <v>1434</v>
      </c>
    </row>
    <row r="4371" spans="1:1">
      <c r="A4371" s="1" t="s">
        <v>1435</v>
      </c>
    </row>
    <row r="4372" spans="1:1">
      <c r="A4372" s="1" t="s">
        <v>1436</v>
      </c>
    </row>
    <row r="4373" spans="1:1">
      <c r="A4373" s="1" t="s">
        <v>1437</v>
      </c>
    </row>
    <row r="4374" spans="1:1">
      <c r="A4374" s="1" t="s">
        <v>1438</v>
      </c>
    </row>
    <row r="4375" spans="1:1">
      <c r="A4375" s="1" t="s">
        <v>1438</v>
      </c>
    </row>
    <row r="4376" spans="1:1">
      <c r="A4376" s="1" t="s">
        <v>1438</v>
      </c>
    </row>
    <row r="4377" spans="1:1">
      <c r="A4377" s="1" t="s">
        <v>1439</v>
      </c>
    </row>
    <row r="4378" spans="1:1">
      <c r="A4378" s="1" t="s">
        <v>1439</v>
      </c>
    </row>
    <row r="4379" spans="1:1">
      <c r="A4379" s="1" t="s">
        <v>1439</v>
      </c>
    </row>
    <row r="4380" spans="1:1">
      <c r="A4380" s="1" t="s">
        <v>1440</v>
      </c>
    </row>
    <row r="4381" spans="1:1">
      <c r="A4381" s="1" t="s">
        <v>1441</v>
      </c>
    </row>
    <row r="4382" spans="1:1">
      <c r="A4382" s="1" t="s">
        <v>1442</v>
      </c>
    </row>
    <row r="4383" spans="1:1">
      <c r="A4383" s="1" t="s">
        <v>1443</v>
      </c>
    </row>
    <row r="4384" spans="1:1">
      <c r="A4384" s="1" t="s">
        <v>1444</v>
      </c>
    </row>
    <row r="4385" spans="1:1">
      <c r="A4385" s="1" t="s">
        <v>1445</v>
      </c>
    </row>
    <row r="4386" spans="1:1">
      <c r="A4386" s="1" t="s">
        <v>1446</v>
      </c>
    </row>
    <row r="4387" spans="1:1">
      <c r="A4387" s="1" t="s">
        <v>1438</v>
      </c>
    </row>
    <row r="4388" spans="1:1">
      <c r="A4388" s="1" t="s">
        <v>1438</v>
      </c>
    </row>
    <row r="4389" spans="1:1">
      <c r="A4389" s="1" t="s">
        <v>1438</v>
      </c>
    </row>
    <row r="4390" spans="1:1">
      <c r="A4390" s="1" t="s">
        <v>1438</v>
      </c>
    </row>
    <row r="4391" spans="1:1">
      <c r="A4391" s="1" t="s">
        <v>1439</v>
      </c>
    </row>
    <row r="4392" spans="1:1">
      <c r="A4392" s="1" t="s">
        <v>1439</v>
      </c>
    </row>
    <row r="4393" spans="1:1">
      <c r="A4393" s="1" t="s">
        <v>1439</v>
      </c>
    </row>
    <row r="4394" spans="1:1">
      <c r="A4394" s="1" t="s">
        <v>1440</v>
      </c>
    </row>
    <row r="4395" spans="1:1">
      <c r="A4395" s="1" t="s">
        <v>1441</v>
      </c>
    </row>
    <row r="4396" spans="1:1">
      <c r="A4396" s="1" t="s">
        <v>1442</v>
      </c>
    </row>
    <row r="4397" spans="1:1">
      <c r="A4397" s="1" t="s">
        <v>1443</v>
      </c>
    </row>
    <row r="4398" spans="1:1">
      <c r="A4398" s="1" t="s">
        <v>1444</v>
      </c>
    </row>
    <row r="4399" spans="1:1">
      <c r="A4399" s="1" t="s">
        <v>1445</v>
      </c>
    </row>
    <row r="4400" spans="1:1">
      <c r="A4400" s="1" t="s">
        <v>1446</v>
      </c>
    </row>
    <row r="4401" spans="1:1">
      <c r="A4401" s="1" t="s">
        <v>1438</v>
      </c>
    </row>
    <row r="4402" spans="1:1">
      <c r="A4402" s="1" t="s">
        <v>1438</v>
      </c>
    </row>
    <row r="4403" spans="1:1">
      <c r="A4403" s="1" t="s">
        <v>1438</v>
      </c>
    </row>
    <row r="4404" spans="1:1">
      <c r="A4404" s="1" t="s">
        <v>1438</v>
      </c>
    </row>
    <row r="4405" spans="1:1">
      <c r="A4405" s="1" t="s">
        <v>1439</v>
      </c>
    </row>
    <row r="4406" spans="1:1">
      <c r="A4406" s="1" t="s">
        <v>1439</v>
      </c>
    </row>
    <row r="4407" spans="1:1">
      <c r="A4407" s="1" t="s">
        <v>1439</v>
      </c>
    </row>
    <row r="4408" spans="1:1">
      <c r="A4408" s="1" t="s">
        <v>1440</v>
      </c>
    </row>
    <row r="4409" spans="1:1">
      <c r="A4409" s="1" t="s">
        <v>1441</v>
      </c>
    </row>
    <row r="4410" spans="1:1">
      <c r="A4410" s="1" t="s">
        <v>1442</v>
      </c>
    </row>
    <row r="4411" spans="1:1">
      <c r="A4411" s="1" t="s">
        <v>1443</v>
      </c>
    </row>
    <row r="4412" spans="1:1">
      <c r="A4412" s="1" t="s">
        <v>1444</v>
      </c>
    </row>
    <row r="4413" spans="1:1">
      <c r="A4413" s="1" t="s">
        <v>1445</v>
      </c>
    </row>
    <row r="4414" spans="1:1">
      <c r="A4414" s="1" t="s">
        <v>1446</v>
      </c>
    </row>
    <row r="4415" spans="1:1">
      <c r="A4415" s="1" t="s">
        <v>1438</v>
      </c>
    </row>
    <row r="4416" spans="1:1">
      <c r="A4416" s="1" t="s">
        <v>1438</v>
      </c>
    </row>
    <row r="4417" spans="1:1">
      <c r="A4417" s="1" t="s">
        <v>1438</v>
      </c>
    </row>
    <row r="4418" spans="1:1">
      <c r="A4418" s="1" t="s">
        <v>1438</v>
      </c>
    </row>
    <row r="4419" spans="1:1">
      <c r="A4419" s="1" t="s">
        <v>1439</v>
      </c>
    </row>
    <row r="4420" spans="1:1">
      <c r="A4420" s="1" t="s">
        <v>1447</v>
      </c>
    </row>
    <row r="4421" spans="1:1">
      <c r="A4421" s="1" t="s">
        <v>1448</v>
      </c>
    </row>
    <row r="4422" spans="1:1">
      <c r="A4422" s="1" t="s">
        <v>1449</v>
      </c>
    </row>
    <row r="4423" spans="1:1">
      <c r="A4423" s="1" t="s">
        <v>1450</v>
      </c>
    </row>
    <row r="4424" spans="1:1">
      <c r="A4424" s="1" t="s">
        <v>1451</v>
      </c>
    </row>
    <row r="4425" spans="1:1">
      <c r="A4425" s="1" t="s">
        <v>1452</v>
      </c>
    </row>
    <row r="4426" spans="1:1">
      <c r="A4426" s="1" t="s">
        <v>1453</v>
      </c>
    </row>
    <row r="4427" spans="1:1">
      <c r="A4427" s="1" t="s">
        <v>1454</v>
      </c>
    </row>
    <row r="4428" spans="1:1">
      <c r="A4428" s="1" t="s">
        <v>1455</v>
      </c>
    </row>
    <row r="4429" spans="1:1">
      <c r="A4429" s="1" t="s">
        <v>1456</v>
      </c>
    </row>
    <row r="4430" spans="1:1">
      <c r="A4430" s="1" t="s">
        <v>1457</v>
      </c>
    </row>
    <row r="4431" spans="1:1">
      <c r="A4431" s="1" t="s">
        <v>1458</v>
      </c>
    </row>
    <row r="4432" spans="1:1">
      <c r="A4432" s="1" t="s">
        <v>1459</v>
      </c>
    </row>
    <row r="4433" spans="1:1">
      <c r="A4433" s="1" t="s">
        <v>1460</v>
      </c>
    </row>
    <row r="4434" spans="1:1">
      <c r="A4434" s="1" t="s">
        <v>1461</v>
      </c>
    </row>
    <row r="4435" spans="1:1">
      <c r="A4435" s="1" t="s">
        <v>1462</v>
      </c>
    </row>
    <row r="4436" spans="1:1">
      <c r="A4436" s="1" t="s">
        <v>1463</v>
      </c>
    </row>
    <row r="4437" spans="1:1">
      <c r="A4437" s="1" t="s">
        <v>1464</v>
      </c>
    </row>
    <row r="4438" spans="1:1">
      <c r="A4438" s="1" t="s">
        <v>1465</v>
      </c>
    </row>
    <row r="4439" spans="1:1">
      <c r="A4439" s="1" t="s">
        <v>1466</v>
      </c>
    </row>
    <row r="4440" spans="1:1">
      <c r="A4440" s="1" t="s">
        <v>1467</v>
      </c>
    </row>
    <row r="4441" spans="1:1">
      <c r="A4441" s="1" t="s">
        <v>1468</v>
      </c>
    </row>
    <row r="4442" spans="1:1">
      <c r="A4442" s="1" t="s">
        <v>1469</v>
      </c>
    </row>
    <row r="4443" spans="1:1">
      <c r="A4443" s="1" t="s">
        <v>1470</v>
      </c>
    </row>
    <row r="4444" spans="1:1">
      <c r="A4444" s="1" t="s">
        <v>1471</v>
      </c>
    </row>
    <row r="4445" spans="1:1">
      <c r="A4445" s="1" t="s">
        <v>1472</v>
      </c>
    </row>
    <row r="4446" spans="1:1">
      <c r="A4446" s="1" t="s">
        <v>1473</v>
      </c>
    </row>
    <row r="4447" spans="1:1">
      <c r="A4447" s="1" t="s">
        <v>1474</v>
      </c>
    </row>
    <row r="4448" spans="1:1">
      <c r="A4448" s="1" t="s">
        <v>1475</v>
      </c>
    </row>
    <row r="4449" spans="1:1">
      <c r="A4449" s="1" t="s">
        <v>1476</v>
      </c>
    </row>
    <row r="4450" spans="1:1">
      <c r="A4450" s="1" t="s">
        <v>1477</v>
      </c>
    </row>
    <row r="4451" spans="1:1">
      <c r="A4451" s="1" t="s">
        <v>1478</v>
      </c>
    </row>
    <row r="4452" spans="1:1">
      <c r="A4452" s="1" t="s">
        <v>1479</v>
      </c>
    </row>
    <row r="4453" spans="1:1">
      <c r="A4453" s="1" t="s">
        <v>1480</v>
      </c>
    </row>
    <row r="4454" spans="1:1">
      <c r="A4454" s="1" t="s">
        <v>1481</v>
      </c>
    </row>
    <row r="4455" spans="1:1">
      <c r="A4455" s="1" t="s">
        <v>1482</v>
      </c>
    </row>
    <row r="4456" spans="1:1">
      <c r="A4456" s="1" t="s">
        <v>1483</v>
      </c>
    </row>
    <row r="4457" spans="1:1">
      <c r="A4457" s="1" t="s">
        <v>1484</v>
      </c>
    </row>
    <row r="4458" spans="1:1">
      <c r="A4458" s="1" t="s">
        <v>1485</v>
      </c>
    </row>
    <row r="4459" spans="1:1">
      <c r="A4459" s="1" t="s">
        <v>1486</v>
      </c>
    </row>
    <row r="4460" spans="1:1">
      <c r="A4460" s="1" t="s">
        <v>1487</v>
      </c>
    </row>
    <row r="4461" spans="1:1">
      <c r="A4461" s="1" t="s">
        <v>1488</v>
      </c>
    </row>
    <row r="4462" spans="1:1">
      <c r="A4462" s="1" t="s">
        <v>1489</v>
      </c>
    </row>
    <row r="4463" spans="1:1">
      <c r="A4463" s="1" t="s">
        <v>1490</v>
      </c>
    </row>
    <row r="4464" spans="1:1">
      <c r="A4464" s="1" t="s">
        <v>1491</v>
      </c>
    </row>
    <row r="4465" spans="1:1">
      <c r="A4465" s="1" t="s">
        <v>1492</v>
      </c>
    </row>
    <row r="4466" spans="1:1">
      <c r="A4466" s="1" t="s">
        <v>1493</v>
      </c>
    </row>
    <row r="4467" spans="1:1">
      <c r="A4467" s="1" t="s">
        <v>1494</v>
      </c>
    </row>
    <row r="4468" spans="1:1">
      <c r="A4468" s="1" t="s">
        <v>1495</v>
      </c>
    </row>
    <row r="4469" spans="1:1">
      <c r="A4469" s="1" t="s">
        <v>1496</v>
      </c>
    </row>
    <row r="4470" spans="1:1">
      <c r="A4470" s="1" t="s">
        <v>1497</v>
      </c>
    </row>
    <row r="4471" spans="1:1">
      <c r="A4471" s="1" t="s">
        <v>1498</v>
      </c>
    </row>
    <row r="4472" spans="1:1">
      <c r="A4472" s="1" t="s">
        <v>1499</v>
      </c>
    </row>
    <row r="4473" spans="1:1">
      <c r="A4473" s="1" t="s">
        <v>1500</v>
      </c>
    </row>
    <row r="4474" spans="1:1">
      <c r="A4474" s="1" t="s">
        <v>1501</v>
      </c>
    </row>
    <row r="4475" spans="1:1">
      <c r="A4475" s="1" t="s">
        <v>1502</v>
      </c>
    </row>
    <row r="4476" spans="1:1">
      <c r="A4476" s="1" t="s">
        <v>1503</v>
      </c>
    </row>
    <row r="4477" spans="1:1">
      <c r="A4477" s="1" t="s">
        <v>1504</v>
      </c>
    </row>
    <row r="4478" spans="1:1">
      <c r="A4478" s="1" t="s">
        <v>1505</v>
      </c>
    </row>
    <row r="4479" spans="1:1">
      <c r="A4479" s="1" t="s">
        <v>1506</v>
      </c>
    </row>
    <row r="4480" spans="1:1">
      <c r="A4480" s="1" t="s">
        <v>1507</v>
      </c>
    </row>
    <row r="4481" spans="1:1">
      <c r="A4481" s="1" t="s">
        <v>1508</v>
      </c>
    </row>
    <row r="4482" spans="1:1">
      <c r="A4482" s="1" t="s">
        <v>1509</v>
      </c>
    </row>
    <row r="4483" spans="1:1">
      <c r="A4483" s="1" t="s">
        <v>1510</v>
      </c>
    </row>
    <row r="4484" spans="1:1">
      <c r="A4484" s="1" t="s">
        <v>1511</v>
      </c>
    </row>
    <row r="4485" spans="1:1">
      <c r="A4485" s="1" t="s">
        <v>1512</v>
      </c>
    </row>
    <row r="4486" spans="1:1">
      <c r="A4486" s="1" t="s">
        <v>1513</v>
      </c>
    </row>
    <row r="4487" spans="1:1">
      <c r="A4487" s="1" t="s">
        <v>1514</v>
      </c>
    </row>
    <row r="4488" spans="1:1">
      <c r="A4488" s="1" t="s">
        <v>1515</v>
      </c>
    </row>
    <row r="4489" spans="1:1">
      <c r="A4489" s="1" t="s">
        <v>1516</v>
      </c>
    </row>
    <row r="4490" spans="1:1">
      <c r="A4490" s="1" t="s">
        <v>1517</v>
      </c>
    </row>
    <row r="4491" spans="1:1">
      <c r="A4491" s="1" t="s">
        <v>1518</v>
      </c>
    </row>
    <row r="4492" spans="1:1">
      <c r="A4492" s="1" t="s">
        <v>1519</v>
      </c>
    </row>
    <row r="4493" spans="1:1">
      <c r="A4493" s="1" t="s">
        <v>1520</v>
      </c>
    </row>
    <row r="4494" spans="1:1">
      <c r="A4494" s="1" t="s">
        <v>1521</v>
      </c>
    </row>
    <row r="4495" spans="1:1">
      <c r="A4495" s="1" t="s">
        <v>1522</v>
      </c>
    </row>
    <row r="4496" spans="1:1">
      <c r="A4496" s="1" t="s">
        <v>1523</v>
      </c>
    </row>
    <row r="4497" spans="1:1">
      <c r="A4497" s="1" t="s">
        <v>1524</v>
      </c>
    </row>
    <row r="4498" spans="1:1">
      <c r="A4498" s="1" t="s">
        <v>1525</v>
      </c>
    </row>
    <row r="4499" spans="1:1">
      <c r="A4499" s="1" t="s">
        <v>1526</v>
      </c>
    </row>
    <row r="4500" spans="1:1">
      <c r="A4500" s="1" t="s">
        <v>1527</v>
      </c>
    </row>
    <row r="4501" spans="1:1">
      <c r="A4501" s="1" t="s">
        <v>1528</v>
      </c>
    </row>
    <row r="4502" spans="1:1">
      <c r="A4502" s="1" t="s">
        <v>1529</v>
      </c>
    </row>
    <row r="4503" spans="1:1">
      <c r="A4503" s="1" t="s">
        <v>1530</v>
      </c>
    </row>
    <row r="4504" spans="1:1">
      <c r="A4504" s="1" t="s">
        <v>1531</v>
      </c>
    </row>
    <row r="4505" spans="1:1">
      <c r="A4505" s="1" t="s">
        <v>1532</v>
      </c>
    </row>
    <row r="4506" spans="1:1">
      <c r="A4506" s="1" t="s">
        <v>1533</v>
      </c>
    </row>
    <row r="4507" spans="1:1">
      <c r="A4507" s="1" t="s">
        <v>1534</v>
      </c>
    </row>
    <row r="4508" spans="1:1">
      <c r="A4508" s="1" t="s">
        <v>1535</v>
      </c>
    </row>
    <row r="4509" spans="1:1">
      <c r="A4509" s="1" t="s">
        <v>1536</v>
      </c>
    </row>
    <row r="4510" spans="1:1">
      <c r="A4510" s="1" t="s">
        <v>1537</v>
      </c>
    </row>
    <row r="4511" spans="1:1">
      <c r="A4511" s="1" t="s">
        <v>1538</v>
      </c>
    </row>
    <row r="4512" spans="1:1">
      <c r="A4512" s="1" t="s">
        <v>1539</v>
      </c>
    </row>
    <row r="4513" spans="1:1">
      <c r="A4513" s="1" t="s">
        <v>1540</v>
      </c>
    </row>
    <row r="4514" spans="1:1">
      <c r="A4514" s="1" t="s">
        <v>1541</v>
      </c>
    </row>
    <row r="4515" spans="1:1">
      <c r="A4515" s="1" t="s">
        <v>1542</v>
      </c>
    </row>
    <row r="4516" spans="1:1">
      <c r="A4516" s="1" t="s">
        <v>1543</v>
      </c>
    </row>
    <row r="4517" spans="1:1">
      <c r="A4517" s="1" t="s">
        <v>1544</v>
      </c>
    </row>
    <row r="4518" spans="1:1">
      <c r="A4518" s="1" t="s">
        <v>1545</v>
      </c>
    </row>
    <row r="4519" spans="1:1">
      <c r="A4519" s="1" t="s">
        <v>1546</v>
      </c>
    </row>
    <row r="4520" spans="1:1">
      <c r="A4520" s="1" t="s">
        <v>1547</v>
      </c>
    </row>
    <row r="4521" spans="1:1">
      <c r="A4521" s="1" t="s">
        <v>1548</v>
      </c>
    </row>
    <row r="4522" spans="1:1">
      <c r="A4522" s="1" t="s">
        <v>1549</v>
      </c>
    </row>
    <row r="4523" spans="1:1">
      <c r="A4523" s="1" t="s">
        <v>1550</v>
      </c>
    </row>
    <row r="4524" spans="1:1">
      <c r="A4524" s="1" t="s">
        <v>1551</v>
      </c>
    </row>
    <row r="4525" spans="1:1">
      <c r="A4525" s="1" t="s">
        <v>1552</v>
      </c>
    </row>
    <row r="4526" spans="1:1">
      <c r="A4526" s="1" t="s">
        <v>1553</v>
      </c>
    </row>
    <row r="4527" spans="1:1">
      <c r="A4527" s="1" t="s">
        <v>1554</v>
      </c>
    </row>
    <row r="4528" spans="1:1">
      <c r="A4528" s="1" t="s">
        <v>1555</v>
      </c>
    </row>
    <row r="4529" spans="1:1">
      <c r="A4529" s="1" t="s">
        <v>1556</v>
      </c>
    </row>
    <row r="4530" spans="1:1">
      <c r="A4530" s="1" t="s">
        <v>1557</v>
      </c>
    </row>
    <row r="4531" spans="1:1">
      <c r="A4531" s="1" t="s">
        <v>1557</v>
      </c>
    </row>
    <row r="4532" spans="1:1">
      <c r="A4532" s="1" t="s">
        <v>1558</v>
      </c>
    </row>
    <row r="4533" spans="1:1">
      <c r="A4533" s="1" t="s">
        <v>1559</v>
      </c>
    </row>
    <row r="4534" spans="1:1">
      <c r="A4534" s="1" t="s">
        <v>1560</v>
      </c>
    </row>
    <row r="4535" spans="1:1">
      <c r="A4535" s="1" t="s">
        <v>1561</v>
      </c>
    </row>
    <row r="4536" spans="1:1">
      <c r="A4536" s="1" t="s">
        <v>1562</v>
      </c>
    </row>
    <row r="4537" spans="1:1">
      <c r="A4537" s="1" t="s">
        <v>1557</v>
      </c>
    </row>
    <row r="4538" spans="1:1">
      <c r="A4538" s="1" t="s">
        <v>1557</v>
      </c>
    </row>
    <row r="4539" spans="1:1">
      <c r="A4539" s="1" t="s">
        <v>1557</v>
      </c>
    </row>
    <row r="4540" spans="1:1">
      <c r="A4540" s="1" t="s">
        <v>1558</v>
      </c>
    </row>
    <row r="4541" spans="1:1">
      <c r="A4541" s="1" t="s">
        <v>1559</v>
      </c>
    </row>
    <row r="4542" spans="1:1">
      <c r="A4542" s="1" t="s">
        <v>1560</v>
      </c>
    </row>
    <row r="4543" spans="1:1">
      <c r="A4543" s="1" t="s">
        <v>1561</v>
      </c>
    </row>
    <row r="4544" spans="1:1">
      <c r="A4544" s="1" t="s">
        <v>1562</v>
      </c>
    </row>
    <row r="4545" spans="1:1">
      <c r="A4545" s="1" t="s">
        <v>1557</v>
      </c>
    </row>
    <row r="4546" spans="1:1">
      <c r="A4546" s="1" t="s">
        <v>1557</v>
      </c>
    </row>
    <row r="4547" spans="1:1">
      <c r="A4547" s="1" t="s">
        <v>1557</v>
      </c>
    </row>
    <row r="4548" spans="1:1">
      <c r="A4548" s="1" t="s">
        <v>1558</v>
      </c>
    </row>
    <row r="4549" spans="1:1">
      <c r="A4549" s="1" t="s">
        <v>1559</v>
      </c>
    </row>
    <row r="4550" spans="1:1">
      <c r="A4550" s="1" t="s">
        <v>1560</v>
      </c>
    </row>
    <row r="4551" spans="1:1">
      <c r="A4551" s="1" t="s">
        <v>1561</v>
      </c>
    </row>
    <row r="4552" spans="1:1">
      <c r="A4552" s="1" t="s">
        <v>1562</v>
      </c>
    </row>
    <row r="4553" spans="1:1">
      <c r="A4553" s="1" t="s">
        <v>1557</v>
      </c>
    </row>
    <row r="4554" spans="1:1">
      <c r="A4554" s="1" t="s">
        <v>1557</v>
      </c>
    </row>
    <row r="4555" spans="1:1">
      <c r="A4555" s="1" t="s">
        <v>1557</v>
      </c>
    </row>
    <row r="4556" spans="1:1">
      <c r="A4556" s="1" t="s">
        <v>1558</v>
      </c>
    </row>
    <row r="4557" spans="1:1">
      <c r="A4557" s="1" t="s">
        <v>1559</v>
      </c>
    </row>
    <row r="4558" spans="1:1">
      <c r="A4558" s="1" t="s">
        <v>1560</v>
      </c>
    </row>
    <row r="4559" spans="1:1">
      <c r="A4559" s="1" t="s">
        <v>1561</v>
      </c>
    </row>
    <row r="4560" spans="1:1">
      <c r="A4560" s="1" t="s">
        <v>1562</v>
      </c>
    </row>
    <row r="4561" spans="1:1">
      <c r="A4561" s="1" t="s">
        <v>1557</v>
      </c>
    </row>
    <row r="4562" spans="1:1">
      <c r="A4562" s="1" t="s">
        <v>1557</v>
      </c>
    </row>
    <row r="4563" spans="1:1">
      <c r="A4563" s="1" t="s">
        <v>1557</v>
      </c>
    </row>
    <row r="4564" spans="1:1">
      <c r="A4564" s="1" t="s">
        <v>1558</v>
      </c>
    </row>
    <row r="4565" spans="1:1">
      <c r="A4565" s="1" t="s">
        <v>1559</v>
      </c>
    </row>
    <row r="4566" spans="1:1">
      <c r="A4566" s="1" t="s">
        <v>1560</v>
      </c>
    </row>
    <row r="4567" spans="1:1">
      <c r="A4567" s="1" t="s">
        <v>1561</v>
      </c>
    </row>
    <row r="4568" spans="1:1">
      <c r="A4568" s="1" t="s">
        <v>1562</v>
      </c>
    </row>
    <row r="4569" spans="1:1">
      <c r="A4569" s="1" t="s">
        <v>1557</v>
      </c>
    </row>
    <row r="4570" spans="1:1">
      <c r="A4570" s="1" t="s">
        <v>1563</v>
      </c>
    </row>
    <row r="4571" spans="1:1">
      <c r="A4571" s="1" t="s">
        <v>1563</v>
      </c>
    </row>
    <row r="4572" spans="1:1">
      <c r="A4572" s="1" t="s">
        <v>1564</v>
      </c>
    </row>
    <row r="4573" spans="1:1">
      <c r="A4573" s="1" t="s">
        <v>1565</v>
      </c>
    </row>
    <row r="4574" spans="1:1">
      <c r="A4574" s="1" t="s">
        <v>1566</v>
      </c>
    </row>
    <row r="4575" spans="1:1">
      <c r="A4575" s="1" t="s">
        <v>1567</v>
      </c>
    </row>
    <row r="4576" spans="1:1">
      <c r="A4576" s="1" t="s">
        <v>1568</v>
      </c>
    </row>
    <row r="4577" spans="1:1">
      <c r="A4577" s="1" t="s">
        <v>1563</v>
      </c>
    </row>
    <row r="4578" spans="1:1">
      <c r="A4578" s="1" t="s">
        <v>1563</v>
      </c>
    </row>
    <row r="4579" spans="1:1">
      <c r="A4579" s="1" t="s">
        <v>1563</v>
      </c>
    </row>
    <row r="4580" spans="1:1">
      <c r="A4580" s="1" t="s">
        <v>1564</v>
      </c>
    </row>
    <row r="4581" spans="1:1">
      <c r="A4581" s="1" t="s">
        <v>1565</v>
      </c>
    </row>
    <row r="4582" spans="1:1">
      <c r="A4582" s="1" t="s">
        <v>1566</v>
      </c>
    </row>
    <row r="4583" spans="1:1">
      <c r="A4583" s="1" t="s">
        <v>1567</v>
      </c>
    </row>
    <row r="4584" spans="1:1">
      <c r="A4584" s="1" t="s">
        <v>1568</v>
      </c>
    </row>
    <row r="4585" spans="1:1">
      <c r="A4585" s="1" t="s">
        <v>1563</v>
      </c>
    </row>
    <row r="4586" spans="1:1">
      <c r="A4586" s="1" t="s">
        <v>1563</v>
      </c>
    </row>
    <row r="4587" spans="1:1">
      <c r="A4587" s="1" t="s">
        <v>1563</v>
      </c>
    </row>
    <row r="4588" spans="1:1">
      <c r="A4588" s="1" t="s">
        <v>1564</v>
      </c>
    </row>
    <row r="4589" spans="1:1">
      <c r="A4589" s="1" t="s">
        <v>1565</v>
      </c>
    </row>
    <row r="4590" spans="1:1">
      <c r="A4590" s="1" t="s">
        <v>1566</v>
      </c>
    </row>
    <row r="4591" spans="1:1">
      <c r="A4591" s="1" t="s">
        <v>1567</v>
      </c>
    </row>
    <row r="4592" spans="1:1">
      <c r="A4592" s="1" t="s">
        <v>1568</v>
      </c>
    </row>
    <row r="4593" spans="1:1">
      <c r="A4593" s="1" t="s">
        <v>1563</v>
      </c>
    </row>
    <row r="4594" spans="1:1">
      <c r="A4594" s="1" t="s">
        <v>1569</v>
      </c>
    </row>
    <row r="4595" spans="1:1">
      <c r="A4595" s="1" t="s">
        <v>1569</v>
      </c>
    </row>
    <row r="4596" spans="1:1">
      <c r="A4596" s="1" t="s">
        <v>1570</v>
      </c>
    </row>
    <row r="4597" spans="1:1">
      <c r="A4597" s="1" t="s">
        <v>1571</v>
      </c>
    </row>
    <row r="4598" spans="1:1">
      <c r="A4598" s="1" t="s">
        <v>1572</v>
      </c>
    </row>
    <row r="4599" spans="1:1">
      <c r="A4599" s="1" t="s">
        <v>1573</v>
      </c>
    </row>
    <row r="4600" spans="1:1">
      <c r="A4600" s="1" t="s">
        <v>1574</v>
      </c>
    </row>
    <row r="4601" spans="1:1">
      <c r="A4601" s="1" t="s">
        <v>1569</v>
      </c>
    </row>
    <row r="4602" spans="1:1">
      <c r="A4602" s="1" t="s">
        <v>1569</v>
      </c>
    </row>
    <row r="4603" spans="1:1">
      <c r="A4603" s="1" t="s">
        <v>1569</v>
      </c>
    </row>
    <row r="4604" spans="1:1">
      <c r="A4604" s="1" t="s">
        <v>1570</v>
      </c>
    </row>
    <row r="4605" spans="1:1">
      <c r="A4605" s="1" t="s">
        <v>1571</v>
      </c>
    </row>
    <row r="4606" spans="1:1">
      <c r="A4606" s="1" t="s">
        <v>1572</v>
      </c>
    </row>
    <row r="4607" spans="1:1">
      <c r="A4607" s="1" t="s">
        <v>1573</v>
      </c>
    </row>
    <row r="4608" spans="1:1">
      <c r="A4608" s="1" t="s">
        <v>1574</v>
      </c>
    </row>
    <row r="4609" spans="1:1">
      <c r="A4609" s="1" t="s">
        <v>1569</v>
      </c>
    </row>
    <row r="4610" spans="1:1">
      <c r="A4610" s="1" t="s">
        <v>1575</v>
      </c>
    </row>
    <row r="4611" spans="1:1">
      <c r="A4611" s="1" t="s">
        <v>1575</v>
      </c>
    </row>
    <row r="4612" spans="1:1">
      <c r="A4612" s="1" t="s">
        <v>1570</v>
      </c>
    </row>
    <row r="4613" spans="1:1">
      <c r="A4613" s="1" t="s">
        <v>1571</v>
      </c>
    </row>
    <row r="4614" spans="1:1">
      <c r="A4614" s="1" t="s">
        <v>1572</v>
      </c>
    </row>
    <row r="4615" spans="1:1">
      <c r="A4615" s="1" t="s">
        <v>1573</v>
      </c>
    </row>
    <row r="4616" spans="1:1">
      <c r="A4616" s="1" t="s">
        <v>1574</v>
      </c>
    </row>
    <row r="4617" spans="1:1">
      <c r="A4617" s="1" t="s">
        <v>1575</v>
      </c>
    </row>
    <row r="4618" spans="1:1">
      <c r="A4618" s="1" t="s">
        <v>1575</v>
      </c>
    </row>
    <row r="4619" spans="1:1">
      <c r="A4619" s="1" t="s">
        <v>1575</v>
      </c>
    </row>
    <row r="4620" spans="1:1">
      <c r="A4620" s="1" t="s">
        <v>1570</v>
      </c>
    </row>
    <row r="4621" spans="1:1">
      <c r="A4621" s="1" t="s">
        <v>1571</v>
      </c>
    </row>
    <row r="4622" spans="1:1">
      <c r="A4622" s="1" t="s">
        <v>1572</v>
      </c>
    </row>
    <row r="4623" spans="1:1">
      <c r="A4623" s="1" t="s">
        <v>1573</v>
      </c>
    </row>
    <row r="4624" spans="1:1">
      <c r="A4624" s="1" t="s">
        <v>1574</v>
      </c>
    </row>
    <row r="4625" spans="1:1">
      <c r="A4625" s="1" t="s">
        <v>1575</v>
      </c>
    </row>
    <row r="4626" spans="1:1">
      <c r="A4626" s="1" t="s">
        <v>1575</v>
      </c>
    </row>
    <row r="4627" spans="1:1">
      <c r="A4627" s="1" t="s">
        <v>1575</v>
      </c>
    </row>
    <row r="4628" spans="1:1">
      <c r="A4628" s="1" t="s">
        <v>1570</v>
      </c>
    </row>
    <row r="4629" spans="1:1">
      <c r="A4629" s="1" t="s">
        <v>1571</v>
      </c>
    </row>
    <row r="4630" spans="1:1">
      <c r="A4630" s="1" t="s">
        <v>1572</v>
      </c>
    </row>
    <row r="4631" spans="1:1">
      <c r="A4631" s="1" t="s">
        <v>1573</v>
      </c>
    </row>
    <row r="4632" spans="1:1">
      <c r="A4632" s="1" t="s">
        <v>1574</v>
      </c>
    </row>
    <row r="4633" spans="1:1">
      <c r="A4633" s="1" t="s">
        <v>1575</v>
      </c>
    </row>
    <row r="4634" spans="1:1">
      <c r="A4634" s="1" t="s">
        <v>1575</v>
      </c>
    </row>
    <row r="4635" spans="1:1">
      <c r="A4635" s="1" t="s">
        <v>1575</v>
      </c>
    </row>
    <row r="4636" spans="1:1">
      <c r="A4636" s="1" t="s">
        <v>1570</v>
      </c>
    </row>
    <row r="4637" spans="1:1">
      <c r="A4637" s="1" t="s">
        <v>1571</v>
      </c>
    </row>
    <row r="4638" spans="1:1">
      <c r="A4638" s="1" t="s">
        <v>1572</v>
      </c>
    </row>
    <row r="4639" spans="1:1">
      <c r="A4639" s="1" t="s">
        <v>1573</v>
      </c>
    </row>
    <row r="4640" spans="1:1">
      <c r="A4640" s="1" t="s">
        <v>1574</v>
      </c>
    </row>
    <row r="4641" spans="1:1">
      <c r="A4641" s="1" t="s">
        <v>1575</v>
      </c>
    </row>
    <row r="4642" spans="1:1">
      <c r="A4642" s="1" t="s">
        <v>1575</v>
      </c>
    </row>
    <row r="4643" spans="1:1">
      <c r="A4643" s="1" t="s">
        <v>1575</v>
      </c>
    </row>
    <row r="4644" spans="1:1">
      <c r="A4644" s="1" t="s">
        <v>1570</v>
      </c>
    </row>
    <row r="4645" spans="1:1">
      <c r="A4645" s="1" t="s">
        <v>1571</v>
      </c>
    </row>
    <row r="4646" spans="1:1">
      <c r="A4646" s="1" t="s">
        <v>1572</v>
      </c>
    </row>
    <row r="4647" spans="1:1">
      <c r="A4647" s="1" t="s">
        <v>1573</v>
      </c>
    </row>
    <row r="4648" spans="1:1">
      <c r="A4648" s="1" t="s">
        <v>1574</v>
      </c>
    </row>
    <row r="4649" spans="1:1">
      <c r="A4649" s="1" t="s">
        <v>1575</v>
      </c>
    </row>
    <row r="4650" spans="1:1">
      <c r="A4650" s="1" t="s">
        <v>1576</v>
      </c>
    </row>
    <row r="4651" spans="1:1">
      <c r="A4651" s="1" t="s">
        <v>1577</v>
      </c>
    </row>
    <row r="4652" spans="1:1">
      <c r="A4652" s="1" t="s">
        <v>1578</v>
      </c>
    </row>
    <row r="4653" spans="1:1">
      <c r="A4653" s="1" t="s">
        <v>1579</v>
      </c>
    </row>
    <row r="4654" spans="1:1">
      <c r="A4654" s="1" t="s">
        <v>1579</v>
      </c>
    </row>
    <row r="4655" spans="1:1">
      <c r="A4655" s="1" t="s">
        <v>1580</v>
      </c>
    </row>
    <row r="4656" spans="1:1">
      <c r="A4656" s="1" t="s">
        <v>1581</v>
      </c>
    </row>
    <row r="4657" spans="1:1">
      <c r="A4657" s="1" t="s">
        <v>1582</v>
      </c>
    </row>
    <row r="4658" spans="1:1">
      <c r="A4658" s="1" t="s">
        <v>1583</v>
      </c>
    </row>
    <row r="4659" spans="1:1">
      <c r="A4659" s="1" t="s">
        <v>1584</v>
      </c>
    </row>
    <row r="4660" spans="1:1">
      <c r="A4660" s="1" t="s">
        <v>1579</v>
      </c>
    </row>
    <row r="4661" spans="1:1">
      <c r="A4661" s="1" t="s">
        <v>1579</v>
      </c>
    </row>
    <row r="4662" spans="1:1">
      <c r="A4662" s="1" t="s">
        <v>1579</v>
      </c>
    </row>
    <row r="4663" spans="1:1">
      <c r="A4663" s="1" t="s">
        <v>1580</v>
      </c>
    </row>
    <row r="4664" spans="1:1">
      <c r="A4664" s="1" t="s">
        <v>1581</v>
      </c>
    </row>
    <row r="4665" spans="1:1">
      <c r="A4665" s="1" t="s">
        <v>1582</v>
      </c>
    </row>
    <row r="4666" spans="1:1">
      <c r="A4666" s="1" t="s">
        <v>1583</v>
      </c>
    </row>
    <row r="4667" spans="1:1">
      <c r="A4667" s="1" t="s">
        <v>1584</v>
      </c>
    </row>
    <row r="4668" spans="1:1">
      <c r="A4668" s="1" t="s">
        <v>1579</v>
      </c>
    </row>
    <row r="4669" spans="1:1">
      <c r="A4669" s="1" t="s">
        <v>1579</v>
      </c>
    </row>
    <row r="4670" spans="1:1">
      <c r="A4670" s="1" t="s">
        <v>1579</v>
      </c>
    </row>
    <row r="4671" spans="1:1">
      <c r="A4671" s="1" t="s">
        <v>1580</v>
      </c>
    </row>
    <row r="4672" spans="1:1">
      <c r="A4672" s="1" t="s">
        <v>1581</v>
      </c>
    </row>
    <row r="4673" spans="1:1">
      <c r="A4673" s="1" t="s">
        <v>1582</v>
      </c>
    </row>
    <row r="4674" spans="1:1">
      <c r="A4674" s="1" t="s">
        <v>1583</v>
      </c>
    </row>
    <row r="4675" spans="1:1">
      <c r="A4675" s="1" t="s">
        <v>1584</v>
      </c>
    </row>
    <row r="4676" spans="1:1">
      <c r="A4676" s="1" t="s">
        <v>1579</v>
      </c>
    </row>
    <row r="4677" spans="1:1">
      <c r="A4677" s="1" t="s">
        <v>1579</v>
      </c>
    </row>
    <row r="4678" spans="1:1">
      <c r="A4678" s="1" t="s">
        <v>1579</v>
      </c>
    </row>
    <row r="4679" spans="1:1">
      <c r="A4679" s="1" t="s">
        <v>1580</v>
      </c>
    </row>
    <row r="4680" spans="1:1">
      <c r="A4680" s="1" t="s">
        <v>1581</v>
      </c>
    </row>
    <row r="4681" spans="1:1">
      <c r="A4681" s="1" t="s">
        <v>1582</v>
      </c>
    </row>
    <row r="4682" spans="1:1">
      <c r="A4682" s="1" t="s">
        <v>1583</v>
      </c>
    </row>
    <row r="4683" spans="1:1">
      <c r="A4683" s="1" t="s">
        <v>1584</v>
      </c>
    </row>
    <row r="4684" spans="1:1">
      <c r="A4684" s="1" t="s">
        <v>1579</v>
      </c>
    </row>
    <row r="4685" spans="1:1">
      <c r="A4685" s="1" t="s">
        <v>1579</v>
      </c>
    </row>
    <row r="4686" spans="1:1">
      <c r="A4686" s="1" t="s">
        <v>1579</v>
      </c>
    </row>
    <row r="4687" spans="1:1">
      <c r="A4687" s="1" t="s">
        <v>1580</v>
      </c>
    </row>
    <row r="4688" spans="1:1">
      <c r="A4688" s="1" t="s">
        <v>1581</v>
      </c>
    </row>
    <row r="4689" spans="1:1">
      <c r="A4689" s="1" t="s">
        <v>1582</v>
      </c>
    </row>
    <row r="4690" spans="1:1">
      <c r="A4690" s="1" t="s">
        <v>1583</v>
      </c>
    </row>
    <row r="4691" spans="1:1">
      <c r="A4691" s="1" t="s">
        <v>1584</v>
      </c>
    </row>
    <row r="4692" spans="1:1">
      <c r="A4692" s="1" t="s">
        <v>1579</v>
      </c>
    </row>
    <row r="4693" spans="1:1">
      <c r="A4693" s="1" t="s">
        <v>1585</v>
      </c>
    </row>
    <row r="4694" spans="1:1">
      <c r="A4694" s="1" t="s">
        <v>1585</v>
      </c>
    </row>
    <row r="4695" spans="1:1">
      <c r="A4695" s="1" t="s">
        <v>1586</v>
      </c>
    </row>
    <row r="4696" spans="1:1">
      <c r="A4696" s="1" t="s">
        <v>1587</v>
      </c>
    </row>
    <row r="4697" spans="1:1">
      <c r="A4697" s="1" t="s">
        <v>1588</v>
      </c>
    </row>
    <row r="4698" spans="1:1">
      <c r="A4698" s="1" t="s">
        <v>1589</v>
      </c>
    </row>
    <row r="4699" spans="1:1">
      <c r="A4699" s="1" t="s">
        <v>1590</v>
      </c>
    </row>
    <row r="4700" spans="1:1">
      <c r="A4700" s="1" t="s">
        <v>1585</v>
      </c>
    </row>
    <row r="4701" spans="1:1">
      <c r="A4701" s="1" t="s">
        <v>1585</v>
      </c>
    </row>
    <row r="4702" spans="1:1">
      <c r="A4702" s="1" t="s">
        <v>1585</v>
      </c>
    </row>
    <row r="4703" spans="1:1">
      <c r="A4703" s="1" t="s">
        <v>1586</v>
      </c>
    </row>
    <row r="4704" spans="1:1">
      <c r="A4704" s="1" t="s">
        <v>1587</v>
      </c>
    </row>
    <row r="4705" spans="1:1">
      <c r="A4705" s="1" t="s">
        <v>1588</v>
      </c>
    </row>
    <row r="4706" spans="1:1">
      <c r="A4706" s="1" t="s">
        <v>1589</v>
      </c>
    </row>
    <row r="4707" spans="1:1">
      <c r="A4707" s="1" t="s">
        <v>1590</v>
      </c>
    </row>
    <row r="4708" spans="1:1">
      <c r="A4708" s="1" t="s">
        <v>1585</v>
      </c>
    </row>
    <row r="4709" spans="1:1">
      <c r="A4709" s="1" t="s">
        <v>1585</v>
      </c>
    </row>
    <row r="4710" spans="1:1">
      <c r="A4710" s="1" t="s">
        <v>1585</v>
      </c>
    </row>
    <row r="4711" spans="1:1">
      <c r="A4711" s="1" t="s">
        <v>1586</v>
      </c>
    </row>
    <row r="4712" spans="1:1">
      <c r="A4712" s="1" t="s">
        <v>1587</v>
      </c>
    </row>
    <row r="4713" spans="1:1">
      <c r="A4713" s="1" t="s">
        <v>1588</v>
      </c>
    </row>
    <row r="4714" spans="1:1">
      <c r="A4714" s="1" t="s">
        <v>1589</v>
      </c>
    </row>
    <row r="4715" spans="1:1">
      <c r="A4715" s="1" t="s">
        <v>1590</v>
      </c>
    </row>
    <row r="4716" spans="1:1">
      <c r="A4716" s="1" t="s">
        <v>1585</v>
      </c>
    </row>
    <row r="4717" spans="1:1">
      <c r="A4717" s="1" t="s">
        <v>1585</v>
      </c>
    </row>
    <row r="4718" spans="1:1">
      <c r="A4718" s="1" t="s">
        <v>1585</v>
      </c>
    </row>
    <row r="4719" spans="1:1">
      <c r="A4719" s="1" t="s">
        <v>1586</v>
      </c>
    </row>
    <row r="4720" spans="1:1">
      <c r="A4720" s="1" t="s">
        <v>1587</v>
      </c>
    </row>
    <row r="4721" spans="1:1">
      <c r="A4721" s="1" t="s">
        <v>1588</v>
      </c>
    </row>
    <row r="4722" spans="1:1">
      <c r="A4722" s="1" t="s">
        <v>1589</v>
      </c>
    </row>
    <row r="4723" spans="1:1">
      <c r="A4723" s="1" t="s">
        <v>1590</v>
      </c>
    </row>
    <row r="4724" spans="1:1">
      <c r="A4724" s="1" t="s">
        <v>1585</v>
      </c>
    </row>
    <row r="4725" spans="1:1">
      <c r="A4725" s="1" t="s">
        <v>1585</v>
      </c>
    </row>
    <row r="4726" spans="1:1">
      <c r="A4726" s="1" t="s">
        <v>1585</v>
      </c>
    </row>
    <row r="4727" spans="1:1">
      <c r="A4727" s="1" t="s">
        <v>1586</v>
      </c>
    </row>
    <row r="4728" spans="1:1">
      <c r="A4728" s="1" t="s">
        <v>1587</v>
      </c>
    </row>
    <row r="4729" spans="1:1">
      <c r="A4729" s="1" t="s">
        <v>1588</v>
      </c>
    </row>
    <row r="4730" spans="1:1">
      <c r="A4730" s="1" t="s">
        <v>1589</v>
      </c>
    </row>
    <row r="4731" spans="1:1">
      <c r="A4731" s="1" t="s">
        <v>1590</v>
      </c>
    </row>
    <row r="4732" spans="1:1">
      <c r="A4732" s="1" t="s">
        <v>1585</v>
      </c>
    </row>
    <row r="4733" spans="1:1">
      <c r="A4733" s="1" t="s">
        <v>1591</v>
      </c>
    </row>
    <row r="4734" spans="1:1">
      <c r="A4734" s="1" t="s">
        <v>1591</v>
      </c>
    </row>
    <row r="4735" spans="1:1">
      <c r="A4735" s="1" t="s">
        <v>1592</v>
      </c>
    </row>
    <row r="4736" spans="1:1">
      <c r="A4736" s="1" t="s">
        <v>1593</v>
      </c>
    </row>
    <row r="4737" spans="1:1">
      <c r="A4737" s="1" t="s">
        <v>1594</v>
      </c>
    </row>
    <row r="4738" spans="1:1">
      <c r="A4738" s="1" t="s">
        <v>1595</v>
      </c>
    </row>
    <row r="4739" spans="1:1">
      <c r="A4739" s="1" t="s">
        <v>1596</v>
      </c>
    </row>
    <row r="4740" spans="1:1">
      <c r="A4740" s="1" t="s">
        <v>1597</v>
      </c>
    </row>
    <row r="4741" spans="1:1">
      <c r="A4741" s="1" t="s">
        <v>1591</v>
      </c>
    </row>
    <row r="4742" spans="1:1">
      <c r="A4742" s="1" t="s">
        <v>1591</v>
      </c>
    </row>
    <row r="4743" spans="1:1">
      <c r="A4743" s="1" t="s">
        <v>1591</v>
      </c>
    </row>
    <row r="4744" spans="1:1">
      <c r="A4744" s="1" t="s">
        <v>1592</v>
      </c>
    </row>
    <row r="4745" spans="1:1">
      <c r="A4745" s="1" t="s">
        <v>1593</v>
      </c>
    </row>
    <row r="4746" spans="1:1">
      <c r="A4746" s="1" t="s">
        <v>1594</v>
      </c>
    </row>
    <row r="4747" spans="1:1">
      <c r="A4747" s="1" t="s">
        <v>1595</v>
      </c>
    </row>
    <row r="4748" spans="1:1">
      <c r="A4748" s="1" t="s">
        <v>1596</v>
      </c>
    </row>
    <row r="4749" spans="1:1">
      <c r="A4749" s="1" t="s">
        <v>1597</v>
      </c>
    </row>
    <row r="4750" spans="1:1">
      <c r="A4750" s="1" t="s">
        <v>1591</v>
      </c>
    </row>
    <row r="4751" spans="1:1">
      <c r="A4751" s="1" t="s">
        <v>1591</v>
      </c>
    </row>
    <row r="4752" spans="1:1">
      <c r="A4752" s="1" t="s">
        <v>1591</v>
      </c>
    </row>
    <row r="4753" spans="1:1">
      <c r="A4753" s="1" t="s">
        <v>1592</v>
      </c>
    </row>
    <row r="4754" spans="1:1">
      <c r="A4754" s="1" t="s">
        <v>1593</v>
      </c>
    </row>
    <row r="4755" spans="1:1">
      <c r="A4755" s="1" t="s">
        <v>1594</v>
      </c>
    </row>
    <row r="4756" spans="1:1">
      <c r="A4756" s="1" t="s">
        <v>1595</v>
      </c>
    </row>
    <row r="4757" spans="1:1">
      <c r="A4757" s="1" t="s">
        <v>1596</v>
      </c>
    </row>
    <row r="4758" spans="1:1">
      <c r="A4758" s="1" t="s">
        <v>1597</v>
      </c>
    </row>
    <row r="4759" spans="1:1">
      <c r="A4759" s="1" t="s">
        <v>1591</v>
      </c>
    </row>
    <row r="4760" spans="1:1">
      <c r="A4760" s="1" t="s">
        <v>1591</v>
      </c>
    </row>
    <row r="4761" spans="1:1">
      <c r="A4761" s="1" t="s">
        <v>1591</v>
      </c>
    </row>
    <row r="4762" spans="1:1">
      <c r="A4762" s="1" t="s">
        <v>1592</v>
      </c>
    </row>
    <row r="4763" spans="1:1">
      <c r="A4763" s="1" t="s">
        <v>1593</v>
      </c>
    </row>
    <row r="4764" spans="1:1">
      <c r="A4764" s="1" t="s">
        <v>1594</v>
      </c>
    </row>
    <row r="4765" spans="1:1">
      <c r="A4765" s="1" t="s">
        <v>1595</v>
      </c>
    </row>
    <row r="4766" spans="1:1">
      <c r="A4766" s="1" t="s">
        <v>1596</v>
      </c>
    </row>
    <row r="4767" spans="1:1">
      <c r="A4767" s="1" t="s">
        <v>1597</v>
      </c>
    </row>
    <row r="4768" spans="1:1">
      <c r="A4768" s="1" t="s">
        <v>1591</v>
      </c>
    </row>
    <row r="4769" spans="1:1">
      <c r="A4769" s="1" t="s">
        <v>1591</v>
      </c>
    </row>
    <row r="4770" spans="1:1">
      <c r="A4770" s="1" t="s">
        <v>1591</v>
      </c>
    </row>
    <row r="4771" spans="1:1">
      <c r="A4771" s="1" t="s">
        <v>1592</v>
      </c>
    </row>
    <row r="4772" spans="1:1">
      <c r="A4772" s="1" t="s">
        <v>1593</v>
      </c>
    </row>
    <row r="4773" spans="1:1">
      <c r="A4773" s="1" t="s">
        <v>1594</v>
      </c>
    </row>
    <row r="4774" spans="1:1">
      <c r="A4774" s="1" t="s">
        <v>1598</v>
      </c>
    </row>
    <row r="4775" spans="1:1">
      <c r="A4775" s="1" t="s">
        <v>1599</v>
      </c>
    </row>
    <row r="4776" spans="1:1">
      <c r="A4776" s="1" t="s">
        <v>1600</v>
      </c>
    </row>
    <row r="4777" spans="1:1">
      <c r="A4777" s="1" t="s">
        <v>1601</v>
      </c>
    </row>
    <row r="4778" spans="1:1">
      <c r="A4778" s="1" t="s">
        <v>1601</v>
      </c>
    </row>
    <row r="4779" spans="1:1">
      <c r="A4779" s="1" t="s">
        <v>1601</v>
      </c>
    </row>
    <row r="4780" spans="1:1">
      <c r="A4780" s="1" t="s">
        <v>1602</v>
      </c>
    </row>
    <row r="4781" spans="1:1">
      <c r="A4781" s="1" t="s">
        <v>1603</v>
      </c>
    </row>
    <row r="4782" spans="1:1">
      <c r="A4782" s="1" t="s">
        <v>1604</v>
      </c>
    </row>
    <row r="4783" spans="1:1">
      <c r="A4783" s="1" t="s">
        <v>1598</v>
      </c>
    </row>
    <row r="4784" spans="1:1">
      <c r="A4784" s="1" t="s">
        <v>1599</v>
      </c>
    </row>
    <row r="4785" spans="1:1">
      <c r="A4785" s="1" t="s">
        <v>1600</v>
      </c>
    </row>
    <row r="4786" spans="1:1">
      <c r="A4786" s="1" t="s">
        <v>1601</v>
      </c>
    </row>
    <row r="4787" spans="1:1">
      <c r="A4787" s="1" t="s">
        <v>1605</v>
      </c>
    </row>
    <row r="4788" spans="1:1">
      <c r="A4788" s="1" t="s">
        <v>1605</v>
      </c>
    </row>
    <row r="4789" spans="1:1">
      <c r="A4789" s="1" t="s">
        <v>1606</v>
      </c>
    </row>
    <row r="4790" spans="1:1">
      <c r="A4790" s="1" t="s">
        <v>1607</v>
      </c>
    </row>
    <row r="4791" spans="1:1">
      <c r="A4791" s="1" t="s">
        <v>1608</v>
      </c>
    </row>
    <row r="4792" spans="1:1">
      <c r="A4792" s="1" t="s">
        <v>1609</v>
      </c>
    </row>
    <row r="4793" spans="1:1">
      <c r="A4793" s="1" t="s">
        <v>1610</v>
      </c>
    </row>
    <row r="4794" spans="1:1">
      <c r="A4794" s="1" t="s">
        <v>1611</v>
      </c>
    </row>
    <row r="4795" spans="1:1">
      <c r="A4795" s="1" t="s">
        <v>1605</v>
      </c>
    </row>
    <row r="4796" spans="1:1">
      <c r="A4796" s="1" t="s">
        <v>1605</v>
      </c>
    </row>
    <row r="4797" spans="1:1">
      <c r="A4797" s="1" t="s">
        <v>1605</v>
      </c>
    </row>
    <row r="4798" spans="1:1">
      <c r="A4798" s="1" t="s">
        <v>1606</v>
      </c>
    </row>
    <row r="4799" spans="1:1">
      <c r="A4799" s="1" t="s">
        <v>1607</v>
      </c>
    </row>
    <row r="4800" spans="1:1">
      <c r="A4800" s="1" t="s">
        <v>1608</v>
      </c>
    </row>
    <row r="4801" spans="1:1">
      <c r="A4801" s="1" t="s">
        <v>1609</v>
      </c>
    </row>
    <row r="4802" spans="1:1">
      <c r="A4802" s="1" t="s">
        <v>1610</v>
      </c>
    </row>
    <row r="4803" spans="1:1">
      <c r="A4803" s="1" t="s">
        <v>1611</v>
      </c>
    </row>
    <row r="4804" spans="1:1">
      <c r="A4804" s="1" t="s">
        <v>1605</v>
      </c>
    </row>
    <row r="4805" spans="1:1">
      <c r="A4805" s="1" t="s">
        <v>1605</v>
      </c>
    </row>
    <row r="4806" spans="1:1">
      <c r="A4806" s="1" t="s">
        <v>1605</v>
      </c>
    </row>
    <row r="4807" spans="1:1">
      <c r="A4807" s="1" t="s">
        <v>1606</v>
      </c>
    </row>
    <row r="4808" spans="1:1">
      <c r="A4808" s="1" t="s">
        <v>1607</v>
      </c>
    </row>
    <row r="4809" spans="1:1">
      <c r="A4809" s="1" t="s">
        <v>1608</v>
      </c>
    </row>
    <row r="4810" spans="1:1">
      <c r="A4810" s="1" t="s">
        <v>1609</v>
      </c>
    </row>
    <row r="4811" spans="1:1">
      <c r="A4811" s="1" t="s">
        <v>1610</v>
      </c>
    </row>
    <row r="4812" spans="1:1">
      <c r="A4812" s="1" t="s">
        <v>1611</v>
      </c>
    </row>
    <row r="4813" spans="1:1">
      <c r="A4813" s="1" t="s">
        <v>1605</v>
      </c>
    </row>
    <row r="4814" spans="1:1">
      <c r="A4814" s="1" t="s">
        <v>1605</v>
      </c>
    </row>
    <row r="4815" spans="1:1">
      <c r="A4815" s="1" t="s">
        <v>1605</v>
      </c>
    </row>
    <row r="4816" spans="1:1">
      <c r="A4816" s="1" t="s">
        <v>1606</v>
      </c>
    </row>
    <row r="4817" spans="1:1">
      <c r="A4817" s="1" t="s">
        <v>1607</v>
      </c>
    </row>
    <row r="4818" spans="1:1">
      <c r="A4818" s="1" t="s">
        <v>1612</v>
      </c>
    </row>
    <row r="4819" spans="1:1">
      <c r="A4819" s="1" t="s">
        <v>1612</v>
      </c>
    </row>
    <row r="4820" spans="1:1">
      <c r="A4820" s="1" t="s">
        <v>1613</v>
      </c>
    </row>
    <row r="4821" spans="1:1">
      <c r="A4821" s="1" t="s">
        <v>1614</v>
      </c>
    </row>
    <row r="4822" spans="1:1">
      <c r="A4822" s="1" t="s">
        <v>1615</v>
      </c>
    </row>
    <row r="4823" spans="1:1">
      <c r="A4823" s="1" t="s">
        <v>1616</v>
      </c>
    </row>
    <row r="4824" spans="1:1">
      <c r="A4824" s="1" t="s">
        <v>1617</v>
      </c>
    </row>
    <row r="4825" spans="1:1">
      <c r="A4825" s="1" t="s">
        <v>1618</v>
      </c>
    </row>
    <row r="4826" spans="1:1">
      <c r="A4826" s="1" t="s">
        <v>1612</v>
      </c>
    </row>
    <row r="4827" spans="1:1">
      <c r="A4827" s="1" t="s">
        <v>1612</v>
      </c>
    </row>
    <row r="4828" spans="1:1">
      <c r="A4828" s="1" t="s">
        <v>1612</v>
      </c>
    </row>
    <row r="4829" spans="1:1">
      <c r="A4829" s="1" t="s">
        <v>1613</v>
      </c>
    </row>
    <row r="4830" spans="1:1">
      <c r="A4830" s="1" t="s">
        <v>1614</v>
      </c>
    </row>
    <row r="4831" spans="1:1">
      <c r="A4831" s="1" t="s">
        <v>1615</v>
      </c>
    </row>
    <row r="4832" spans="1:1">
      <c r="A4832" s="1" t="s">
        <v>1616</v>
      </c>
    </row>
    <row r="4833" spans="1:1">
      <c r="A4833" s="1" t="s">
        <v>1617</v>
      </c>
    </row>
    <row r="4834" spans="1:1">
      <c r="A4834" s="1" t="s">
        <v>1618</v>
      </c>
    </row>
    <row r="4835" spans="1:1">
      <c r="A4835" s="1" t="s">
        <v>1612</v>
      </c>
    </row>
    <row r="4836" spans="1:1">
      <c r="A4836" s="1" t="s">
        <v>1612</v>
      </c>
    </row>
    <row r="4837" spans="1:1">
      <c r="A4837" s="1" t="s">
        <v>1612</v>
      </c>
    </row>
    <row r="4838" spans="1:1">
      <c r="A4838" s="1" t="s">
        <v>1613</v>
      </c>
    </row>
    <row r="4839" spans="1:1">
      <c r="A4839" s="1" t="s">
        <v>1614</v>
      </c>
    </row>
    <row r="4840" spans="1:1">
      <c r="A4840" s="1" t="s">
        <v>1615</v>
      </c>
    </row>
    <row r="4841" spans="1:1">
      <c r="A4841" s="1" t="s">
        <v>1616</v>
      </c>
    </row>
    <row r="4842" spans="1:1">
      <c r="A4842" s="1" t="s">
        <v>1617</v>
      </c>
    </row>
    <row r="4843" spans="1:1">
      <c r="A4843" s="1" t="s">
        <v>1618</v>
      </c>
    </row>
    <row r="4844" spans="1:1">
      <c r="A4844" s="1" t="s">
        <v>1612</v>
      </c>
    </row>
    <row r="4845" spans="1:1">
      <c r="A4845" s="1" t="s">
        <v>1612</v>
      </c>
    </row>
    <row r="4846" spans="1:1">
      <c r="A4846" s="1" t="s">
        <v>1612</v>
      </c>
    </row>
    <row r="4847" spans="1:1">
      <c r="A4847" s="1" t="s">
        <v>1613</v>
      </c>
    </row>
    <row r="4848" spans="1:1">
      <c r="A4848" s="1" t="s">
        <v>1614</v>
      </c>
    </row>
    <row r="4849" spans="1:1">
      <c r="A4849" s="1" t="s">
        <v>1615</v>
      </c>
    </row>
    <row r="4850" spans="1:1">
      <c r="A4850" s="1" t="s">
        <v>1616</v>
      </c>
    </row>
    <row r="4851" spans="1:1">
      <c r="A4851" s="1" t="s">
        <v>1617</v>
      </c>
    </row>
    <row r="4852" spans="1:1">
      <c r="A4852" s="1" t="s">
        <v>1618</v>
      </c>
    </row>
    <row r="4853" spans="1:1">
      <c r="A4853" s="1" t="s">
        <v>1612</v>
      </c>
    </row>
    <row r="4854" spans="1:1">
      <c r="A4854" s="1" t="s">
        <v>1612</v>
      </c>
    </row>
    <row r="4855" spans="1:1">
      <c r="A4855" s="1" t="s">
        <v>1612</v>
      </c>
    </row>
    <row r="4856" spans="1:1">
      <c r="A4856" s="1" t="s">
        <v>1613</v>
      </c>
    </row>
    <row r="4857" spans="1:1">
      <c r="A4857" s="1" t="s">
        <v>1614</v>
      </c>
    </row>
    <row r="4858" spans="1:1">
      <c r="A4858" s="1" t="s">
        <v>1615</v>
      </c>
    </row>
    <row r="4859" spans="1:1">
      <c r="A4859" s="1" t="s">
        <v>1616</v>
      </c>
    </row>
    <row r="4860" spans="1:1">
      <c r="A4860" s="1" t="s">
        <v>1617</v>
      </c>
    </row>
    <row r="4861" spans="1:1">
      <c r="A4861" s="1" t="s">
        <v>1618</v>
      </c>
    </row>
    <row r="4862" spans="1:1">
      <c r="A4862" s="1" t="s">
        <v>1612</v>
      </c>
    </row>
    <row r="4863" spans="1:1">
      <c r="A4863" s="1" t="s">
        <v>1612</v>
      </c>
    </row>
    <row r="4864" spans="1:1">
      <c r="A4864" s="1" t="s">
        <v>1612</v>
      </c>
    </row>
    <row r="4865" spans="1:1">
      <c r="A4865" s="1" t="s">
        <v>1613</v>
      </c>
    </row>
    <row r="4866" spans="1:1">
      <c r="A4866" s="1" t="s">
        <v>1614</v>
      </c>
    </row>
    <row r="4867" spans="1:1">
      <c r="A4867" s="1" t="s">
        <v>1615</v>
      </c>
    </row>
    <row r="4868" spans="1:1">
      <c r="A4868" s="1" t="s">
        <v>1616</v>
      </c>
    </row>
    <row r="4869" spans="1:1">
      <c r="A4869" s="1" t="s">
        <v>1617</v>
      </c>
    </row>
    <row r="4870" spans="1:1">
      <c r="A4870" s="1" t="s">
        <v>1618</v>
      </c>
    </row>
    <row r="4871" spans="1:1">
      <c r="A4871" s="1" t="s">
        <v>1612</v>
      </c>
    </row>
    <row r="4872" spans="1:1">
      <c r="A4872" s="1" t="s">
        <v>1619</v>
      </c>
    </row>
    <row r="4873" spans="1:1">
      <c r="A4873" s="1" t="s">
        <v>1620</v>
      </c>
    </row>
    <row r="4874" spans="1:1">
      <c r="A4874" s="1" t="s">
        <v>1621</v>
      </c>
    </row>
    <row r="4875" spans="1:1">
      <c r="A4875" s="1" t="s">
        <v>1622</v>
      </c>
    </row>
    <row r="4876" spans="1:1">
      <c r="A4876" s="1" t="s">
        <v>1623</v>
      </c>
    </row>
    <row r="4877" spans="1:1">
      <c r="A4877" s="1" t="s">
        <v>1623</v>
      </c>
    </row>
    <row r="4878" spans="1:1">
      <c r="A4878" s="1" t="s">
        <v>1624</v>
      </c>
    </row>
    <row r="4879" spans="1:1">
      <c r="A4879" s="1" t="s">
        <v>1625</v>
      </c>
    </row>
    <row r="4880" spans="1:1">
      <c r="A4880" s="1" t="s">
        <v>1626</v>
      </c>
    </row>
    <row r="4881" spans="1:1">
      <c r="A4881" s="1" t="s">
        <v>1627</v>
      </c>
    </row>
    <row r="4882" spans="1:1">
      <c r="A4882" s="1" t="s">
        <v>1628</v>
      </c>
    </row>
    <row r="4883" spans="1:1">
      <c r="A4883" s="1" t="s">
        <v>1629</v>
      </c>
    </row>
    <row r="4884" spans="1:1">
      <c r="A4884" s="1" t="s">
        <v>1623</v>
      </c>
    </row>
    <row r="4885" spans="1:1">
      <c r="A4885" s="1" t="s">
        <v>1623</v>
      </c>
    </row>
    <row r="4886" spans="1:1">
      <c r="A4886" s="1" t="s">
        <v>1623</v>
      </c>
    </row>
    <row r="4887" spans="1:1">
      <c r="A4887" s="1" t="s">
        <v>1624</v>
      </c>
    </row>
    <row r="4888" spans="1:1">
      <c r="A4888" s="1" t="s">
        <v>1625</v>
      </c>
    </row>
    <row r="4889" spans="1:1">
      <c r="A4889" s="1" t="s">
        <v>1626</v>
      </c>
    </row>
    <row r="4890" spans="1:1">
      <c r="A4890" s="1" t="s">
        <v>1627</v>
      </c>
    </row>
    <row r="4891" spans="1:1">
      <c r="A4891" s="1" t="s">
        <v>1628</v>
      </c>
    </row>
    <row r="4892" spans="1:1">
      <c r="A4892" s="1" t="s">
        <v>1629</v>
      </c>
    </row>
    <row r="4893" spans="1:1">
      <c r="A4893" s="1" t="s">
        <v>1623</v>
      </c>
    </row>
    <row r="4894" spans="1:1">
      <c r="A4894" s="1" t="s">
        <v>1623</v>
      </c>
    </row>
    <row r="4895" spans="1:1">
      <c r="A4895" s="1" t="s">
        <v>1623</v>
      </c>
    </row>
    <row r="4896" spans="1:1">
      <c r="A4896" s="1" t="s">
        <v>1624</v>
      </c>
    </row>
    <row r="4897" spans="1:1">
      <c r="A4897" s="1" t="s">
        <v>1625</v>
      </c>
    </row>
    <row r="4898" spans="1:1">
      <c r="A4898" s="1" t="s">
        <v>1626</v>
      </c>
    </row>
    <row r="4899" spans="1:1">
      <c r="A4899" s="1" t="s">
        <v>1627</v>
      </c>
    </row>
    <row r="4900" spans="1:1">
      <c r="A4900" s="1" t="s">
        <v>1628</v>
      </c>
    </row>
    <row r="4901" spans="1:1">
      <c r="A4901" s="1" t="s">
        <v>1629</v>
      </c>
    </row>
    <row r="4902" spans="1:1">
      <c r="A4902" s="1" t="s">
        <v>1623</v>
      </c>
    </row>
    <row r="4903" spans="1:1">
      <c r="A4903" s="1" t="s">
        <v>1623</v>
      </c>
    </row>
    <row r="4904" spans="1:1">
      <c r="A4904" s="1" t="s">
        <v>1623</v>
      </c>
    </row>
    <row r="4905" spans="1:1">
      <c r="A4905" s="1" t="s">
        <v>1624</v>
      </c>
    </row>
    <row r="4906" spans="1:1">
      <c r="A4906" s="1" t="s">
        <v>1625</v>
      </c>
    </row>
    <row r="4907" spans="1:1">
      <c r="A4907" s="1" t="s">
        <v>1626</v>
      </c>
    </row>
    <row r="4908" spans="1:1">
      <c r="A4908" s="1" t="s">
        <v>1627</v>
      </c>
    </row>
    <row r="4909" spans="1:1">
      <c r="A4909" s="1" t="s">
        <v>1628</v>
      </c>
    </row>
    <row r="4910" spans="1:1">
      <c r="A4910" s="1" t="s">
        <v>1629</v>
      </c>
    </row>
    <row r="4911" spans="1:1">
      <c r="A4911" s="1" t="s">
        <v>1623</v>
      </c>
    </row>
    <row r="4912" spans="1:1">
      <c r="A4912" s="1" t="s">
        <v>1623</v>
      </c>
    </row>
    <row r="4913" spans="1:1">
      <c r="A4913" s="1" t="s">
        <v>1623</v>
      </c>
    </row>
    <row r="4914" spans="1:1">
      <c r="A4914" s="1" t="s">
        <v>1624</v>
      </c>
    </row>
    <row r="4915" spans="1:1">
      <c r="A4915" s="1" t="s">
        <v>1625</v>
      </c>
    </row>
    <row r="4916" spans="1:1">
      <c r="A4916" s="1" t="s">
        <v>1626</v>
      </c>
    </row>
    <row r="4917" spans="1:1">
      <c r="A4917" s="1" t="s">
        <v>1627</v>
      </c>
    </row>
    <row r="4918" spans="1:1">
      <c r="A4918" s="1" t="s">
        <v>1628</v>
      </c>
    </row>
    <row r="4919" spans="1:1">
      <c r="A4919" s="1" t="s">
        <v>1629</v>
      </c>
    </row>
    <row r="4920" spans="1:1">
      <c r="A4920" s="1" t="s">
        <v>1623</v>
      </c>
    </row>
    <row r="4921" spans="1:1">
      <c r="A4921" s="1" t="s">
        <v>1630</v>
      </c>
    </row>
    <row r="4922" spans="1:1">
      <c r="A4922" s="1" t="s">
        <v>1630</v>
      </c>
    </row>
    <row r="4923" spans="1:1">
      <c r="A4923" s="1" t="s">
        <v>1631</v>
      </c>
    </row>
    <row r="4924" spans="1:1">
      <c r="A4924" s="1" t="s">
        <v>1632</v>
      </c>
    </row>
    <row r="4925" spans="1:1">
      <c r="A4925" s="1" t="s">
        <v>1633</v>
      </c>
    </row>
    <row r="4926" spans="1:1">
      <c r="A4926" s="1" t="s">
        <v>1634</v>
      </c>
    </row>
    <row r="4927" spans="1:1">
      <c r="A4927" s="1" t="s">
        <v>1635</v>
      </c>
    </row>
    <row r="4928" spans="1:1">
      <c r="A4928" s="1" t="s">
        <v>1636</v>
      </c>
    </row>
    <row r="4929" spans="1:1">
      <c r="A4929" s="1" t="s">
        <v>1630</v>
      </c>
    </row>
    <row r="4930" spans="1:1">
      <c r="A4930" s="1" t="s">
        <v>1637</v>
      </c>
    </row>
    <row r="4931" spans="1:1">
      <c r="A4931" s="1" t="s">
        <v>1638</v>
      </c>
    </row>
    <row r="4932" spans="1:1">
      <c r="A4932" s="1" t="s">
        <v>1639</v>
      </c>
    </row>
    <row r="4933" spans="1:1">
      <c r="A4933" s="1" t="s">
        <v>1640</v>
      </c>
    </row>
    <row r="4934" spans="1:1">
      <c r="A4934" s="1" t="s">
        <v>1641</v>
      </c>
    </row>
    <row r="4935" spans="1:1">
      <c r="A4935" s="1" t="s">
        <v>1642</v>
      </c>
    </row>
    <row r="4936" spans="1:1">
      <c r="A4936" s="1" t="s">
        <v>1643</v>
      </c>
    </row>
    <row r="4937" spans="1:1">
      <c r="A4937" s="1" t="s">
        <v>1644</v>
      </c>
    </row>
    <row r="4938" spans="1:1">
      <c r="A4938" s="1" t="s">
        <v>1645</v>
      </c>
    </row>
    <row r="4939" spans="1:1">
      <c r="A4939" s="1" t="s">
        <v>1646</v>
      </c>
    </row>
    <row r="4940" spans="1:1">
      <c r="A4940" s="1" t="s">
        <v>1647</v>
      </c>
    </row>
    <row r="4941" spans="1:1">
      <c r="A4941" s="1" t="s">
        <v>1648</v>
      </c>
    </row>
    <row r="4942" spans="1:1">
      <c r="A4942" s="1" t="s">
        <v>1649</v>
      </c>
    </row>
    <row r="4943" spans="1:1">
      <c r="A4943" s="1" t="s">
        <v>1650</v>
      </c>
    </row>
    <row r="4944" spans="1:1">
      <c r="A4944" s="1" t="s">
        <v>1651</v>
      </c>
    </row>
    <row r="4945" spans="1:1">
      <c r="A4945" s="1" t="s">
        <v>1652</v>
      </c>
    </row>
    <row r="4946" spans="1:1">
      <c r="A4946" s="1" t="s">
        <v>1653</v>
      </c>
    </row>
    <row r="4947" spans="1:1">
      <c r="A4947" s="1" t="s">
        <v>1654</v>
      </c>
    </row>
    <row r="4948" spans="1:1">
      <c r="A4948" s="1" t="s">
        <v>1655</v>
      </c>
    </row>
    <row r="4949" spans="1:1">
      <c r="A4949" s="1" t="s">
        <v>1656</v>
      </c>
    </row>
    <row r="4950" spans="1:1">
      <c r="A4950" s="1" t="s">
        <v>1657</v>
      </c>
    </row>
    <row r="4951" spans="1:1">
      <c r="A4951" s="1" t="s">
        <v>1658</v>
      </c>
    </row>
    <row r="4952" spans="1:1">
      <c r="A4952" s="1" t="s">
        <v>1659</v>
      </c>
    </row>
    <row r="4953" spans="1:1">
      <c r="A4953" s="1" t="s">
        <v>1660</v>
      </c>
    </row>
    <row r="4954" spans="1:1">
      <c r="A4954" s="1" t="s">
        <v>1661</v>
      </c>
    </row>
    <row r="4955" spans="1:1">
      <c r="A4955" s="1" t="s">
        <v>1662</v>
      </c>
    </row>
    <row r="4956" spans="1:1">
      <c r="A4956" s="1" t="s">
        <v>1663</v>
      </c>
    </row>
    <row r="4957" spans="1:1">
      <c r="A4957" s="1" t="s">
        <v>1664</v>
      </c>
    </row>
    <row r="4958" spans="1:1">
      <c r="A4958" s="1" t="s">
        <v>1665</v>
      </c>
    </row>
    <row r="4959" spans="1:1">
      <c r="A4959" s="1" t="s">
        <v>1666</v>
      </c>
    </row>
    <row r="4960" spans="1:1">
      <c r="A4960" s="1" t="s">
        <v>1667</v>
      </c>
    </row>
    <row r="4961" spans="1:1">
      <c r="A4961" s="1" t="s">
        <v>1668</v>
      </c>
    </row>
    <row r="4962" spans="1:1">
      <c r="A4962" s="1" t="s">
        <v>1669</v>
      </c>
    </row>
    <row r="4963" spans="1:1">
      <c r="A4963" s="1" t="s">
        <v>1670</v>
      </c>
    </row>
    <row r="4964" spans="1:1">
      <c r="A4964" s="1" t="s">
        <v>1671</v>
      </c>
    </row>
    <row r="4965" spans="1:1">
      <c r="A4965" s="1" t="s">
        <v>1672</v>
      </c>
    </row>
    <row r="4966" spans="1:1">
      <c r="A4966" s="1" t="s">
        <v>1673</v>
      </c>
    </row>
    <row r="4967" spans="1:1">
      <c r="A4967" s="1" t="s">
        <v>1663</v>
      </c>
    </row>
    <row r="4968" spans="1:1">
      <c r="A4968" s="1" t="s">
        <v>1664</v>
      </c>
    </row>
    <row r="4969" spans="1:1">
      <c r="A4969" s="1" t="s">
        <v>1665</v>
      </c>
    </row>
    <row r="4970" spans="1:1">
      <c r="A4970" s="1" t="s">
        <v>1674</v>
      </c>
    </row>
    <row r="4971" spans="1:1">
      <c r="A4971" s="1" t="s">
        <v>1667</v>
      </c>
    </row>
    <row r="4972" spans="1:1">
      <c r="A4972" s="1" t="s">
        <v>1668</v>
      </c>
    </row>
    <row r="4973" spans="1:1">
      <c r="A4973" s="1" t="s">
        <v>1669</v>
      </c>
    </row>
    <row r="4974" spans="1:1">
      <c r="A4974" s="1" t="s">
        <v>1670</v>
      </c>
    </row>
    <row r="4975" spans="1:1">
      <c r="A4975" s="1" t="s">
        <v>1675</v>
      </c>
    </row>
    <row r="4976" spans="1:1">
      <c r="A4976" s="1" t="s">
        <v>1676</v>
      </c>
    </row>
    <row r="4977" spans="1:1">
      <c r="A4977" s="1" t="s">
        <v>1677</v>
      </c>
    </row>
    <row r="4978" spans="1:1">
      <c r="A4978" s="1" t="s">
        <v>1678</v>
      </c>
    </row>
    <row r="4979" spans="1:1">
      <c r="A4979" s="1" t="s">
        <v>1679</v>
      </c>
    </row>
    <row r="4980" spans="1:1">
      <c r="A4980" s="1" t="s">
        <v>1680</v>
      </c>
    </row>
    <row r="4981" spans="1:1">
      <c r="A4981" s="1" t="s">
        <v>1681</v>
      </c>
    </row>
    <row r="4982" spans="1:1">
      <c r="A4982" s="1" t="s">
        <v>1682</v>
      </c>
    </row>
    <row r="4983" spans="1:1">
      <c r="A4983" s="1" t="s">
        <v>1683</v>
      </c>
    </row>
    <row r="4984" spans="1:1">
      <c r="A4984" s="1" t="s">
        <v>1684</v>
      </c>
    </row>
    <row r="4985" spans="1:1">
      <c r="A4985" s="1" t="s">
        <v>1685</v>
      </c>
    </row>
    <row r="4986" spans="1:1">
      <c r="A4986" s="1" t="s">
        <v>1686</v>
      </c>
    </row>
    <row r="4987" spans="1:1">
      <c r="A4987" s="1" t="s">
        <v>1687</v>
      </c>
    </row>
    <row r="4988" spans="1:1">
      <c r="A4988" s="1" t="s">
        <v>1688</v>
      </c>
    </row>
    <row r="4989" spans="1:1">
      <c r="A4989" s="1" t="s">
        <v>1689</v>
      </c>
    </row>
    <row r="4990" spans="1:1">
      <c r="A4990" s="1" t="s">
        <v>1690</v>
      </c>
    </row>
    <row r="4991" spans="1:1">
      <c r="A4991" s="1" t="s">
        <v>1691</v>
      </c>
    </row>
    <row r="4992" spans="1:1">
      <c r="A4992" s="1" t="s">
        <v>1692</v>
      </c>
    </row>
    <row r="4993" spans="1:1">
      <c r="A4993" s="1" t="s">
        <v>1693</v>
      </c>
    </row>
    <row r="4994" spans="1:1">
      <c r="A4994" s="1" t="s">
        <v>1694</v>
      </c>
    </row>
    <row r="4995" spans="1:1">
      <c r="A4995" s="1" t="s">
        <v>1695</v>
      </c>
    </row>
    <row r="4996" spans="1:1">
      <c r="A4996" s="1" t="s">
        <v>1696</v>
      </c>
    </row>
    <row r="4997" spans="1:1">
      <c r="A4997" s="1" t="s">
        <v>1697</v>
      </c>
    </row>
    <row r="4998" spans="1:1">
      <c r="A4998" s="1" t="s">
        <v>1698</v>
      </c>
    </row>
    <row r="4999" spans="1:1">
      <c r="A4999" s="1" t="s">
        <v>1699</v>
      </c>
    </row>
    <row r="5000" spans="1:1">
      <c r="A5000" s="1" t="s">
        <v>1700</v>
      </c>
    </row>
    <row r="5001" spans="1:1">
      <c r="A5001" s="1" t="s">
        <v>1701</v>
      </c>
    </row>
    <row r="5002" spans="1:1">
      <c r="A5002" s="1" t="s">
        <v>1702</v>
      </c>
    </row>
    <row r="5003" spans="1:1">
      <c r="A5003" s="1" t="s">
        <v>1703</v>
      </c>
    </row>
    <row r="5004" spans="1:1">
      <c r="A5004" s="1" t="s">
        <v>1704</v>
      </c>
    </row>
    <row r="5005" spans="1:1">
      <c r="A5005" s="1" t="s">
        <v>1705</v>
      </c>
    </row>
    <row r="5006" spans="1:1">
      <c r="A5006" s="1" t="s">
        <v>1706</v>
      </c>
    </row>
    <row r="5007" spans="1:1">
      <c r="A5007" s="1" t="s">
        <v>1707</v>
      </c>
    </row>
    <row r="5008" spans="1:1">
      <c r="A5008" s="1" t="s">
        <v>1708</v>
      </c>
    </row>
    <row r="5009" spans="1:1">
      <c r="A5009" s="1" t="s">
        <v>1709</v>
      </c>
    </row>
    <row r="5010" spans="1:1">
      <c r="A5010" s="1" t="s">
        <v>1710</v>
      </c>
    </row>
    <row r="5011" spans="1:1">
      <c r="A5011" s="1" t="s">
        <v>1711</v>
      </c>
    </row>
    <row r="5012" spans="1:1">
      <c r="A5012" s="1" t="s">
        <v>1712</v>
      </c>
    </row>
    <row r="5013" spans="1:1">
      <c r="A5013" s="1" t="s">
        <v>1713</v>
      </c>
    </row>
    <row r="5014" spans="1:1">
      <c r="A5014" s="1" t="s">
        <v>1714</v>
      </c>
    </row>
    <row r="5015" spans="1:1">
      <c r="A5015" s="1" t="s">
        <v>1715</v>
      </c>
    </row>
    <row r="5016" spans="1:1">
      <c r="A5016" s="1" t="s">
        <v>1716</v>
      </c>
    </row>
    <row r="5017" spans="1:1">
      <c r="A5017" s="1" t="s">
        <v>1717</v>
      </c>
    </row>
    <row r="5018" spans="1:1">
      <c r="A5018" s="1" t="s">
        <v>1718</v>
      </c>
    </row>
    <row r="5019" spans="1:1">
      <c r="A5019" s="1" t="s">
        <v>1719</v>
      </c>
    </row>
    <row r="5020" spans="1:1">
      <c r="A5020" s="1" t="s">
        <v>1720</v>
      </c>
    </row>
    <row r="5021" spans="1:1">
      <c r="A5021" s="1" t="s">
        <v>1721</v>
      </c>
    </row>
    <row r="5022" spans="1:1">
      <c r="A5022" s="1" t="s">
        <v>1722</v>
      </c>
    </row>
    <row r="5023" spans="1:1">
      <c r="A5023" s="1" t="s">
        <v>1723</v>
      </c>
    </row>
    <row r="5024" spans="1:1">
      <c r="A5024" s="1" t="s">
        <v>1724</v>
      </c>
    </row>
    <row r="5025" spans="1:1">
      <c r="A5025" s="1" t="s">
        <v>1725</v>
      </c>
    </row>
    <row r="5026" spans="1:1">
      <c r="A5026" s="1" t="s">
        <v>1726</v>
      </c>
    </row>
    <row r="5027" spans="1:1">
      <c r="A5027" s="1" t="s">
        <v>1727</v>
      </c>
    </row>
    <row r="5028" spans="1:1">
      <c r="A5028" s="1" t="s">
        <v>1728</v>
      </c>
    </row>
    <row r="5029" spans="1:1">
      <c r="A5029" s="1" t="s">
        <v>1728</v>
      </c>
    </row>
    <row r="5030" spans="1:1">
      <c r="A5030" s="1" t="s">
        <v>1729</v>
      </c>
    </row>
    <row r="5031" spans="1:1">
      <c r="A5031" s="1" t="s">
        <v>1730</v>
      </c>
    </row>
    <row r="5032" spans="1:1">
      <c r="A5032" s="1" t="s">
        <v>1731</v>
      </c>
    </row>
    <row r="5033" spans="1:1">
      <c r="A5033" s="1" t="s">
        <v>1732</v>
      </c>
    </row>
    <row r="5034" spans="1:1">
      <c r="A5034" s="1" t="s">
        <v>1733</v>
      </c>
    </row>
    <row r="5035" spans="1:1">
      <c r="A5035" s="1" t="s">
        <v>1734</v>
      </c>
    </row>
    <row r="5036" spans="1:1">
      <c r="A5036" s="1" t="s">
        <v>1728</v>
      </c>
    </row>
    <row r="5037" spans="1:1">
      <c r="A5037" s="1" t="s">
        <v>1728</v>
      </c>
    </row>
    <row r="5038" spans="1:1">
      <c r="A5038" s="1" t="s">
        <v>1728</v>
      </c>
    </row>
    <row r="5039" spans="1:1">
      <c r="A5039" s="1" t="s">
        <v>1729</v>
      </c>
    </row>
    <row r="5040" spans="1:1">
      <c r="A5040" s="1" t="s">
        <v>1730</v>
      </c>
    </row>
    <row r="5041" spans="1:1">
      <c r="A5041" s="1" t="s">
        <v>1731</v>
      </c>
    </row>
    <row r="5042" spans="1:1">
      <c r="A5042" s="1" t="s">
        <v>1732</v>
      </c>
    </row>
    <row r="5043" spans="1:1">
      <c r="A5043" s="1" t="s">
        <v>1733</v>
      </c>
    </row>
    <row r="5044" spans="1:1">
      <c r="A5044" s="1" t="s">
        <v>1734</v>
      </c>
    </row>
    <row r="5045" spans="1:1">
      <c r="A5045" s="1" t="s">
        <v>1728</v>
      </c>
    </row>
    <row r="5046" spans="1:1">
      <c r="A5046" s="1" t="s">
        <v>1728</v>
      </c>
    </row>
    <row r="5047" spans="1:1">
      <c r="A5047" s="1" t="s">
        <v>1728</v>
      </c>
    </row>
    <row r="5048" spans="1:1">
      <c r="A5048" s="1" t="s">
        <v>1729</v>
      </c>
    </row>
    <row r="5049" spans="1:1">
      <c r="A5049" s="1" t="s">
        <v>1730</v>
      </c>
    </row>
    <row r="5050" spans="1:1">
      <c r="A5050" s="1" t="s">
        <v>1731</v>
      </c>
    </row>
    <row r="5051" spans="1:1">
      <c r="A5051" s="1" t="s">
        <v>1732</v>
      </c>
    </row>
    <row r="5052" spans="1:1">
      <c r="A5052" s="1" t="s">
        <v>1733</v>
      </c>
    </row>
    <row r="5053" spans="1:1">
      <c r="A5053" s="1" t="s">
        <v>1734</v>
      </c>
    </row>
    <row r="5054" spans="1:1">
      <c r="A5054" s="1" t="s">
        <v>1728</v>
      </c>
    </row>
    <row r="5055" spans="1:1">
      <c r="A5055" s="1" t="s">
        <v>1728</v>
      </c>
    </row>
    <row r="5056" spans="1:1">
      <c r="A5056" s="1" t="s">
        <v>1728</v>
      </c>
    </row>
    <row r="5057" spans="1:1">
      <c r="A5057" s="1" t="s">
        <v>1729</v>
      </c>
    </row>
    <row r="5058" spans="1:1">
      <c r="A5058" s="1" t="s">
        <v>1730</v>
      </c>
    </row>
    <row r="5059" spans="1:1">
      <c r="A5059" s="1" t="s">
        <v>1731</v>
      </c>
    </row>
    <row r="5060" spans="1:1">
      <c r="A5060" s="1" t="s">
        <v>1732</v>
      </c>
    </row>
    <row r="5061" spans="1:1">
      <c r="A5061" s="1" t="s">
        <v>1733</v>
      </c>
    </row>
    <row r="5062" spans="1:1">
      <c r="A5062" s="1" t="s">
        <v>1734</v>
      </c>
    </row>
    <row r="5063" spans="1:1">
      <c r="A5063" s="1" t="s">
        <v>1728</v>
      </c>
    </row>
    <row r="5064" spans="1:1">
      <c r="A5064" s="1" t="s">
        <v>1728</v>
      </c>
    </row>
    <row r="5065" spans="1:1">
      <c r="A5065" s="1" t="s">
        <v>1728</v>
      </c>
    </row>
    <row r="5066" spans="1:1">
      <c r="A5066" s="1" t="s">
        <v>1729</v>
      </c>
    </row>
    <row r="5067" spans="1:1">
      <c r="A5067" s="1" t="s">
        <v>1730</v>
      </c>
    </row>
    <row r="5068" spans="1:1">
      <c r="A5068" s="1" t="s">
        <v>1731</v>
      </c>
    </row>
    <row r="5069" spans="1:1">
      <c r="A5069" s="1" t="s">
        <v>1732</v>
      </c>
    </row>
    <row r="5070" spans="1:1">
      <c r="A5070" s="1" t="s">
        <v>1733</v>
      </c>
    </row>
    <row r="5071" spans="1:1">
      <c r="A5071" s="1" t="s">
        <v>1734</v>
      </c>
    </row>
    <row r="5072" spans="1:1">
      <c r="A5072" s="1" t="s">
        <v>1728</v>
      </c>
    </row>
    <row r="5073" spans="1:1">
      <c r="A5073" s="1" t="s">
        <v>1728</v>
      </c>
    </row>
    <row r="5074" spans="1:1">
      <c r="A5074" s="1" t="s">
        <v>1728</v>
      </c>
    </row>
    <row r="5075" spans="1:1">
      <c r="A5075" s="1" t="s">
        <v>1729</v>
      </c>
    </row>
    <row r="5076" spans="1:1">
      <c r="A5076" s="1" t="s">
        <v>1730</v>
      </c>
    </row>
    <row r="5077" spans="1:1">
      <c r="A5077" s="1" t="s">
        <v>1731</v>
      </c>
    </row>
    <row r="5078" spans="1:1">
      <c r="A5078" s="1" t="s">
        <v>1732</v>
      </c>
    </row>
    <row r="5079" spans="1:1">
      <c r="A5079" s="1" t="s">
        <v>1733</v>
      </c>
    </row>
    <row r="5080" spans="1:1">
      <c r="A5080" s="1" t="s">
        <v>1734</v>
      </c>
    </row>
    <row r="5081" spans="1:1">
      <c r="A5081" s="1" t="s">
        <v>1728</v>
      </c>
    </row>
    <row r="5082" spans="1:1">
      <c r="A5082" s="1" t="s">
        <v>1735</v>
      </c>
    </row>
    <row r="5083" spans="1:1">
      <c r="A5083" s="1" t="s">
        <v>1735</v>
      </c>
    </row>
    <row r="5084" spans="1:1">
      <c r="A5084" s="1" t="s">
        <v>1736</v>
      </c>
    </row>
    <row r="5085" spans="1:1">
      <c r="A5085" s="1" t="s">
        <v>1737</v>
      </c>
    </row>
    <row r="5086" spans="1:1">
      <c r="A5086" s="1" t="s">
        <v>1738</v>
      </c>
    </row>
    <row r="5087" spans="1:1">
      <c r="A5087" s="1" t="s">
        <v>1739</v>
      </c>
    </row>
    <row r="5088" spans="1:1">
      <c r="A5088" s="1" t="s">
        <v>1740</v>
      </c>
    </row>
    <row r="5089" spans="1:1">
      <c r="A5089" s="1" t="s">
        <v>1741</v>
      </c>
    </row>
    <row r="5090" spans="1:1">
      <c r="A5090" s="1" t="s">
        <v>1735</v>
      </c>
    </row>
    <row r="5091" spans="1:1">
      <c r="A5091" s="1" t="s">
        <v>1735</v>
      </c>
    </row>
    <row r="5092" spans="1:1">
      <c r="A5092" s="1" t="s">
        <v>1735</v>
      </c>
    </row>
    <row r="5093" spans="1:1">
      <c r="A5093" s="1" t="s">
        <v>1736</v>
      </c>
    </row>
    <row r="5094" spans="1:1">
      <c r="A5094" s="1" t="s">
        <v>1737</v>
      </c>
    </row>
    <row r="5095" spans="1:1">
      <c r="A5095" s="1" t="s">
        <v>1738</v>
      </c>
    </row>
    <row r="5096" spans="1:1">
      <c r="A5096" s="1" t="s">
        <v>1739</v>
      </c>
    </row>
    <row r="5097" spans="1:1">
      <c r="A5097" s="1" t="s">
        <v>1740</v>
      </c>
    </row>
    <row r="5098" spans="1:1">
      <c r="A5098" s="1" t="s">
        <v>1741</v>
      </c>
    </row>
    <row r="5099" spans="1:1">
      <c r="A5099" s="1" t="s">
        <v>1735</v>
      </c>
    </row>
    <row r="5100" spans="1:1">
      <c r="A5100" s="1" t="s">
        <v>1735</v>
      </c>
    </row>
    <row r="5101" spans="1:1">
      <c r="A5101" s="1" t="s">
        <v>1735</v>
      </c>
    </row>
    <row r="5102" spans="1:1">
      <c r="A5102" s="1" t="s">
        <v>1736</v>
      </c>
    </row>
    <row r="5103" spans="1:1">
      <c r="A5103" s="1" t="s">
        <v>1737</v>
      </c>
    </row>
    <row r="5104" spans="1:1">
      <c r="A5104" s="1" t="s">
        <v>1738</v>
      </c>
    </row>
    <row r="5105" spans="1:1">
      <c r="A5105" s="1" t="s">
        <v>1739</v>
      </c>
    </row>
    <row r="5106" spans="1:1">
      <c r="A5106" s="1" t="s">
        <v>1740</v>
      </c>
    </row>
    <row r="5107" spans="1:1">
      <c r="A5107" s="1" t="s">
        <v>1741</v>
      </c>
    </row>
    <row r="5108" spans="1:1">
      <c r="A5108" s="1" t="s">
        <v>1735</v>
      </c>
    </row>
    <row r="5109" spans="1:1">
      <c r="A5109" s="1" t="s">
        <v>1735</v>
      </c>
    </row>
    <row r="5110" spans="1:1">
      <c r="A5110" s="1" t="s">
        <v>1735</v>
      </c>
    </row>
    <row r="5111" spans="1:1">
      <c r="A5111" s="1" t="s">
        <v>1736</v>
      </c>
    </row>
    <row r="5112" spans="1:1">
      <c r="A5112" s="1" t="s">
        <v>1737</v>
      </c>
    </row>
    <row r="5113" spans="1:1">
      <c r="A5113" s="1" t="s">
        <v>1738</v>
      </c>
    </row>
    <row r="5114" spans="1:1">
      <c r="A5114" s="1" t="s">
        <v>1739</v>
      </c>
    </row>
    <row r="5115" spans="1:1">
      <c r="A5115" s="1" t="s">
        <v>1740</v>
      </c>
    </row>
    <row r="5116" spans="1:1">
      <c r="A5116" s="1" t="s">
        <v>1741</v>
      </c>
    </row>
    <row r="5117" spans="1:1">
      <c r="A5117" s="1" t="s">
        <v>1735</v>
      </c>
    </row>
    <row r="5118" spans="1:1">
      <c r="A5118" s="1" t="s">
        <v>1735</v>
      </c>
    </row>
    <row r="5119" spans="1:1">
      <c r="A5119" s="1" t="s">
        <v>1735</v>
      </c>
    </row>
    <row r="5120" spans="1:1">
      <c r="A5120" s="1" t="s">
        <v>1736</v>
      </c>
    </row>
    <row r="5121" spans="1:1">
      <c r="A5121" s="1" t="s">
        <v>1737</v>
      </c>
    </row>
    <row r="5122" spans="1:1">
      <c r="A5122" s="1" t="s">
        <v>1738</v>
      </c>
    </row>
    <row r="5123" spans="1:1">
      <c r="A5123" s="1" t="s">
        <v>1739</v>
      </c>
    </row>
    <row r="5124" spans="1:1">
      <c r="A5124" s="1" t="s">
        <v>1740</v>
      </c>
    </row>
    <row r="5125" spans="1:1">
      <c r="A5125" s="1" t="s">
        <v>1741</v>
      </c>
    </row>
    <row r="5126" spans="1:1">
      <c r="A5126" s="1" t="s">
        <v>1735</v>
      </c>
    </row>
    <row r="5127" spans="1:1">
      <c r="A5127" s="1" t="s">
        <v>1735</v>
      </c>
    </row>
    <row r="5128" spans="1:1">
      <c r="A5128" s="1" t="s">
        <v>1735</v>
      </c>
    </row>
    <row r="5129" spans="1:1">
      <c r="A5129" s="1" t="s">
        <v>1736</v>
      </c>
    </row>
    <row r="5130" spans="1:1">
      <c r="A5130" s="1" t="s">
        <v>1737</v>
      </c>
    </row>
    <row r="5131" spans="1:1">
      <c r="A5131" s="1" t="s">
        <v>1738</v>
      </c>
    </row>
    <row r="5132" spans="1:1">
      <c r="A5132" s="1" t="s">
        <v>1739</v>
      </c>
    </row>
    <row r="5133" spans="1:1">
      <c r="A5133" s="1" t="s">
        <v>1740</v>
      </c>
    </row>
    <row r="5134" spans="1:1">
      <c r="A5134" s="1" t="s">
        <v>1741</v>
      </c>
    </row>
    <row r="5135" spans="1:1">
      <c r="A5135" s="1" t="s">
        <v>1735</v>
      </c>
    </row>
    <row r="5136" spans="1:1">
      <c r="A5136" s="1" t="s">
        <v>1742</v>
      </c>
    </row>
    <row r="5137" spans="1:1">
      <c r="A5137" s="1" t="s">
        <v>1742</v>
      </c>
    </row>
    <row r="5138" spans="1:1">
      <c r="A5138" s="1" t="s">
        <v>1743</v>
      </c>
    </row>
    <row r="5139" spans="1:1">
      <c r="A5139" s="1" t="s">
        <v>1744</v>
      </c>
    </row>
    <row r="5140" spans="1:1">
      <c r="A5140" s="1" t="s">
        <v>1745</v>
      </c>
    </row>
    <row r="5141" spans="1:1">
      <c r="A5141" s="1" t="s">
        <v>1746</v>
      </c>
    </row>
    <row r="5142" spans="1:1">
      <c r="A5142" s="1" t="s">
        <v>1747</v>
      </c>
    </row>
    <row r="5143" spans="1:1">
      <c r="A5143" s="1" t="s">
        <v>1748</v>
      </c>
    </row>
    <row r="5144" spans="1:1">
      <c r="A5144" s="1" t="s">
        <v>1742</v>
      </c>
    </row>
    <row r="5145" spans="1:1">
      <c r="A5145" s="1" t="s">
        <v>1742</v>
      </c>
    </row>
    <row r="5146" spans="1:1">
      <c r="A5146" s="1" t="s">
        <v>1742</v>
      </c>
    </row>
    <row r="5147" spans="1:1">
      <c r="A5147" s="1" t="s">
        <v>1743</v>
      </c>
    </row>
    <row r="5148" spans="1:1">
      <c r="A5148" s="1" t="s">
        <v>1744</v>
      </c>
    </row>
    <row r="5149" spans="1:1">
      <c r="A5149" s="1" t="s">
        <v>1745</v>
      </c>
    </row>
    <row r="5150" spans="1:1">
      <c r="A5150" s="1" t="s">
        <v>1746</v>
      </c>
    </row>
    <row r="5151" spans="1:1">
      <c r="A5151" s="1" t="s">
        <v>1747</v>
      </c>
    </row>
    <row r="5152" spans="1:1">
      <c r="A5152" s="1" t="s">
        <v>1748</v>
      </c>
    </row>
    <row r="5153" spans="1:1">
      <c r="A5153" s="1" t="s">
        <v>1742</v>
      </c>
    </row>
    <row r="5154" spans="1:1">
      <c r="A5154" s="1" t="s">
        <v>1742</v>
      </c>
    </row>
    <row r="5155" spans="1:1">
      <c r="A5155" s="1" t="s">
        <v>1742</v>
      </c>
    </row>
    <row r="5156" spans="1:1">
      <c r="A5156" s="1" t="s">
        <v>1743</v>
      </c>
    </row>
    <row r="5157" spans="1:1">
      <c r="A5157" s="1" t="s">
        <v>1744</v>
      </c>
    </row>
    <row r="5158" spans="1:1">
      <c r="A5158" s="1" t="s">
        <v>1745</v>
      </c>
    </row>
    <row r="5159" spans="1:1">
      <c r="A5159" s="1" t="s">
        <v>1746</v>
      </c>
    </row>
    <row r="5160" spans="1:1">
      <c r="A5160" s="1" t="s">
        <v>1747</v>
      </c>
    </row>
    <row r="5161" spans="1:1">
      <c r="A5161" s="1" t="s">
        <v>1748</v>
      </c>
    </row>
    <row r="5162" spans="1:1">
      <c r="A5162" s="1" t="s">
        <v>1742</v>
      </c>
    </row>
    <row r="5163" spans="1:1">
      <c r="A5163" s="1" t="s">
        <v>1742</v>
      </c>
    </row>
    <row r="5164" spans="1:1">
      <c r="A5164" s="1" t="s">
        <v>1742</v>
      </c>
    </row>
    <row r="5165" spans="1:1">
      <c r="A5165" s="1" t="s">
        <v>1743</v>
      </c>
    </row>
    <row r="5166" spans="1:1">
      <c r="A5166" s="1" t="s">
        <v>1744</v>
      </c>
    </row>
    <row r="5167" spans="1:1">
      <c r="A5167" s="1" t="s">
        <v>1745</v>
      </c>
    </row>
    <row r="5168" spans="1:1">
      <c r="A5168" s="1" t="s">
        <v>1746</v>
      </c>
    </row>
    <row r="5169" spans="1:1">
      <c r="A5169" s="1" t="s">
        <v>1747</v>
      </c>
    </row>
    <row r="5170" spans="1:1">
      <c r="A5170" s="1" t="s">
        <v>1748</v>
      </c>
    </row>
    <row r="5171" spans="1:1">
      <c r="A5171" s="1" t="s">
        <v>1742</v>
      </c>
    </row>
    <row r="5172" spans="1:1">
      <c r="A5172" s="1" t="s">
        <v>1742</v>
      </c>
    </row>
    <row r="5173" spans="1:1">
      <c r="A5173" s="1" t="s">
        <v>1742</v>
      </c>
    </row>
    <row r="5174" spans="1:1">
      <c r="A5174" s="1" t="s">
        <v>1743</v>
      </c>
    </row>
    <row r="5175" spans="1:1">
      <c r="A5175" s="1" t="s">
        <v>1744</v>
      </c>
    </row>
    <row r="5176" spans="1:1">
      <c r="A5176" s="1" t="s">
        <v>1745</v>
      </c>
    </row>
    <row r="5177" spans="1:1">
      <c r="A5177" s="1" t="s">
        <v>1746</v>
      </c>
    </row>
    <row r="5178" spans="1:1">
      <c r="A5178" s="1" t="s">
        <v>1747</v>
      </c>
    </row>
    <row r="5179" spans="1:1">
      <c r="A5179" s="1" t="s">
        <v>1748</v>
      </c>
    </row>
    <row r="5180" spans="1:1">
      <c r="A5180" s="1" t="s">
        <v>1742</v>
      </c>
    </row>
    <row r="5181" spans="1:1">
      <c r="A5181" s="1" t="s">
        <v>1742</v>
      </c>
    </row>
    <row r="5182" spans="1:1">
      <c r="A5182" s="1" t="s">
        <v>1742</v>
      </c>
    </row>
    <row r="5183" spans="1:1">
      <c r="A5183" s="1" t="s">
        <v>1743</v>
      </c>
    </row>
    <row r="5184" spans="1:1">
      <c r="A5184" s="1" t="s">
        <v>1744</v>
      </c>
    </row>
    <row r="5185" spans="1:1">
      <c r="A5185" s="1" t="s">
        <v>1745</v>
      </c>
    </row>
    <row r="5186" spans="1:1">
      <c r="A5186" s="1" t="s">
        <v>1746</v>
      </c>
    </row>
    <row r="5187" spans="1:1">
      <c r="A5187" s="1" t="s">
        <v>1747</v>
      </c>
    </row>
    <row r="5188" spans="1:1">
      <c r="A5188" s="1" t="s">
        <v>1748</v>
      </c>
    </row>
    <row r="5189" spans="1:1">
      <c r="A5189" s="1" t="s">
        <v>1742</v>
      </c>
    </row>
    <row r="5190" spans="1:1">
      <c r="A5190" s="1" t="s">
        <v>1749</v>
      </c>
    </row>
    <row r="5191" spans="1:1">
      <c r="A5191" s="1" t="s">
        <v>1749</v>
      </c>
    </row>
    <row r="5192" spans="1:1">
      <c r="A5192" s="1" t="s">
        <v>1750</v>
      </c>
    </row>
    <row r="5193" spans="1:1">
      <c r="A5193" s="1" t="s">
        <v>1751</v>
      </c>
    </row>
    <row r="5194" spans="1:1">
      <c r="A5194" s="1" t="s">
        <v>1752</v>
      </c>
    </row>
    <row r="5195" spans="1:1">
      <c r="A5195" s="1" t="s">
        <v>1753</v>
      </c>
    </row>
    <row r="5196" spans="1:1">
      <c r="A5196" s="1" t="s">
        <v>1754</v>
      </c>
    </row>
    <row r="5197" spans="1:1">
      <c r="A5197" s="1" t="s">
        <v>1755</v>
      </c>
    </row>
    <row r="5198" spans="1:1">
      <c r="A5198" s="1" t="s">
        <v>1749</v>
      </c>
    </row>
    <row r="5199" spans="1:1">
      <c r="A5199" s="1" t="s">
        <v>1749</v>
      </c>
    </row>
    <row r="5200" spans="1:1">
      <c r="A5200" s="1" t="s">
        <v>1749</v>
      </c>
    </row>
    <row r="5201" spans="1:1">
      <c r="A5201" s="1" t="s">
        <v>1750</v>
      </c>
    </row>
    <row r="5202" spans="1:1">
      <c r="A5202" s="1" t="s">
        <v>1751</v>
      </c>
    </row>
    <row r="5203" spans="1:1">
      <c r="A5203" s="1" t="s">
        <v>1752</v>
      </c>
    </row>
    <row r="5204" spans="1:1">
      <c r="A5204" s="1" t="s">
        <v>1753</v>
      </c>
    </row>
    <row r="5205" spans="1:1">
      <c r="A5205" s="1" t="s">
        <v>1754</v>
      </c>
    </row>
    <row r="5206" spans="1:1">
      <c r="A5206" s="1" t="s">
        <v>1755</v>
      </c>
    </row>
    <row r="5207" spans="1:1">
      <c r="A5207" s="1" t="s">
        <v>1749</v>
      </c>
    </row>
    <row r="5208" spans="1:1">
      <c r="A5208" s="1" t="s">
        <v>1749</v>
      </c>
    </row>
    <row r="5209" spans="1:1">
      <c r="A5209" s="1" t="s">
        <v>1749</v>
      </c>
    </row>
    <row r="5210" spans="1:1">
      <c r="A5210" s="1" t="s">
        <v>1750</v>
      </c>
    </row>
    <row r="5211" spans="1:1">
      <c r="A5211" s="1" t="s">
        <v>1751</v>
      </c>
    </row>
    <row r="5212" spans="1:1">
      <c r="A5212" s="1" t="s">
        <v>1752</v>
      </c>
    </row>
    <row r="5213" spans="1:1">
      <c r="A5213" s="1" t="s">
        <v>1753</v>
      </c>
    </row>
    <row r="5214" spans="1:1">
      <c r="A5214" s="1" t="s">
        <v>1754</v>
      </c>
    </row>
    <row r="5215" spans="1:1">
      <c r="A5215" s="1" t="s">
        <v>1755</v>
      </c>
    </row>
    <row r="5216" spans="1:1">
      <c r="A5216" s="1" t="s">
        <v>1749</v>
      </c>
    </row>
    <row r="5217" spans="1:1">
      <c r="A5217" s="1" t="s">
        <v>1749</v>
      </c>
    </row>
    <row r="5218" spans="1:1">
      <c r="A5218" s="1" t="s">
        <v>1749</v>
      </c>
    </row>
    <row r="5219" spans="1:1">
      <c r="A5219" s="1" t="s">
        <v>1750</v>
      </c>
    </row>
    <row r="5220" spans="1:1">
      <c r="A5220" s="1" t="s">
        <v>1751</v>
      </c>
    </row>
    <row r="5221" spans="1:1">
      <c r="A5221" s="1" t="s">
        <v>1752</v>
      </c>
    </row>
    <row r="5222" spans="1:1">
      <c r="A5222" s="1" t="s">
        <v>1753</v>
      </c>
    </row>
    <row r="5223" spans="1:1">
      <c r="A5223" s="1" t="s">
        <v>1754</v>
      </c>
    </row>
    <row r="5224" spans="1:1">
      <c r="A5224" s="1" t="s">
        <v>1755</v>
      </c>
    </row>
    <row r="5225" spans="1:1">
      <c r="A5225" s="1" t="s">
        <v>1749</v>
      </c>
    </row>
    <row r="5226" spans="1:1">
      <c r="A5226" s="1" t="s">
        <v>1749</v>
      </c>
    </row>
    <row r="5227" spans="1:1">
      <c r="A5227" s="1" t="s">
        <v>1749</v>
      </c>
    </row>
    <row r="5228" spans="1:1">
      <c r="A5228" s="1" t="s">
        <v>1750</v>
      </c>
    </row>
    <row r="5229" spans="1:1">
      <c r="A5229" s="1" t="s">
        <v>1751</v>
      </c>
    </row>
    <row r="5230" spans="1:1">
      <c r="A5230" s="1" t="s">
        <v>1752</v>
      </c>
    </row>
    <row r="5231" spans="1:1">
      <c r="A5231" s="1" t="s">
        <v>1753</v>
      </c>
    </row>
    <row r="5232" spans="1:1">
      <c r="A5232" s="1" t="s">
        <v>1754</v>
      </c>
    </row>
    <row r="5233" spans="1:1">
      <c r="A5233" s="1" t="s">
        <v>1755</v>
      </c>
    </row>
    <row r="5234" spans="1:1">
      <c r="A5234" s="1" t="s">
        <v>1749</v>
      </c>
    </row>
    <row r="5235" spans="1:1">
      <c r="A5235" s="1" t="s">
        <v>1749</v>
      </c>
    </row>
    <row r="5236" spans="1:1">
      <c r="A5236" s="1" t="s">
        <v>1749</v>
      </c>
    </row>
    <row r="5237" spans="1:1">
      <c r="A5237" s="1" t="s">
        <v>1750</v>
      </c>
    </row>
    <row r="5238" spans="1:1">
      <c r="A5238" s="1" t="s">
        <v>1751</v>
      </c>
    </row>
    <row r="5239" spans="1:1">
      <c r="A5239" s="1" t="s">
        <v>1752</v>
      </c>
    </row>
    <row r="5240" spans="1:1">
      <c r="A5240" s="1" t="s">
        <v>1753</v>
      </c>
    </row>
    <row r="5241" spans="1:1">
      <c r="A5241" s="1" t="s">
        <v>1754</v>
      </c>
    </row>
    <row r="5242" spans="1:1">
      <c r="A5242" s="1" t="s">
        <v>1755</v>
      </c>
    </row>
    <row r="5243" spans="1:1">
      <c r="A5243" s="1" t="s">
        <v>1749</v>
      </c>
    </row>
    <row r="5244" spans="1:1">
      <c r="A5244" s="1" t="s">
        <v>1756</v>
      </c>
    </row>
    <row r="5245" spans="1:1">
      <c r="A5245" s="1" t="s">
        <v>1757</v>
      </c>
    </row>
    <row r="5246" spans="1:1">
      <c r="A5246" s="1" t="s">
        <v>1758</v>
      </c>
    </row>
    <row r="5247" spans="1:1">
      <c r="A5247" s="1" t="s">
        <v>1759</v>
      </c>
    </row>
    <row r="5248" spans="1:1">
      <c r="A5248" s="1" t="s">
        <v>1760</v>
      </c>
    </row>
    <row r="5249" spans="1:1">
      <c r="A5249" s="1" t="s">
        <v>1761</v>
      </c>
    </row>
    <row r="5250" spans="1:1">
      <c r="A5250" s="1" t="s">
        <v>1762</v>
      </c>
    </row>
    <row r="5251" spans="1:1">
      <c r="A5251" s="1" t="s">
        <v>1763</v>
      </c>
    </row>
    <row r="5252" spans="1:1">
      <c r="A5252" s="1" t="s">
        <v>1764</v>
      </c>
    </row>
    <row r="5253" spans="1:1">
      <c r="A5253" s="1" t="s">
        <v>1765</v>
      </c>
    </row>
    <row r="5254" spans="1:1">
      <c r="A5254" s="1" t="s">
        <v>1766</v>
      </c>
    </row>
    <row r="5255" spans="1:1">
      <c r="A5255" s="1" t="s">
        <v>1767</v>
      </c>
    </row>
    <row r="5256" spans="1:1">
      <c r="A5256" s="1" t="s">
        <v>1767</v>
      </c>
    </row>
    <row r="5257" spans="1:1">
      <c r="A5257" s="1" t="s">
        <v>1768</v>
      </c>
    </row>
    <row r="5258" spans="1:1">
      <c r="A5258" s="1" t="s">
        <v>1769</v>
      </c>
    </row>
    <row r="5259" spans="1:1">
      <c r="A5259" s="1" t="s">
        <v>1770</v>
      </c>
    </row>
    <row r="5260" spans="1:1">
      <c r="A5260" s="1" t="s">
        <v>1771</v>
      </c>
    </row>
    <row r="5261" spans="1:1">
      <c r="A5261" s="1" t="s">
        <v>1772</v>
      </c>
    </row>
    <row r="5262" spans="1:1">
      <c r="A5262" s="1" t="s">
        <v>1773</v>
      </c>
    </row>
    <row r="5263" spans="1:1">
      <c r="A5263" s="1" t="s">
        <v>1767</v>
      </c>
    </row>
    <row r="5264" spans="1:1">
      <c r="A5264" s="1" t="s">
        <v>1767</v>
      </c>
    </row>
    <row r="5265" spans="1:1">
      <c r="A5265" s="1" t="s">
        <v>1767</v>
      </c>
    </row>
    <row r="5266" spans="1:1">
      <c r="A5266" s="1" t="s">
        <v>1768</v>
      </c>
    </row>
    <row r="5267" spans="1:1">
      <c r="A5267" s="1" t="s">
        <v>1769</v>
      </c>
    </row>
    <row r="5268" spans="1:1">
      <c r="A5268" s="1" t="s">
        <v>1770</v>
      </c>
    </row>
    <row r="5269" spans="1:1">
      <c r="A5269" s="1" t="s">
        <v>1771</v>
      </c>
    </row>
    <row r="5270" spans="1:1">
      <c r="A5270" s="1" t="s">
        <v>1772</v>
      </c>
    </row>
    <row r="5271" spans="1:1">
      <c r="A5271" s="1" t="s">
        <v>1773</v>
      </c>
    </row>
    <row r="5272" spans="1:1">
      <c r="A5272" s="1" t="s">
        <v>1767</v>
      </c>
    </row>
    <row r="5273" spans="1:1">
      <c r="A5273" s="1" t="s">
        <v>1767</v>
      </c>
    </row>
    <row r="5274" spans="1:1">
      <c r="A5274" s="1" t="s">
        <v>1767</v>
      </c>
    </row>
    <row r="5275" spans="1:1">
      <c r="A5275" s="1" t="s">
        <v>1768</v>
      </c>
    </row>
    <row r="5276" spans="1:1">
      <c r="A5276" s="1" t="s">
        <v>1769</v>
      </c>
    </row>
    <row r="5277" spans="1:1">
      <c r="A5277" s="1" t="s">
        <v>1770</v>
      </c>
    </row>
    <row r="5278" spans="1:1">
      <c r="A5278" s="1" t="s">
        <v>1771</v>
      </c>
    </row>
    <row r="5279" spans="1:1">
      <c r="A5279" s="1" t="s">
        <v>1772</v>
      </c>
    </row>
    <row r="5280" spans="1:1">
      <c r="A5280" s="1" t="s">
        <v>1773</v>
      </c>
    </row>
    <row r="5281" spans="1:1">
      <c r="A5281" s="1" t="s">
        <v>1767</v>
      </c>
    </row>
    <row r="5282" spans="1:1">
      <c r="A5282" s="1" t="s">
        <v>1767</v>
      </c>
    </row>
    <row r="5283" spans="1:1">
      <c r="A5283" s="1" t="s">
        <v>1767</v>
      </c>
    </row>
    <row r="5284" spans="1:1">
      <c r="A5284" s="1" t="s">
        <v>1768</v>
      </c>
    </row>
    <row r="5285" spans="1:1">
      <c r="A5285" s="1" t="s">
        <v>1769</v>
      </c>
    </row>
    <row r="5286" spans="1:1">
      <c r="A5286" s="1" t="s">
        <v>1770</v>
      </c>
    </row>
    <row r="5287" spans="1:1">
      <c r="A5287" s="1" t="s">
        <v>1771</v>
      </c>
    </row>
    <row r="5288" spans="1:1">
      <c r="A5288" s="1" t="s">
        <v>1772</v>
      </c>
    </row>
    <row r="5289" spans="1:1">
      <c r="A5289" s="1" t="s">
        <v>1773</v>
      </c>
    </row>
    <row r="5290" spans="1:1">
      <c r="A5290" s="1" t="s">
        <v>1767</v>
      </c>
    </row>
    <row r="5291" spans="1:1">
      <c r="A5291" s="1" t="s">
        <v>1767</v>
      </c>
    </row>
    <row r="5292" spans="1:1">
      <c r="A5292" s="1" t="s">
        <v>1767</v>
      </c>
    </row>
    <row r="5293" spans="1:1">
      <c r="A5293" s="1" t="s">
        <v>1768</v>
      </c>
    </row>
    <row r="5294" spans="1:1">
      <c r="A5294" s="1" t="s">
        <v>1769</v>
      </c>
    </row>
    <row r="5295" spans="1:1">
      <c r="A5295" s="1" t="s">
        <v>1770</v>
      </c>
    </row>
    <row r="5296" spans="1:1">
      <c r="A5296" s="1" t="s">
        <v>1771</v>
      </c>
    </row>
    <row r="5297" spans="1:1">
      <c r="A5297" s="1" t="s">
        <v>1772</v>
      </c>
    </row>
    <row r="5298" spans="1:1">
      <c r="A5298" s="1" t="s">
        <v>1773</v>
      </c>
    </row>
    <row r="5299" spans="1:1">
      <c r="A5299" s="1" t="s">
        <v>1767</v>
      </c>
    </row>
    <row r="5300" spans="1:1">
      <c r="A5300" s="1" t="s">
        <v>1767</v>
      </c>
    </row>
    <row r="5301" spans="1:1">
      <c r="A5301" s="1" t="s">
        <v>1767</v>
      </c>
    </row>
    <row r="5302" spans="1:1">
      <c r="A5302" s="1" t="s">
        <v>1768</v>
      </c>
    </row>
    <row r="5303" spans="1:1">
      <c r="A5303" s="1" t="s">
        <v>1769</v>
      </c>
    </row>
    <row r="5304" spans="1:1">
      <c r="A5304" s="1" t="s">
        <v>1770</v>
      </c>
    </row>
    <row r="5305" spans="1:1">
      <c r="A5305" s="1" t="s">
        <v>1771</v>
      </c>
    </row>
    <row r="5306" spans="1:1">
      <c r="A5306" s="1" t="s">
        <v>1772</v>
      </c>
    </row>
    <row r="5307" spans="1:1">
      <c r="A5307" s="1" t="s">
        <v>1773</v>
      </c>
    </row>
    <row r="5308" spans="1:1">
      <c r="A5308" s="1" t="s">
        <v>1767</v>
      </c>
    </row>
    <row r="5309" spans="1:1">
      <c r="A5309" s="1" t="s">
        <v>1774</v>
      </c>
    </row>
    <row r="5310" spans="1:1">
      <c r="A5310" s="1" t="s">
        <v>1775</v>
      </c>
    </row>
    <row r="5311" spans="1:1">
      <c r="A5311" s="1" t="s">
        <v>1776</v>
      </c>
    </row>
    <row r="5312" spans="1:1">
      <c r="A5312" s="1" t="s">
        <v>1777</v>
      </c>
    </row>
    <row r="5313" spans="1:1">
      <c r="A5313" s="1" t="s">
        <v>1778</v>
      </c>
    </row>
    <row r="5314" spans="1:1">
      <c r="A5314" s="1" t="s">
        <v>1779</v>
      </c>
    </row>
    <row r="5315" spans="1:1">
      <c r="A5315" s="1" t="s">
        <v>1780</v>
      </c>
    </row>
    <row r="5316" spans="1:1">
      <c r="A5316" s="1" t="s">
        <v>1781</v>
      </c>
    </row>
    <row r="5317" spans="1:1">
      <c r="A5317" s="1" t="s">
        <v>1782</v>
      </c>
    </row>
    <row r="5318" spans="1:1">
      <c r="A5318" s="1" t="s">
        <v>1783</v>
      </c>
    </row>
    <row r="5319" spans="1:1">
      <c r="A5319" s="1" t="s">
        <v>1784</v>
      </c>
    </row>
    <row r="5320" spans="1:1">
      <c r="A5320" s="1" t="s">
        <v>1785</v>
      </c>
    </row>
    <row r="5321" spans="1:1">
      <c r="A5321" s="1" t="s">
        <v>1786</v>
      </c>
    </row>
    <row r="5322" spans="1:1">
      <c r="A5322" s="1" t="s">
        <v>1787</v>
      </c>
    </row>
    <row r="5323" spans="1:1">
      <c r="A5323" s="1" t="s">
        <v>1788</v>
      </c>
    </row>
    <row r="5324" spans="1:1">
      <c r="A5324" s="1" t="s">
        <v>1789</v>
      </c>
    </row>
    <row r="5325" spans="1:1">
      <c r="A5325" s="1" t="s">
        <v>1790</v>
      </c>
    </row>
    <row r="5326" spans="1:1">
      <c r="A5326" s="1" t="s">
        <v>1791</v>
      </c>
    </row>
    <row r="5327" spans="1:1">
      <c r="A5327" s="1" t="s">
        <v>1792</v>
      </c>
    </row>
    <row r="5328" spans="1:1">
      <c r="A5328" s="1" t="s">
        <v>1793</v>
      </c>
    </row>
    <row r="5329" spans="1:1">
      <c r="A5329" s="1" t="s">
        <v>1794</v>
      </c>
    </row>
    <row r="5330" spans="1:1">
      <c r="A5330" s="1" t="s">
        <v>1795</v>
      </c>
    </row>
    <row r="5331" spans="1:1">
      <c r="A5331" s="1" t="s">
        <v>1796</v>
      </c>
    </row>
    <row r="5332" spans="1:1">
      <c r="A5332" s="1" t="s">
        <v>1797</v>
      </c>
    </row>
    <row r="5333" spans="1:1">
      <c r="A5333" s="1" t="s">
        <v>1798</v>
      </c>
    </row>
    <row r="5334" spans="1:1">
      <c r="A5334" s="1" t="s">
        <v>1799</v>
      </c>
    </row>
    <row r="5335" spans="1:1">
      <c r="A5335" s="1" t="s">
        <v>1800</v>
      </c>
    </row>
    <row r="5336" spans="1:1">
      <c r="A5336" s="1" t="s">
        <v>1801</v>
      </c>
    </row>
    <row r="5337" spans="1:1">
      <c r="A5337" s="1" t="s">
        <v>1802</v>
      </c>
    </row>
    <row r="5338" spans="1:1">
      <c r="A5338" s="1" t="s">
        <v>1803</v>
      </c>
    </row>
    <row r="5339" spans="1:1">
      <c r="A5339" s="1" t="s">
        <v>1804</v>
      </c>
    </row>
    <row r="5340" spans="1:1">
      <c r="A5340" s="1" t="s">
        <v>1805</v>
      </c>
    </row>
    <row r="5341" spans="1:1">
      <c r="A5341" s="1" t="s">
        <v>1806</v>
      </c>
    </row>
    <row r="5342" spans="1:1">
      <c r="A5342" s="1" t="s">
        <v>1807</v>
      </c>
    </row>
    <row r="5343" spans="1:1">
      <c r="A5343" s="1" t="s">
        <v>1808</v>
      </c>
    </row>
    <row r="5344" spans="1:1">
      <c r="A5344" s="1" t="s">
        <v>1809</v>
      </c>
    </row>
    <row r="5345" spans="1:1">
      <c r="A5345" s="1" t="s">
        <v>1810</v>
      </c>
    </row>
    <row r="5346" spans="1:1">
      <c r="A5346" s="1" t="s">
        <v>1811</v>
      </c>
    </row>
    <row r="5347" spans="1:1">
      <c r="A5347" s="1" t="s">
        <v>1812</v>
      </c>
    </row>
    <row r="5348" spans="1:1">
      <c r="A5348" s="1" t="s">
        <v>1813</v>
      </c>
    </row>
    <row r="5349" spans="1:1">
      <c r="A5349" s="1" t="s">
        <v>1814</v>
      </c>
    </row>
    <row r="5350" spans="1:1">
      <c r="A5350" s="1" t="s">
        <v>1815</v>
      </c>
    </row>
    <row r="5351" spans="1:1">
      <c r="A5351" s="1" t="s">
        <v>1816</v>
      </c>
    </row>
    <row r="5352" spans="1:1">
      <c r="A5352" s="1" t="s">
        <v>1817</v>
      </c>
    </row>
    <row r="5353" spans="1:1">
      <c r="A5353" s="1" t="s">
        <v>1818</v>
      </c>
    </row>
    <row r="5354" spans="1:1">
      <c r="A5354" s="1" t="s">
        <v>1819</v>
      </c>
    </row>
    <row r="5355" spans="1:1">
      <c r="A5355" s="1" t="s">
        <v>1820</v>
      </c>
    </row>
    <row r="5356" spans="1:1">
      <c r="A5356" s="1" t="s">
        <v>1821</v>
      </c>
    </row>
    <row r="5357" spans="1:1">
      <c r="A5357" s="1" t="s">
        <v>1822</v>
      </c>
    </row>
    <row r="5358" spans="1:1">
      <c r="A5358" s="1" t="s">
        <v>1823</v>
      </c>
    </row>
    <row r="5359" spans="1:1">
      <c r="A5359" s="1" t="s">
        <v>1824</v>
      </c>
    </row>
    <row r="5360" spans="1:1">
      <c r="A5360" s="1" t="s">
        <v>1825</v>
      </c>
    </row>
    <row r="5361" spans="1:1">
      <c r="A5361" s="1" t="s">
        <v>1826</v>
      </c>
    </row>
    <row r="5362" spans="1:1">
      <c r="A5362" s="1" t="s">
        <v>1827</v>
      </c>
    </row>
    <row r="5363" spans="1:1">
      <c r="A5363" s="1" t="s">
        <v>1828</v>
      </c>
    </row>
    <row r="5364" spans="1:1">
      <c r="A5364" s="1" t="s">
        <v>1829</v>
      </c>
    </row>
    <row r="5365" spans="1:1">
      <c r="A5365" s="1" t="s">
        <v>1830</v>
      </c>
    </row>
    <row r="5366" spans="1:1">
      <c r="A5366" s="1" t="s">
        <v>1831</v>
      </c>
    </row>
    <row r="5367" spans="1:1">
      <c r="A5367" s="1" t="s">
        <v>1832</v>
      </c>
    </row>
    <row r="5368" spans="1:1">
      <c r="A5368" s="1" t="s">
        <v>1833</v>
      </c>
    </row>
    <row r="5369" spans="1:1">
      <c r="A5369" s="1" t="s">
        <v>1834</v>
      </c>
    </row>
    <row r="5370" spans="1:1">
      <c r="A5370" s="1" t="s">
        <v>1835</v>
      </c>
    </row>
    <row r="5371" spans="1:1">
      <c r="A5371" s="1" t="s">
        <v>1836</v>
      </c>
    </row>
    <row r="5372" spans="1:1">
      <c r="A5372" s="1" t="s">
        <v>1837</v>
      </c>
    </row>
    <row r="5373" spans="1:1">
      <c r="A5373" s="1" t="s">
        <v>1838</v>
      </c>
    </row>
    <row r="5374" spans="1:1">
      <c r="A5374" s="1" t="s">
        <v>1839</v>
      </c>
    </row>
    <row r="5375" spans="1:1">
      <c r="A5375" s="1" t="s">
        <v>1840</v>
      </c>
    </row>
    <row r="5376" spans="1:1">
      <c r="A5376" s="1" t="s">
        <v>1841</v>
      </c>
    </row>
    <row r="5377" spans="1:1">
      <c r="A5377" s="1" t="s">
        <v>1842</v>
      </c>
    </row>
    <row r="5378" spans="1:1">
      <c r="A5378" s="1" t="s">
        <v>1843</v>
      </c>
    </row>
    <row r="5379" spans="1:1">
      <c r="A5379" s="1" t="s">
        <v>1844</v>
      </c>
    </row>
    <row r="5380" spans="1:1">
      <c r="A5380" s="1" t="s">
        <v>1845</v>
      </c>
    </row>
    <row r="5381" spans="1:1">
      <c r="A5381" s="1" t="s">
        <v>1846</v>
      </c>
    </row>
    <row r="5382" spans="1:1">
      <c r="A5382" s="1" t="s">
        <v>1847</v>
      </c>
    </row>
    <row r="5383" spans="1:1">
      <c r="A5383" s="1" t="s">
        <v>1848</v>
      </c>
    </row>
    <row r="5384" spans="1:1">
      <c r="A5384" s="1" t="s">
        <v>1849</v>
      </c>
    </row>
    <row r="5385" spans="1:1">
      <c r="A5385" s="1" t="s">
        <v>1850</v>
      </c>
    </row>
    <row r="5386" spans="1:1">
      <c r="A5386" s="1" t="s">
        <v>1851</v>
      </c>
    </row>
    <row r="5387" spans="1:1">
      <c r="A5387" s="1" t="s">
        <v>1852</v>
      </c>
    </row>
    <row r="5388" spans="1:1">
      <c r="A5388" s="1" t="s">
        <v>1853</v>
      </c>
    </row>
    <row r="5389" spans="1:1">
      <c r="A5389" s="1" t="s">
        <v>1854</v>
      </c>
    </row>
    <row r="5390" spans="1:1">
      <c r="A5390" s="1" t="s">
        <v>1855</v>
      </c>
    </row>
    <row r="5391" spans="1:1">
      <c r="A5391" s="1" t="s">
        <v>1856</v>
      </c>
    </row>
    <row r="5392" spans="1:1">
      <c r="A5392" s="1" t="s">
        <v>1857</v>
      </c>
    </row>
    <row r="5393" spans="1:1">
      <c r="A5393" s="1" t="s">
        <v>1858</v>
      </c>
    </row>
    <row r="5394" spans="1:1">
      <c r="A5394" s="1" t="s">
        <v>1859</v>
      </c>
    </row>
    <row r="5395" spans="1:1">
      <c r="A5395" s="1" t="s">
        <v>1860</v>
      </c>
    </row>
    <row r="5396" spans="1:1">
      <c r="A5396" s="1" t="s">
        <v>1861</v>
      </c>
    </row>
    <row r="5397" spans="1:1">
      <c r="A5397" s="1" t="s">
        <v>1862</v>
      </c>
    </row>
    <row r="5398" spans="1:1">
      <c r="A5398" s="1" t="s">
        <v>1863</v>
      </c>
    </row>
    <row r="5399" spans="1:1">
      <c r="A5399" s="1" t="s">
        <v>1864</v>
      </c>
    </row>
    <row r="5400" spans="1:1">
      <c r="A5400" s="1" t="s">
        <v>1865</v>
      </c>
    </row>
    <row r="5401" spans="1:1">
      <c r="A5401" s="1" t="s">
        <v>1866</v>
      </c>
    </row>
    <row r="5402" spans="1:1">
      <c r="A5402" s="1" t="s">
        <v>1867</v>
      </c>
    </row>
    <row r="5403" spans="1:1">
      <c r="A5403" s="1" t="s">
        <v>1868</v>
      </c>
    </row>
    <row r="5404" spans="1:1">
      <c r="A5404" s="1" t="s">
        <v>1869</v>
      </c>
    </row>
    <row r="5405" spans="1:1">
      <c r="A5405" s="1" t="s">
        <v>1870</v>
      </c>
    </row>
    <row r="5406" spans="1:1">
      <c r="A5406" s="1" t="s">
        <v>1871</v>
      </c>
    </row>
    <row r="5407" spans="1:1">
      <c r="A5407" s="1" t="s">
        <v>1872</v>
      </c>
    </row>
    <row r="5408" spans="1:1">
      <c r="A5408" s="1" t="s">
        <v>1873</v>
      </c>
    </row>
    <row r="5409" spans="1:1">
      <c r="A5409" s="1" t="s">
        <v>1874</v>
      </c>
    </row>
    <row r="5410" spans="1:1">
      <c r="A5410" s="1" t="s">
        <v>1875</v>
      </c>
    </row>
    <row r="5411" spans="1:1">
      <c r="A5411" s="1" t="s">
        <v>1876</v>
      </c>
    </row>
    <row r="5412" spans="1:1">
      <c r="A5412" s="1" t="s">
        <v>1877</v>
      </c>
    </row>
    <row r="5413" spans="1:1">
      <c r="A5413" s="1" t="s">
        <v>1878</v>
      </c>
    </row>
    <row r="5414" spans="1:1">
      <c r="A5414" s="1" t="s">
        <v>1879</v>
      </c>
    </row>
    <row r="5415" spans="1:1">
      <c r="A5415" s="1" t="s">
        <v>1880</v>
      </c>
    </row>
    <row r="5416" spans="1:1">
      <c r="A5416" s="1" t="s">
        <v>1881</v>
      </c>
    </row>
    <row r="5417" spans="1:1">
      <c r="A5417" s="1" t="s">
        <v>1882</v>
      </c>
    </row>
    <row r="5418" spans="1:1">
      <c r="A5418" s="1" t="s">
        <v>1883</v>
      </c>
    </row>
    <row r="5419" spans="1:1">
      <c r="A5419" s="1" t="s">
        <v>1884</v>
      </c>
    </row>
    <row r="5420" spans="1:1">
      <c r="A5420" s="1" t="s">
        <v>1885</v>
      </c>
    </row>
    <row r="5421" spans="1:1">
      <c r="A5421" s="1" t="s">
        <v>1886</v>
      </c>
    </row>
    <row r="5422" spans="1:1">
      <c r="A5422" s="1" t="s">
        <v>1887</v>
      </c>
    </row>
    <row r="5423" spans="1:1">
      <c r="A5423" s="1" t="s">
        <v>1888</v>
      </c>
    </row>
    <row r="5424" spans="1:1">
      <c r="A5424" s="1" t="s">
        <v>1889</v>
      </c>
    </row>
    <row r="5425" spans="1:1">
      <c r="A5425" s="1" t="s">
        <v>1890</v>
      </c>
    </row>
    <row r="5426" spans="1:1">
      <c r="A5426" s="1" t="s">
        <v>1891</v>
      </c>
    </row>
    <row r="5427" spans="1:1">
      <c r="A5427" s="1" t="s">
        <v>1892</v>
      </c>
    </row>
    <row r="5428" spans="1:1">
      <c r="A5428" s="1" t="s">
        <v>1893</v>
      </c>
    </row>
    <row r="5429" spans="1:1">
      <c r="A5429" s="1" t="s">
        <v>1894</v>
      </c>
    </row>
    <row r="5430" spans="1:1">
      <c r="A5430" s="1" t="s">
        <v>1895</v>
      </c>
    </row>
    <row r="5431" spans="1:1">
      <c r="A5431" s="1" t="s">
        <v>1896</v>
      </c>
    </row>
    <row r="5432" spans="1:1">
      <c r="A5432" s="1" t="s">
        <v>1897</v>
      </c>
    </row>
    <row r="5433" spans="1:1">
      <c r="A5433" s="1" t="s">
        <v>1898</v>
      </c>
    </row>
    <row r="5434" spans="1:1">
      <c r="A5434" s="1" t="s">
        <v>1899</v>
      </c>
    </row>
    <row r="5435" spans="1:1">
      <c r="A5435" s="1" t="s">
        <v>1900</v>
      </c>
    </row>
    <row r="5436" spans="1:1">
      <c r="A5436" s="1" t="s">
        <v>1901</v>
      </c>
    </row>
    <row r="5437" spans="1:1">
      <c r="A5437" s="1" t="s">
        <v>1902</v>
      </c>
    </row>
    <row r="5438" spans="1:1">
      <c r="A5438" s="1" t="s">
        <v>1903</v>
      </c>
    </row>
    <row r="5439" spans="1:1">
      <c r="A5439" s="1" t="s">
        <v>1904</v>
      </c>
    </row>
    <row r="5440" spans="1:1">
      <c r="A5440" s="1" t="s">
        <v>1905</v>
      </c>
    </row>
    <row r="5441" spans="1:1">
      <c r="A5441" s="1" t="s">
        <v>1906</v>
      </c>
    </row>
    <row r="5442" spans="1:1">
      <c r="A5442" s="1" t="s">
        <v>1907</v>
      </c>
    </row>
    <row r="5443" spans="1:1">
      <c r="A5443" s="1" t="s">
        <v>1908</v>
      </c>
    </row>
    <row r="5444" spans="1:1">
      <c r="A5444" s="1" t="s">
        <v>1909</v>
      </c>
    </row>
    <row r="5445" spans="1:1">
      <c r="A5445" s="1" t="s">
        <v>1910</v>
      </c>
    </row>
    <row r="5446" spans="1:1">
      <c r="A5446" s="1" t="s">
        <v>1911</v>
      </c>
    </row>
    <row r="5447" spans="1:1">
      <c r="A5447" s="1" t="s">
        <v>1912</v>
      </c>
    </row>
    <row r="5448" spans="1:1">
      <c r="A5448" s="1" t="s">
        <v>1913</v>
      </c>
    </row>
    <row r="5449" spans="1:1">
      <c r="A5449" s="1" t="s">
        <v>1914</v>
      </c>
    </row>
    <row r="5450" spans="1:1">
      <c r="A5450" s="1" t="s">
        <v>1915</v>
      </c>
    </row>
    <row r="5451" spans="1:1">
      <c r="A5451" s="1" t="s">
        <v>1916</v>
      </c>
    </row>
    <row r="5452" spans="1:1">
      <c r="A5452" s="1" t="s">
        <v>1917</v>
      </c>
    </row>
    <row r="5453" spans="1:1">
      <c r="A5453" s="1" t="s">
        <v>1918</v>
      </c>
    </row>
    <row r="5454" spans="1:1">
      <c r="A5454" s="1" t="s">
        <v>1918</v>
      </c>
    </row>
    <row r="5455" spans="1:1">
      <c r="A5455" s="1" t="s">
        <v>1919</v>
      </c>
    </row>
    <row r="5456" spans="1:1">
      <c r="A5456" s="1" t="s">
        <v>1920</v>
      </c>
    </row>
    <row r="5457" spans="1:1">
      <c r="A5457" s="1" t="s">
        <v>1921</v>
      </c>
    </row>
    <row r="5458" spans="1:1">
      <c r="A5458" s="1" t="s">
        <v>1922</v>
      </c>
    </row>
    <row r="5459" spans="1:1">
      <c r="A5459" s="1" t="s">
        <v>1923</v>
      </c>
    </row>
    <row r="5460" spans="1:1">
      <c r="A5460" s="1" t="s">
        <v>1924</v>
      </c>
    </row>
    <row r="5461" spans="1:1">
      <c r="A5461" s="1" t="s">
        <v>1918</v>
      </c>
    </row>
    <row r="5462" spans="1:1">
      <c r="A5462" s="1" t="s">
        <v>1918</v>
      </c>
    </row>
    <row r="5463" spans="1:1">
      <c r="A5463" s="1" t="s">
        <v>1918</v>
      </c>
    </row>
    <row r="5464" spans="1:1">
      <c r="A5464" s="1" t="s">
        <v>1919</v>
      </c>
    </row>
    <row r="5465" spans="1:1">
      <c r="A5465" s="1" t="s">
        <v>1920</v>
      </c>
    </row>
    <row r="5466" spans="1:1">
      <c r="A5466" s="1" t="s">
        <v>1921</v>
      </c>
    </row>
    <row r="5467" spans="1:1">
      <c r="A5467" s="1" t="s">
        <v>1922</v>
      </c>
    </row>
    <row r="5468" spans="1:1">
      <c r="A5468" s="1" t="s">
        <v>1923</v>
      </c>
    </row>
    <row r="5469" spans="1:1">
      <c r="A5469" s="1" t="s">
        <v>1924</v>
      </c>
    </row>
    <row r="5470" spans="1:1">
      <c r="A5470" s="1" t="s">
        <v>1918</v>
      </c>
    </row>
    <row r="5471" spans="1:1">
      <c r="A5471" s="1" t="s">
        <v>1918</v>
      </c>
    </row>
    <row r="5472" spans="1:1">
      <c r="A5472" s="1" t="s">
        <v>1918</v>
      </c>
    </row>
    <row r="5473" spans="1:1">
      <c r="A5473" s="1" t="s">
        <v>1919</v>
      </c>
    </row>
    <row r="5474" spans="1:1">
      <c r="A5474" s="1" t="s">
        <v>1920</v>
      </c>
    </row>
    <row r="5475" spans="1:1">
      <c r="A5475" s="1" t="s">
        <v>1921</v>
      </c>
    </row>
    <row r="5476" spans="1:1">
      <c r="A5476" s="1" t="s">
        <v>1922</v>
      </c>
    </row>
    <row r="5477" spans="1:1">
      <c r="A5477" s="1" t="s">
        <v>1923</v>
      </c>
    </row>
    <row r="5478" spans="1:1">
      <c r="A5478" s="1" t="s">
        <v>1924</v>
      </c>
    </row>
    <row r="5479" spans="1:1">
      <c r="A5479" s="1" t="s">
        <v>1918</v>
      </c>
    </row>
    <row r="5480" spans="1:1">
      <c r="A5480" s="1" t="s">
        <v>1918</v>
      </c>
    </row>
    <row r="5481" spans="1:1">
      <c r="A5481" s="1" t="s">
        <v>1925</v>
      </c>
    </row>
    <row r="5482" spans="1:1">
      <c r="A5482" s="1" t="s">
        <v>1926</v>
      </c>
    </row>
    <row r="5483" spans="1:1">
      <c r="A5483" s="1" t="s">
        <v>1927</v>
      </c>
    </row>
    <row r="5484" spans="1:1">
      <c r="A5484" s="1" t="s">
        <v>1928</v>
      </c>
    </row>
    <row r="5485" spans="1:1">
      <c r="A5485" s="1" t="s">
        <v>1929</v>
      </c>
    </row>
    <row r="5486" spans="1:1">
      <c r="A5486" s="1" t="s">
        <v>1930</v>
      </c>
    </row>
    <row r="5487" spans="1:1">
      <c r="A5487" s="1" t="s">
        <v>1931</v>
      </c>
    </row>
    <row r="5488" spans="1:1">
      <c r="A5488" s="1" t="s">
        <v>1925</v>
      </c>
    </row>
    <row r="5489" spans="1:1">
      <c r="A5489" s="1" t="s">
        <v>1925</v>
      </c>
    </row>
    <row r="5490" spans="1:1">
      <c r="A5490" s="1" t="s">
        <v>1925</v>
      </c>
    </row>
    <row r="5491" spans="1:1">
      <c r="A5491" s="1" t="s">
        <v>1926</v>
      </c>
    </row>
    <row r="5492" spans="1:1">
      <c r="A5492" s="1" t="s">
        <v>1927</v>
      </c>
    </row>
    <row r="5493" spans="1:1">
      <c r="A5493" s="1" t="s">
        <v>1928</v>
      </c>
    </row>
    <row r="5494" spans="1:1">
      <c r="A5494" s="1" t="s">
        <v>1929</v>
      </c>
    </row>
    <row r="5495" spans="1:1">
      <c r="A5495" s="1" t="s">
        <v>1930</v>
      </c>
    </row>
    <row r="5496" spans="1:1">
      <c r="A5496" s="1" t="s">
        <v>1931</v>
      </c>
    </row>
    <row r="5497" spans="1:1">
      <c r="A5497" s="1" t="s">
        <v>1925</v>
      </c>
    </row>
    <row r="5498" spans="1:1">
      <c r="A5498" s="1" t="s">
        <v>1925</v>
      </c>
    </row>
    <row r="5499" spans="1:1">
      <c r="A5499" s="1" t="s">
        <v>1925</v>
      </c>
    </row>
    <row r="5500" spans="1:1">
      <c r="A5500" s="1" t="s">
        <v>1926</v>
      </c>
    </row>
    <row r="5501" spans="1:1">
      <c r="A5501" s="1" t="s">
        <v>1927</v>
      </c>
    </row>
    <row r="5502" spans="1:1">
      <c r="A5502" s="1" t="s">
        <v>1928</v>
      </c>
    </row>
    <row r="5503" spans="1:1">
      <c r="A5503" s="1" t="s">
        <v>1929</v>
      </c>
    </row>
    <row r="5504" spans="1:1">
      <c r="A5504" s="1" t="s">
        <v>1930</v>
      </c>
    </row>
    <row r="5505" spans="1:1">
      <c r="A5505" s="1" t="s">
        <v>1931</v>
      </c>
    </row>
    <row r="5506" spans="1:1">
      <c r="A5506" s="1" t="s">
        <v>1925</v>
      </c>
    </row>
    <row r="5507" spans="1:1">
      <c r="A5507" s="1" t="s">
        <v>1932</v>
      </c>
    </row>
    <row r="5508" spans="1:1">
      <c r="A5508" s="1" t="s">
        <v>1932</v>
      </c>
    </row>
    <row r="5509" spans="1:1">
      <c r="A5509" s="1" t="s">
        <v>1933</v>
      </c>
    </row>
    <row r="5510" spans="1:1">
      <c r="A5510" s="1" t="s">
        <v>1934</v>
      </c>
    </row>
    <row r="5511" spans="1:1">
      <c r="A5511" s="1" t="s">
        <v>1935</v>
      </c>
    </row>
    <row r="5512" spans="1:1">
      <c r="A5512" s="1" t="s">
        <v>1936</v>
      </c>
    </row>
    <row r="5513" spans="1:1">
      <c r="A5513" s="1" t="s">
        <v>1937</v>
      </c>
    </row>
    <row r="5514" spans="1:1">
      <c r="A5514" s="1" t="s">
        <v>1938</v>
      </c>
    </row>
    <row r="5515" spans="1:1">
      <c r="A5515" s="1" t="s">
        <v>1932</v>
      </c>
    </row>
    <row r="5516" spans="1:1">
      <c r="A5516" s="1" t="s">
        <v>1932</v>
      </c>
    </row>
    <row r="5517" spans="1:1">
      <c r="A5517" s="1" t="s">
        <v>1932</v>
      </c>
    </row>
    <row r="5518" spans="1:1">
      <c r="A5518" s="1" t="s">
        <v>1933</v>
      </c>
    </row>
    <row r="5519" spans="1:1">
      <c r="A5519" s="1" t="s">
        <v>1934</v>
      </c>
    </row>
    <row r="5520" spans="1:1">
      <c r="A5520" s="1" t="s">
        <v>1935</v>
      </c>
    </row>
    <row r="5521" spans="1:1">
      <c r="A5521" s="1" t="s">
        <v>1936</v>
      </c>
    </row>
    <row r="5522" spans="1:1">
      <c r="A5522" s="1" t="s">
        <v>1937</v>
      </c>
    </row>
    <row r="5523" spans="1:1">
      <c r="A5523" s="1" t="s">
        <v>1938</v>
      </c>
    </row>
    <row r="5524" spans="1:1">
      <c r="A5524" s="1" t="s">
        <v>1932</v>
      </c>
    </row>
    <row r="5525" spans="1:1">
      <c r="A5525" s="1" t="s">
        <v>1932</v>
      </c>
    </row>
    <row r="5526" spans="1:1">
      <c r="A5526" s="1" t="s">
        <v>1932</v>
      </c>
    </row>
    <row r="5527" spans="1:1">
      <c r="A5527" s="1" t="s">
        <v>1933</v>
      </c>
    </row>
    <row r="5528" spans="1:1">
      <c r="A5528" s="1" t="s">
        <v>1934</v>
      </c>
    </row>
    <row r="5529" spans="1:1">
      <c r="A5529" s="1" t="s">
        <v>1935</v>
      </c>
    </row>
    <row r="5530" spans="1:1">
      <c r="A5530" s="1" t="s">
        <v>1936</v>
      </c>
    </row>
    <row r="5531" spans="1:1">
      <c r="A5531" s="1" t="s">
        <v>1937</v>
      </c>
    </row>
    <row r="5532" spans="1:1">
      <c r="A5532" s="1" t="s">
        <v>1938</v>
      </c>
    </row>
    <row r="5533" spans="1:1">
      <c r="A5533" s="1" t="s">
        <v>1932</v>
      </c>
    </row>
    <row r="5534" spans="1:1">
      <c r="A5534" s="1" t="s">
        <v>1932</v>
      </c>
    </row>
    <row r="5535" spans="1:1">
      <c r="A5535" s="1" t="s">
        <v>1932</v>
      </c>
    </row>
    <row r="5536" spans="1:1">
      <c r="A5536" s="1" t="s">
        <v>1933</v>
      </c>
    </row>
    <row r="5537" spans="1:1">
      <c r="A5537" s="1" t="s">
        <v>1934</v>
      </c>
    </row>
    <row r="5538" spans="1:1">
      <c r="A5538" s="1" t="s">
        <v>1935</v>
      </c>
    </row>
    <row r="5539" spans="1:1">
      <c r="A5539" s="1" t="s">
        <v>1936</v>
      </c>
    </row>
    <row r="5540" spans="1:1">
      <c r="A5540" s="1" t="s">
        <v>1937</v>
      </c>
    </row>
    <row r="5541" spans="1:1">
      <c r="A5541" s="1" t="s">
        <v>1938</v>
      </c>
    </row>
    <row r="5542" spans="1:1">
      <c r="A5542" s="1" t="s">
        <v>1932</v>
      </c>
    </row>
    <row r="5543" spans="1:1">
      <c r="A5543" s="1" t="s">
        <v>1932</v>
      </c>
    </row>
    <row r="5544" spans="1:1">
      <c r="A5544" s="1" t="s">
        <v>1932</v>
      </c>
    </row>
    <row r="5545" spans="1:1">
      <c r="A5545" s="1" t="s">
        <v>1933</v>
      </c>
    </row>
    <row r="5546" spans="1:1">
      <c r="A5546" s="1" t="s">
        <v>1934</v>
      </c>
    </row>
    <row r="5547" spans="1:1">
      <c r="A5547" s="1" t="s">
        <v>1935</v>
      </c>
    </row>
    <row r="5548" spans="1:1">
      <c r="A5548" s="1" t="s">
        <v>1936</v>
      </c>
    </row>
    <row r="5549" spans="1:1">
      <c r="A5549" s="1" t="s">
        <v>1937</v>
      </c>
    </row>
    <row r="5550" spans="1:1">
      <c r="A5550" s="1" t="s">
        <v>1938</v>
      </c>
    </row>
    <row r="5551" spans="1:1">
      <c r="A5551" s="1" t="s">
        <v>1932</v>
      </c>
    </row>
    <row r="5552" spans="1:1">
      <c r="A5552" s="1" t="s">
        <v>1932</v>
      </c>
    </row>
    <row r="5553" spans="1:1">
      <c r="A5553" s="1" t="s">
        <v>1932</v>
      </c>
    </row>
    <row r="5554" spans="1:1">
      <c r="A5554" s="1" t="s">
        <v>1933</v>
      </c>
    </row>
    <row r="5555" spans="1:1">
      <c r="A5555" s="1" t="s">
        <v>1934</v>
      </c>
    </row>
    <row r="5556" spans="1:1">
      <c r="A5556" s="1" t="s">
        <v>1935</v>
      </c>
    </row>
    <row r="5557" spans="1:1">
      <c r="A5557" s="1" t="s">
        <v>1936</v>
      </c>
    </row>
    <row r="5558" spans="1:1">
      <c r="A5558" s="1" t="s">
        <v>1937</v>
      </c>
    </row>
    <row r="5559" spans="1:1">
      <c r="A5559" s="1" t="s">
        <v>1938</v>
      </c>
    </row>
    <row r="5560" spans="1:1">
      <c r="A5560" s="1" t="s">
        <v>1932</v>
      </c>
    </row>
    <row r="5561" spans="1:1">
      <c r="A5561" s="1" t="s">
        <v>1939</v>
      </c>
    </row>
    <row r="5562" spans="1:1">
      <c r="A5562" s="1" t="s">
        <v>1940</v>
      </c>
    </row>
    <row r="5563" spans="1:1">
      <c r="A5563" s="1" t="s">
        <v>1941</v>
      </c>
    </row>
    <row r="5564" spans="1:1">
      <c r="A5564" s="1" t="s">
        <v>1942</v>
      </c>
    </row>
    <row r="5565" spans="1:1">
      <c r="A5565" s="1" t="s">
        <v>1943</v>
      </c>
    </row>
    <row r="5566" spans="1:1">
      <c r="A5566" s="1" t="s">
        <v>1944</v>
      </c>
    </row>
    <row r="5567" spans="1:1">
      <c r="A5567" s="1" t="s">
        <v>1945</v>
      </c>
    </row>
    <row r="5568" spans="1:1">
      <c r="A5568" s="1" t="s">
        <v>1946</v>
      </c>
    </row>
    <row r="5569" spans="1:1">
      <c r="A5569" s="1" t="s">
        <v>1947</v>
      </c>
    </row>
    <row r="5570" spans="1:1">
      <c r="A5570" s="1" t="s">
        <v>1948</v>
      </c>
    </row>
    <row r="5571" spans="1:1">
      <c r="A5571" s="1" t="s">
        <v>1949</v>
      </c>
    </row>
    <row r="5572" spans="1:1">
      <c r="A5572" s="1" t="s">
        <v>1950</v>
      </c>
    </row>
    <row r="5573" spans="1:1">
      <c r="A5573" s="1" t="s">
        <v>1950</v>
      </c>
    </row>
    <row r="5574" spans="1:1">
      <c r="A5574" s="1" t="s">
        <v>1951</v>
      </c>
    </row>
    <row r="5575" spans="1:1">
      <c r="A5575" s="1" t="s">
        <v>1952</v>
      </c>
    </row>
    <row r="5576" spans="1:1">
      <c r="A5576" s="1" t="s">
        <v>1953</v>
      </c>
    </row>
    <row r="5577" spans="1:1">
      <c r="A5577" s="1" t="s">
        <v>1954</v>
      </c>
    </row>
    <row r="5578" spans="1:1">
      <c r="A5578" s="1" t="s">
        <v>1955</v>
      </c>
    </row>
    <row r="5579" spans="1:1">
      <c r="A5579" s="1" t="s">
        <v>1956</v>
      </c>
    </row>
    <row r="5580" spans="1:1">
      <c r="A5580" s="1" t="s">
        <v>1950</v>
      </c>
    </row>
    <row r="5581" spans="1:1">
      <c r="A5581" s="1" t="s">
        <v>1950</v>
      </c>
    </row>
    <row r="5582" spans="1:1">
      <c r="A5582" s="1" t="s">
        <v>1950</v>
      </c>
    </row>
    <row r="5583" spans="1:1">
      <c r="A5583" s="1" t="s">
        <v>1951</v>
      </c>
    </row>
    <row r="5584" spans="1:1">
      <c r="A5584" s="1" t="s">
        <v>1952</v>
      </c>
    </row>
    <row r="5585" spans="1:1">
      <c r="A5585" s="1" t="s">
        <v>1953</v>
      </c>
    </row>
    <row r="5586" spans="1:1">
      <c r="A5586" s="1" t="s">
        <v>1954</v>
      </c>
    </row>
    <row r="5587" spans="1:1">
      <c r="A5587" s="1" t="s">
        <v>1955</v>
      </c>
    </row>
    <row r="5588" spans="1:1">
      <c r="A5588" s="1" t="s">
        <v>1956</v>
      </c>
    </row>
    <row r="5589" spans="1:1">
      <c r="A5589" s="1" t="s">
        <v>1950</v>
      </c>
    </row>
    <row r="5590" spans="1:1">
      <c r="A5590" s="1" t="s">
        <v>1950</v>
      </c>
    </row>
    <row r="5591" spans="1:1">
      <c r="A5591" s="1" t="s">
        <v>1950</v>
      </c>
    </row>
    <row r="5592" spans="1:1">
      <c r="A5592" s="1" t="s">
        <v>1951</v>
      </c>
    </row>
    <row r="5593" spans="1:1">
      <c r="A5593" s="1" t="s">
        <v>1952</v>
      </c>
    </row>
    <row r="5594" spans="1:1">
      <c r="A5594" s="1" t="s">
        <v>1953</v>
      </c>
    </row>
    <row r="5595" spans="1:1">
      <c r="A5595" s="1" t="s">
        <v>1954</v>
      </c>
    </row>
    <row r="5596" spans="1:1">
      <c r="A5596" s="1" t="s">
        <v>1955</v>
      </c>
    </row>
    <row r="5597" spans="1:1">
      <c r="A5597" s="1" t="s">
        <v>1956</v>
      </c>
    </row>
    <row r="5598" spans="1:1">
      <c r="A5598" s="1" t="s">
        <v>1950</v>
      </c>
    </row>
    <row r="5599" spans="1:1">
      <c r="A5599" s="1" t="s">
        <v>1950</v>
      </c>
    </row>
    <row r="5600" spans="1:1">
      <c r="A5600" s="1" t="s">
        <v>1950</v>
      </c>
    </row>
    <row r="5601" spans="1:1">
      <c r="A5601" s="1" t="s">
        <v>1951</v>
      </c>
    </row>
    <row r="5602" spans="1:1">
      <c r="A5602" s="1" t="s">
        <v>1952</v>
      </c>
    </row>
    <row r="5603" spans="1:1">
      <c r="A5603" s="1" t="s">
        <v>1953</v>
      </c>
    </row>
    <row r="5604" spans="1:1">
      <c r="A5604" s="1" t="s">
        <v>1954</v>
      </c>
    </row>
    <row r="5605" spans="1:1">
      <c r="A5605" s="1" t="s">
        <v>1955</v>
      </c>
    </row>
    <row r="5606" spans="1:1">
      <c r="A5606" s="1" t="s">
        <v>1956</v>
      </c>
    </row>
    <row r="5607" spans="1:1">
      <c r="A5607" s="1" t="s">
        <v>1950</v>
      </c>
    </row>
    <row r="5608" spans="1:1">
      <c r="A5608" s="1" t="s">
        <v>1950</v>
      </c>
    </row>
    <row r="5609" spans="1:1">
      <c r="A5609" s="1" t="s">
        <v>1950</v>
      </c>
    </row>
    <row r="5610" spans="1:1">
      <c r="A5610" s="1" t="s">
        <v>1951</v>
      </c>
    </row>
    <row r="5611" spans="1:1">
      <c r="A5611" s="1" t="s">
        <v>1952</v>
      </c>
    </row>
    <row r="5612" spans="1:1">
      <c r="A5612" s="1" t="s">
        <v>1953</v>
      </c>
    </row>
    <row r="5613" spans="1:1">
      <c r="A5613" s="1" t="s">
        <v>1954</v>
      </c>
    </row>
    <row r="5614" spans="1:1">
      <c r="A5614" s="1" t="s">
        <v>1955</v>
      </c>
    </row>
    <row r="5615" spans="1:1">
      <c r="A5615" s="1" t="s">
        <v>1956</v>
      </c>
    </row>
    <row r="5616" spans="1:1">
      <c r="A5616" s="1" t="s">
        <v>1950</v>
      </c>
    </row>
    <row r="5617" spans="1:1">
      <c r="A5617" s="1" t="s">
        <v>1950</v>
      </c>
    </row>
    <row r="5618" spans="1:1">
      <c r="A5618" s="1" t="s">
        <v>1950</v>
      </c>
    </row>
    <row r="5619" spans="1:1">
      <c r="A5619" s="1" t="s">
        <v>1951</v>
      </c>
    </row>
    <row r="5620" spans="1:1">
      <c r="A5620" s="1" t="s">
        <v>1952</v>
      </c>
    </row>
    <row r="5621" spans="1:1">
      <c r="A5621" s="1" t="s">
        <v>1953</v>
      </c>
    </row>
    <row r="5622" spans="1:1">
      <c r="A5622" s="1" t="s">
        <v>1954</v>
      </c>
    </row>
    <row r="5623" spans="1:1">
      <c r="A5623" s="1" t="s">
        <v>1955</v>
      </c>
    </row>
    <row r="5624" spans="1:1">
      <c r="A5624" s="1" t="s">
        <v>1956</v>
      </c>
    </row>
    <row r="5625" spans="1:1">
      <c r="A5625" s="1" t="s">
        <v>1950</v>
      </c>
    </row>
    <row r="5626" spans="1:1">
      <c r="A5626" s="1" t="s">
        <v>1957</v>
      </c>
    </row>
    <row r="5627" spans="1:1">
      <c r="A5627" s="1" t="s">
        <v>1958</v>
      </c>
    </row>
    <row r="5628" spans="1:1">
      <c r="A5628" s="1" t="s">
        <v>1959</v>
      </c>
    </row>
    <row r="5629" spans="1:1">
      <c r="A5629" s="1" t="s">
        <v>1960</v>
      </c>
    </row>
    <row r="5630" spans="1:1">
      <c r="A5630" s="1" t="s">
        <v>1961</v>
      </c>
    </row>
    <row r="5631" spans="1:1">
      <c r="A5631" s="1" t="s">
        <v>1962</v>
      </c>
    </row>
    <row r="5632" spans="1:1">
      <c r="A5632" s="1" t="s">
        <v>1963</v>
      </c>
    </row>
    <row r="5633" spans="1:1">
      <c r="A5633" s="1" t="s">
        <v>1964</v>
      </c>
    </row>
    <row r="5634" spans="1:1">
      <c r="A5634" s="1" t="s">
        <v>1965</v>
      </c>
    </row>
    <row r="5635" spans="1:1">
      <c r="A5635" s="1" t="s">
        <v>1966</v>
      </c>
    </row>
    <row r="5636" spans="1:1">
      <c r="A5636" s="1" t="s">
        <v>1967</v>
      </c>
    </row>
    <row r="5637" spans="1:1">
      <c r="A5637" s="1" t="s">
        <v>1968</v>
      </c>
    </row>
    <row r="5638" spans="1:1">
      <c r="A5638" s="1" t="s">
        <v>1969</v>
      </c>
    </row>
    <row r="5639" spans="1:1">
      <c r="A5639" s="1" t="s">
        <v>1970</v>
      </c>
    </row>
    <row r="5640" spans="1:1">
      <c r="A5640" s="1" t="s">
        <v>1971</v>
      </c>
    </row>
    <row r="5641" spans="1:1">
      <c r="A5641" s="1" t="s">
        <v>1972</v>
      </c>
    </row>
    <row r="5642" spans="1:1">
      <c r="A5642" s="1" t="s">
        <v>1973</v>
      </c>
    </row>
    <row r="5643" spans="1:1">
      <c r="A5643" s="1" t="s">
        <v>1974</v>
      </c>
    </row>
    <row r="5644" spans="1:1">
      <c r="A5644" s="1" t="s">
        <v>1975</v>
      </c>
    </row>
    <row r="5645" spans="1:1">
      <c r="A5645" s="1" t="s">
        <v>1976</v>
      </c>
    </row>
    <row r="5646" spans="1:1">
      <c r="A5646" s="1" t="s">
        <v>1977</v>
      </c>
    </row>
    <row r="5647" spans="1:1">
      <c r="A5647" s="1" t="s">
        <v>1978</v>
      </c>
    </row>
    <row r="5648" spans="1:1">
      <c r="A5648" s="1" t="s">
        <v>1979</v>
      </c>
    </row>
    <row r="5649" spans="1:1">
      <c r="A5649" s="1" t="s">
        <v>1980</v>
      </c>
    </row>
    <row r="5650" spans="1:1">
      <c r="A5650" s="1" t="s">
        <v>1981</v>
      </c>
    </row>
    <row r="5651" spans="1:1">
      <c r="A5651" s="1" t="s">
        <v>1982</v>
      </c>
    </row>
    <row r="5652" spans="1:1">
      <c r="A5652" s="1" t="s">
        <v>1983</v>
      </c>
    </row>
    <row r="5653" spans="1:1">
      <c r="A5653" s="1" t="s">
        <v>1984</v>
      </c>
    </row>
    <row r="5654" spans="1:1">
      <c r="A5654" s="1" t="s">
        <v>1985</v>
      </c>
    </row>
    <row r="5655" spans="1:1">
      <c r="A5655" s="1" t="s">
        <v>1986</v>
      </c>
    </row>
    <row r="5656" spans="1:1">
      <c r="A5656" s="1" t="s">
        <v>1987</v>
      </c>
    </row>
    <row r="5657" spans="1:1">
      <c r="A5657" s="1" t="s">
        <v>1988</v>
      </c>
    </row>
    <row r="5658" spans="1:1">
      <c r="A5658" s="1" t="s">
        <v>1989</v>
      </c>
    </row>
    <row r="5659" spans="1:1">
      <c r="A5659" s="1" t="s">
        <v>1990</v>
      </c>
    </row>
    <row r="5660" spans="1:1">
      <c r="A5660" s="1" t="s">
        <v>1991</v>
      </c>
    </row>
    <row r="5661" spans="1:1">
      <c r="A5661" s="1" t="s">
        <v>1992</v>
      </c>
    </row>
    <row r="5662" spans="1:1">
      <c r="A5662" s="1" t="s">
        <v>1993</v>
      </c>
    </row>
    <row r="5663" spans="1:1">
      <c r="A5663" s="1" t="s">
        <v>1994</v>
      </c>
    </row>
    <row r="5664" spans="1:1">
      <c r="A5664" s="1" t="s">
        <v>1995</v>
      </c>
    </row>
    <row r="5665" spans="1:1">
      <c r="A5665" s="1" t="s">
        <v>1996</v>
      </c>
    </row>
    <row r="5666" spans="1:1">
      <c r="A5666" s="1" t="s">
        <v>1997</v>
      </c>
    </row>
    <row r="5667" spans="1:1">
      <c r="A5667" s="1" t="s">
        <v>1998</v>
      </c>
    </row>
    <row r="5668" spans="1:1">
      <c r="A5668" s="1" t="s">
        <v>1999</v>
      </c>
    </row>
    <row r="5669" spans="1:1">
      <c r="A5669" s="1" t="s">
        <v>2000</v>
      </c>
    </row>
    <row r="5670" spans="1:1">
      <c r="A5670" s="1" t="s">
        <v>2001</v>
      </c>
    </row>
    <row r="5671" spans="1:1">
      <c r="A5671" s="1" t="s">
        <v>2002</v>
      </c>
    </row>
    <row r="5672" spans="1:1">
      <c r="A5672" s="1" t="s">
        <v>2003</v>
      </c>
    </row>
    <row r="5673" spans="1:1">
      <c r="A5673" s="1" t="s">
        <v>2004</v>
      </c>
    </row>
    <row r="5674" spans="1:1">
      <c r="A5674" s="1" t="s">
        <v>2005</v>
      </c>
    </row>
    <row r="5675" spans="1:1">
      <c r="A5675" s="1" t="s">
        <v>2006</v>
      </c>
    </row>
    <row r="5676" spans="1:1">
      <c r="A5676" s="1" t="s">
        <v>2007</v>
      </c>
    </row>
    <row r="5677" spans="1:1">
      <c r="A5677" s="1" t="s">
        <v>2008</v>
      </c>
    </row>
    <row r="5678" spans="1:1">
      <c r="A5678" s="1" t="s">
        <v>2009</v>
      </c>
    </row>
    <row r="5679" spans="1:1">
      <c r="A5679" s="1" t="s">
        <v>2010</v>
      </c>
    </row>
    <row r="5680" spans="1:1">
      <c r="A5680" s="1" t="s">
        <v>2011</v>
      </c>
    </row>
    <row r="5681" spans="1:1">
      <c r="A5681" s="1" t="s">
        <v>2012</v>
      </c>
    </row>
    <row r="5682" spans="1:1">
      <c r="A5682" s="1" t="s">
        <v>2013</v>
      </c>
    </row>
    <row r="5683" spans="1:1">
      <c r="A5683" s="1" t="s">
        <v>2014</v>
      </c>
    </row>
    <row r="5684" spans="1:1">
      <c r="A5684" s="1" t="s">
        <v>2015</v>
      </c>
    </row>
    <row r="5685" spans="1:1">
      <c r="A5685" s="1" t="s">
        <v>2016</v>
      </c>
    </row>
    <row r="5686" spans="1:1">
      <c r="A5686" s="1" t="s">
        <v>2017</v>
      </c>
    </row>
    <row r="5687" spans="1:1">
      <c r="A5687" s="1" t="s">
        <v>2018</v>
      </c>
    </row>
    <row r="5688" spans="1:1">
      <c r="A5688" s="1" t="s">
        <v>2019</v>
      </c>
    </row>
    <row r="5689" spans="1:1">
      <c r="A5689" s="1" t="s">
        <v>2020</v>
      </c>
    </row>
    <row r="5690" spans="1:1">
      <c r="A5690" s="1" t="s">
        <v>2021</v>
      </c>
    </row>
    <row r="5691" spans="1:1">
      <c r="A5691" s="1" t="s">
        <v>2022</v>
      </c>
    </row>
    <row r="5692" spans="1:1">
      <c r="A5692" s="1" t="s">
        <v>2023</v>
      </c>
    </row>
    <row r="5693" spans="1:1">
      <c r="A5693" s="1" t="s">
        <v>2024</v>
      </c>
    </row>
    <row r="5694" spans="1:1">
      <c r="A5694" s="1" t="s">
        <v>2025</v>
      </c>
    </row>
    <row r="5695" spans="1:1">
      <c r="A5695" s="1" t="s">
        <v>2026</v>
      </c>
    </row>
    <row r="5696" spans="1:1">
      <c r="A5696" s="1" t="s">
        <v>2027</v>
      </c>
    </row>
    <row r="5697" spans="1:1">
      <c r="A5697" s="1" t="s">
        <v>2028</v>
      </c>
    </row>
    <row r="5698" spans="1:1">
      <c r="A5698" s="1" t="s">
        <v>2029</v>
      </c>
    </row>
    <row r="5699" spans="1:1">
      <c r="A5699" s="1" t="s">
        <v>2030</v>
      </c>
    </row>
    <row r="5700" spans="1:1">
      <c r="A5700" s="1" t="s">
        <v>2031</v>
      </c>
    </row>
    <row r="5701" spans="1:1">
      <c r="A5701" s="1" t="s">
        <v>2032</v>
      </c>
    </row>
    <row r="5702" spans="1:1">
      <c r="A5702" s="1" t="s">
        <v>2033</v>
      </c>
    </row>
    <row r="5703" spans="1:1">
      <c r="A5703" s="1" t="s">
        <v>2034</v>
      </c>
    </row>
    <row r="5704" spans="1:1">
      <c r="A5704" s="1" t="s">
        <v>2034</v>
      </c>
    </row>
    <row r="5705" spans="1:1">
      <c r="A5705" s="1" t="s">
        <v>2035</v>
      </c>
    </row>
    <row r="5706" spans="1:1">
      <c r="A5706" s="1" t="s">
        <v>2036</v>
      </c>
    </row>
    <row r="5707" spans="1:1">
      <c r="A5707" s="1" t="s">
        <v>2037</v>
      </c>
    </row>
    <row r="5708" spans="1:1">
      <c r="A5708" s="1" t="s">
        <v>2038</v>
      </c>
    </row>
    <row r="5709" spans="1:1">
      <c r="A5709" s="1" t="s">
        <v>2039</v>
      </c>
    </row>
    <row r="5710" spans="1:1">
      <c r="A5710" s="1" t="s">
        <v>2040</v>
      </c>
    </row>
    <row r="5711" spans="1:1">
      <c r="A5711" s="1" t="s">
        <v>2034</v>
      </c>
    </row>
    <row r="5712" spans="1:1">
      <c r="A5712" s="1" t="s">
        <v>2034</v>
      </c>
    </row>
    <row r="5713" spans="1:1">
      <c r="A5713" s="1" t="s">
        <v>2034</v>
      </c>
    </row>
    <row r="5714" spans="1:1">
      <c r="A5714" s="1" t="s">
        <v>2035</v>
      </c>
    </row>
    <row r="5715" spans="1:1">
      <c r="A5715" s="1" t="s">
        <v>2036</v>
      </c>
    </row>
    <row r="5716" spans="1:1">
      <c r="A5716" s="1" t="s">
        <v>2037</v>
      </c>
    </row>
    <row r="5717" spans="1:1">
      <c r="A5717" s="1" t="s">
        <v>2038</v>
      </c>
    </row>
    <row r="5718" spans="1:1">
      <c r="A5718" s="1" t="s">
        <v>2039</v>
      </c>
    </row>
    <row r="5719" spans="1:1">
      <c r="A5719" s="1" t="s">
        <v>2040</v>
      </c>
    </row>
    <row r="5720" spans="1:1">
      <c r="A5720" s="1" t="s">
        <v>2034</v>
      </c>
    </row>
    <row r="5721" spans="1:1">
      <c r="A5721" s="1" t="s">
        <v>2034</v>
      </c>
    </row>
    <row r="5722" spans="1:1">
      <c r="A5722" s="1" t="s">
        <v>2034</v>
      </c>
    </row>
    <row r="5723" spans="1:1">
      <c r="A5723" s="1" t="s">
        <v>2035</v>
      </c>
    </row>
    <row r="5724" spans="1:1">
      <c r="A5724" s="1" t="s">
        <v>2036</v>
      </c>
    </row>
    <row r="5725" spans="1:1">
      <c r="A5725" s="1" t="s">
        <v>2037</v>
      </c>
    </row>
    <row r="5726" spans="1:1">
      <c r="A5726" s="1" t="s">
        <v>2038</v>
      </c>
    </row>
    <row r="5727" spans="1:1">
      <c r="A5727" s="1" t="s">
        <v>2039</v>
      </c>
    </row>
    <row r="5728" spans="1:1">
      <c r="A5728" s="1" t="s">
        <v>2040</v>
      </c>
    </row>
    <row r="5729" spans="1:1">
      <c r="A5729" s="1" t="s">
        <v>2034</v>
      </c>
    </row>
    <row r="5730" spans="1:1">
      <c r="A5730" s="1" t="s">
        <v>2034</v>
      </c>
    </row>
    <row r="5731" spans="1:1">
      <c r="A5731" s="1" t="s">
        <v>2034</v>
      </c>
    </row>
    <row r="5732" spans="1:1">
      <c r="A5732" s="1" t="s">
        <v>2035</v>
      </c>
    </row>
    <row r="5733" spans="1:1">
      <c r="A5733" s="1" t="s">
        <v>2036</v>
      </c>
    </row>
    <row r="5734" spans="1:1">
      <c r="A5734" s="1" t="s">
        <v>2037</v>
      </c>
    </row>
    <row r="5735" spans="1:1">
      <c r="A5735" s="1" t="s">
        <v>2038</v>
      </c>
    </row>
    <row r="5736" spans="1:1">
      <c r="A5736" s="1" t="s">
        <v>2039</v>
      </c>
    </row>
    <row r="5737" spans="1:1">
      <c r="A5737" s="1" t="s">
        <v>2040</v>
      </c>
    </row>
    <row r="5738" spans="1:1">
      <c r="A5738" s="1" t="s">
        <v>2034</v>
      </c>
    </row>
    <row r="5739" spans="1:1">
      <c r="A5739" s="1" t="s">
        <v>2034</v>
      </c>
    </row>
    <row r="5740" spans="1:1">
      <c r="A5740" s="1" t="s">
        <v>2034</v>
      </c>
    </row>
    <row r="5741" spans="1:1">
      <c r="A5741" s="1" t="s">
        <v>2035</v>
      </c>
    </row>
    <row r="5742" spans="1:1">
      <c r="A5742" s="1" t="s">
        <v>2036</v>
      </c>
    </row>
    <row r="5743" spans="1:1">
      <c r="A5743" s="1" t="s">
        <v>2037</v>
      </c>
    </row>
    <row r="5744" spans="1:1">
      <c r="A5744" s="1" t="s">
        <v>2038</v>
      </c>
    </row>
    <row r="5745" spans="1:1">
      <c r="A5745" s="1" t="s">
        <v>2039</v>
      </c>
    </row>
    <row r="5746" spans="1:1">
      <c r="A5746" s="1" t="s">
        <v>2040</v>
      </c>
    </row>
    <row r="5747" spans="1:1">
      <c r="A5747" s="1" t="s">
        <v>2034</v>
      </c>
    </row>
    <row r="5748" spans="1:1">
      <c r="A5748" s="1" t="s">
        <v>2034</v>
      </c>
    </row>
    <row r="5749" spans="1:1">
      <c r="A5749" s="1" t="s">
        <v>2034</v>
      </c>
    </row>
    <row r="5750" spans="1:1">
      <c r="A5750" s="1" t="s">
        <v>2035</v>
      </c>
    </row>
    <row r="5751" spans="1:1">
      <c r="A5751" s="1" t="s">
        <v>2036</v>
      </c>
    </row>
    <row r="5752" spans="1:1">
      <c r="A5752" s="1" t="s">
        <v>2037</v>
      </c>
    </row>
    <row r="5753" spans="1:1">
      <c r="A5753" s="1" t="s">
        <v>2038</v>
      </c>
    </row>
    <row r="5754" spans="1:1">
      <c r="A5754" s="1" t="s">
        <v>2039</v>
      </c>
    </row>
    <row r="5755" spans="1:1">
      <c r="A5755" s="1" t="s">
        <v>2040</v>
      </c>
    </row>
    <row r="5756" spans="1:1">
      <c r="A5756" s="1" t="s">
        <v>2034</v>
      </c>
    </row>
    <row r="5757" spans="1:1">
      <c r="A5757" s="1" t="s">
        <v>2041</v>
      </c>
    </row>
    <row r="5758" spans="1:1">
      <c r="A5758" s="1" t="s">
        <v>2042</v>
      </c>
    </row>
    <row r="5759" spans="1:1">
      <c r="A5759" s="1" t="s">
        <v>2043</v>
      </c>
    </row>
    <row r="5760" spans="1:1">
      <c r="A5760" s="1" t="s">
        <v>2044</v>
      </c>
    </row>
    <row r="5761" spans="1:1">
      <c r="A5761" s="1" t="s">
        <v>2045</v>
      </c>
    </row>
    <row r="5762" spans="1:1">
      <c r="A5762" s="1" t="s">
        <v>2046</v>
      </c>
    </row>
    <row r="5763" spans="1:1">
      <c r="A5763" s="1" t="s">
        <v>2047</v>
      </c>
    </row>
    <row r="5764" spans="1:1">
      <c r="A5764" s="1" t="s">
        <v>2048</v>
      </c>
    </row>
    <row r="5765" spans="1:1">
      <c r="A5765" s="1" t="s">
        <v>2049</v>
      </c>
    </row>
    <row r="5766" spans="1:1">
      <c r="A5766" s="1" t="s">
        <v>2050</v>
      </c>
    </row>
    <row r="5767" spans="1:1">
      <c r="A5767" s="1" t="s">
        <v>2051</v>
      </c>
    </row>
    <row r="5768" spans="1:1">
      <c r="A5768" s="1" t="s">
        <v>2052</v>
      </c>
    </row>
    <row r="5769" spans="1:1">
      <c r="A5769" s="1" t="s">
        <v>2053</v>
      </c>
    </row>
    <row r="5770" spans="1:1">
      <c r="A5770" s="1" t="s">
        <v>2054</v>
      </c>
    </row>
    <row r="5771" spans="1:1">
      <c r="A5771" s="1" t="s">
        <v>2055</v>
      </c>
    </row>
    <row r="5772" spans="1:1">
      <c r="A5772" s="1" t="s">
        <v>2056</v>
      </c>
    </row>
    <row r="5773" spans="1:1">
      <c r="A5773" s="1" t="s">
        <v>2057</v>
      </c>
    </row>
    <row r="5774" spans="1:1">
      <c r="A5774" s="1" t="s">
        <v>2058</v>
      </c>
    </row>
    <row r="5775" spans="1:1">
      <c r="A5775" s="1" t="s">
        <v>2059</v>
      </c>
    </row>
    <row r="5776" spans="1:1">
      <c r="A5776" s="1" t="s">
        <v>2060</v>
      </c>
    </row>
    <row r="5777" spans="1:1">
      <c r="A5777" s="1" t="s">
        <v>2061</v>
      </c>
    </row>
    <row r="5778" spans="1:1">
      <c r="A5778" s="1" t="s">
        <v>2062</v>
      </c>
    </row>
    <row r="5779" spans="1:1">
      <c r="A5779" s="1" t="s">
        <v>2063</v>
      </c>
    </row>
    <row r="5780" spans="1:1">
      <c r="A5780" s="1" t="s">
        <v>2064</v>
      </c>
    </row>
    <row r="5781" spans="1:1">
      <c r="A5781" s="1" t="s">
        <v>2065</v>
      </c>
    </row>
    <row r="5782" spans="1:1">
      <c r="A5782" s="1" t="s">
        <v>2066</v>
      </c>
    </row>
    <row r="5783" spans="1:1">
      <c r="A5783" s="1" t="s">
        <v>2067</v>
      </c>
    </row>
    <row r="5784" spans="1:1">
      <c r="A5784" s="1" t="s">
        <v>2068</v>
      </c>
    </row>
    <row r="5785" spans="1:1">
      <c r="A5785" s="1" t="s">
        <v>2069</v>
      </c>
    </row>
    <row r="5786" spans="1:1">
      <c r="A5786" s="1" t="s">
        <v>2070</v>
      </c>
    </row>
    <row r="5787" spans="1:1">
      <c r="A5787" s="1" t="s">
        <v>2071</v>
      </c>
    </row>
    <row r="5788" spans="1:1">
      <c r="A5788" s="1" t="s">
        <v>2072</v>
      </c>
    </row>
    <row r="5789" spans="1:1">
      <c r="A5789" s="1" t="s">
        <v>2073</v>
      </c>
    </row>
    <row r="5790" spans="1:1">
      <c r="A5790" s="1" t="s">
        <v>2074</v>
      </c>
    </row>
    <row r="5791" spans="1:1">
      <c r="A5791" s="1" t="s">
        <v>2075</v>
      </c>
    </row>
    <row r="5792" spans="1:1">
      <c r="A5792" s="1" t="s">
        <v>2076</v>
      </c>
    </row>
    <row r="5793" spans="1:1">
      <c r="A5793" s="1" t="s">
        <v>2077</v>
      </c>
    </row>
    <row r="5794" spans="1:1">
      <c r="A5794" s="1" t="s">
        <v>2078</v>
      </c>
    </row>
    <row r="5795" spans="1:1">
      <c r="A5795" s="1" t="s">
        <v>2079</v>
      </c>
    </row>
    <row r="5796" spans="1:1">
      <c r="A5796" s="1" t="s">
        <v>2080</v>
      </c>
    </row>
    <row r="5797" spans="1:1">
      <c r="A5797" s="1" t="s">
        <v>2081</v>
      </c>
    </row>
    <row r="5798" spans="1:1">
      <c r="A5798" s="1" t="s">
        <v>2082</v>
      </c>
    </row>
    <row r="5799" spans="1:1">
      <c r="A5799" s="1" t="s">
        <v>2083</v>
      </c>
    </row>
    <row r="5800" spans="1:1">
      <c r="A5800" s="1" t="s">
        <v>2084</v>
      </c>
    </row>
    <row r="5801" spans="1:1">
      <c r="A5801" s="1" t="s">
        <v>2085</v>
      </c>
    </row>
    <row r="5802" spans="1:1">
      <c r="A5802" s="1" t="s">
        <v>2085</v>
      </c>
    </row>
    <row r="5803" spans="1:1">
      <c r="A5803" s="1" t="s">
        <v>2085</v>
      </c>
    </row>
    <row r="5804" spans="1:1">
      <c r="A5804" s="1" t="s">
        <v>2086</v>
      </c>
    </row>
    <row r="5805" spans="1:1">
      <c r="A5805" s="1" t="s">
        <v>2086</v>
      </c>
    </row>
    <row r="5806" spans="1:1">
      <c r="A5806" s="1" t="s">
        <v>2087</v>
      </c>
    </row>
    <row r="5807" spans="1:1">
      <c r="A5807" s="1" t="s">
        <v>2088</v>
      </c>
    </row>
    <row r="5808" spans="1:1">
      <c r="A5808" s="1" t="s">
        <v>2089</v>
      </c>
    </row>
    <row r="5809" spans="1:1">
      <c r="A5809" s="1" t="s">
        <v>2090</v>
      </c>
    </row>
    <row r="5810" spans="1:1">
      <c r="A5810" s="1" t="s">
        <v>2091</v>
      </c>
    </row>
    <row r="5811" spans="1:1">
      <c r="A5811" s="1" t="s">
        <v>2092</v>
      </c>
    </row>
    <row r="5812" spans="1:1">
      <c r="A5812" s="1" t="s">
        <v>2086</v>
      </c>
    </row>
    <row r="5813" spans="1:1">
      <c r="A5813" s="1" t="s">
        <v>2086</v>
      </c>
    </row>
    <row r="5814" spans="1:1">
      <c r="A5814" s="1" t="s">
        <v>2086</v>
      </c>
    </row>
    <row r="5815" spans="1:1">
      <c r="A5815" s="1" t="s">
        <v>2087</v>
      </c>
    </row>
    <row r="5816" spans="1:1">
      <c r="A5816" s="1" t="s">
        <v>2088</v>
      </c>
    </row>
    <row r="5817" spans="1:1">
      <c r="A5817" s="1" t="s">
        <v>2089</v>
      </c>
    </row>
    <row r="5818" spans="1:1">
      <c r="A5818" s="1" t="s">
        <v>2090</v>
      </c>
    </row>
    <row r="5819" spans="1:1">
      <c r="A5819" s="1" t="s">
        <v>2091</v>
      </c>
    </row>
    <row r="5820" spans="1:1">
      <c r="A5820" s="1" t="s">
        <v>2092</v>
      </c>
    </row>
    <row r="5821" spans="1:1">
      <c r="A5821" s="1" t="s">
        <v>2086</v>
      </c>
    </row>
    <row r="5822" spans="1:1">
      <c r="A5822" s="1" t="s">
        <v>2093</v>
      </c>
    </row>
    <row r="5823" spans="1:1">
      <c r="A5823" s="1" t="s">
        <v>2093</v>
      </c>
    </row>
    <row r="5824" spans="1:1">
      <c r="A5824" s="1" t="s">
        <v>2094</v>
      </c>
    </row>
    <row r="5825" spans="1:1">
      <c r="A5825" s="1" t="s">
        <v>2095</v>
      </c>
    </row>
    <row r="5826" spans="1:1">
      <c r="A5826" s="1" t="s">
        <v>2096</v>
      </c>
    </row>
    <row r="5827" spans="1:1">
      <c r="A5827" s="1" t="s">
        <v>2097</v>
      </c>
    </row>
    <row r="5828" spans="1:1">
      <c r="A5828" s="1" t="s">
        <v>2098</v>
      </c>
    </row>
    <row r="5829" spans="1:1">
      <c r="A5829" s="1" t="s">
        <v>2099</v>
      </c>
    </row>
    <row r="5830" spans="1:1">
      <c r="A5830" s="1" t="s">
        <v>2093</v>
      </c>
    </row>
    <row r="5831" spans="1:1">
      <c r="A5831" s="1" t="s">
        <v>2093</v>
      </c>
    </row>
    <row r="5832" spans="1:1">
      <c r="A5832" s="1" t="s">
        <v>2093</v>
      </c>
    </row>
    <row r="5833" spans="1:1">
      <c r="A5833" s="1" t="s">
        <v>2094</v>
      </c>
    </row>
    <row r="5834" spans="1:1">
      <c r="A5834" s="1" t="s">
        <v>2095</v>
      </c>
    </row>
    <row r="5835" spans="1:1">
      <c r="A5835" s="1" t="s">
        <v>2096</v>
      </c>
    </row>
    <row r="5836" spans="1:1">
      <c r="A5836" s="1" t="s">
        <v>2097</v>
      </c>
    </row>
    <row r="5837" spans="1:1">
      <c r="A5837" s="1" t="s">
        <v>2098</v>
      </c>
    </row>
    <row r="5838" spans="1:1">
      <c r="A5838" s="1" t="s">
        <v>2099</v>
      </c>
    </row>
    <row r="5839" spans="1:1">
      <c r="A5839" s="1" t="s">
        <v>2093</v>
      </c>
    </row>
    <row r="5840" spans="1:1">
      <c r="A5840" s="1" t="s">
        <v>2093</v>
      </c>
    </row>
    <row r="5841" spans="1:1">
      <c r="A5841" s="1" t="s">
        <v>2093</v>
      </c>
    </row>
    <row r="5842" spans="1:1">
      <c r="A5842" s="1" t="s">
        <v>2094</v>
      </c>
    </row>
    <row r="5843" spans="1:1">
      <c r="A5843" s="1" t="s">
        <v>2095</v>
      </c>
    </row>
    <row r="5844" spans="1:1">
      <c r="A5844" s="1" t="s">
        <v>2096</v>
      </c>
    </row>
    <row r="5845" spans="1:1">
      <c r="A5845" s="1" t="s">
        <v>2097</v>
      </c>
    </row>
    <row r="5846" spans="1:1">
      <c r="A5846" s="1" t="s">
        <v>2098</v>
      </c>
    </row>
    <row r="5847" spans="1:1">
      <c r="A5847" s="1" t="s">
        <v>2099</v>
      </c>
    </row>
    <row r="5848" spans="1:1">
      <c r="A5848" s="1" t="s">
        <v>2093</v>
      </c>
    </row>
    <row r="5849" spans="1:1">
      <c r="A5849" s="1" t="s">
        <v>2093</v>
      </c>
    </row>
    <row r="5850" spans="1:1">
      <c r="A5850" s="1" t="s">
        <v>2093</v>
      </c>
    </row>
    <row r="5851" spans="1:1">
      <c r="A5851" s="1" t="s">
        <v>2094</v>
      </c>
    </row>
    <row r="5852" spans="1:1">
      <c r="A5852" s="1" t="s">
        <v>2095</v>
      </c>
    </row>
    <row r="5853" spans="1:1">
      <c r="A5853" s="1" t="s">
        <v>2096</v>
      </c>
    </row>
    <row r="5854" spans="1:1">
      <c r="A5854" s="1" t="s">
        <v>2097</v>
      </c>
    </row>
    <row r="5855" spans="1:1">
      <c r="A5855" s="1" t="s">
        <v>2098</v>
      </c>
    </row>
    <row r="5856" spans="1:1">
      <c r="A5856" s="1" t="s">
        <v>2099</v>
      </c>
    </row>
    <row r="5857" spans="1:1">
      <c r="A5857" s="1" t="s">
        <v>2093</v>
      </c>
    </row>
    <row r="5858" spans="1:1">
      <c r="A5858" s="1" t="s">
        <v>2100</v>
      </c>
    </row>
    <row r="5859" spans="1:1">
      <c r="A5859" s="1" t="s">
        <v>2100</v>
      </c>
    </row>
    <row r="5860" spans="1:1">
      <c r="A5860" s="1" t="s">
        <v>2101</v>
      </c>
    </row>
    <row r="5861" spans="1:1">
      <c r="A5861" s="1" t="s">
        <v>2102</v>
      </c>
    </row>
    <row r="5862" spans="1:1">
      <c r="A5862" s="1" t="s">
        <v>2103</v>
      </c>
    </row>
    <row r="5863" spans="1:1">
      <c r="A5863" s="1" t="s">
        <v>2104</v>
      </c>
    </row>
    <row r="5864" spans="1:1">
      <c r="A5864" s="1" t="s">
        <v>2105</v>
      </c>
    </row>
    <row r="5865" spans="1:1">
      <c r="A5865" s="1" t="s">
        <v>2106</v>
      </c>
    </row>
    <row r="5866" spans="1:1">
      <c r="A5866" s="1" t="s">
        <v>2100</v>
      </c>
    </row>
    <row r="5867" spans="1:1">
      <c r="A5867" s="1" t="s">
        <v>2100</v>
      </c>
    </row>
    <row r="5868" spans="1:1">
      <c r="A5868" s="1" t="s">
        <v>2100</v>
      </c>
    </row>
    <row r="5869" spans="1:1">
      <c r="A5869" s="1" t="s">
        <v>2101</v>
      </c>
    </row>
    <row r="5870" spans="1:1">
      <c r="A5870" s="1" t="s">
        <v>2102</v>
      </c>
    </row>
    <row r="5871" spans="1:1">
      <c r="A5871" s="1" t="s">
        <v>2103</v>
      </c>
    </row>
    <row r="5872" spans="1:1">
      <c r="A5872" s="1" t="s">
        <v>2104</v>
      </c>
    </row>
    <row r="5873" spans="1:1">
      <c r="A5873" s="1" t="s">
        <v>2105</v>
      </c>
    </row>
    <row r="5874" spans="1:1">
      <c r="A5874" s="1" t="s">
        <v>2106</v>
      </c>
    </row>
    <row r="5875" spans="1:1">
      <c r="A5875" s="1" t="s">
        <v>2100</v>
      </c>
    </row>
    <row r="5876" spans="1:1">
      <c r="A5876" s="1" t="s">
        <v>2100</v>
      </c>
    </row>
    <row r="5877" spans="1:1">
      <c r="A5877" s="1" t="s">
        <v>2100</v>
      </c>
    </row>
    <row r="5878" spans="1:1">
      <c r="A5878" s="1" t="s">
        <v>2101</v>
      </c>
    </row>
    <row r="5879" spans="1:1">
      <c r="A5879" s="1" t="s">
        <v>2102</v>
      </c>
    </row>
    <row r="5880" spans="1:1">
      <c r="A5880" s="1" t="s">
        <v>2103</v>
      </c>
    </row>
    <row r="5881" spans="1:1">
      <c r="A5881" s="1" t="s">
        <v>2104</v>
      </c>
    </row>
    <row r="5882" spans="1:1">
      <c r="A5882" s="1" t="s">
        <v>2105</v>
      </c>
    </row>
    <row r="5883" spans="1:1">
      <c r="A5883" s="1" t="s">
        <v>2106</v>
      </c>
    </row>
    <row r="5884" spans="1:1">
      <c r="A5884" s="1" t="s">
        <v>2100</v>
      </c>
    </row>
    <row r="5885" spans="1:1">
      <c r="A5885" s="1" t="s">
        <v>2100</v>
      </c>
    </row>
    <row r="5886" spans="1:1">
      <c r="A5886" s="1" t="s">
        <v>2100</v>
      </c>
    </row>
    <row r="5887" spans="1:1">
      <c r="A5887" s="1" t="s">
        <v>2101</v>
      </c>
    </row>
    <row r="5888" spans="1:1">
      <c r="A5888" s="1" t="s">
        <v>2102</v>
      </c>
    </row>
    <row r="5889" spans="1:1">
      <c r="A5889" s="1" t="s">
        <v>2103</v>
      </c>
    </row>
    <row r="5890" spans="1:1">
      <c r="A5890" s="1" t="s">
        <v>2104</v>
      </c>
    </row>
    <row r="5891" spans="1:1">
      <c r="A5891" s="1" t="s">
        <v>2105</v>
      </c>
    </row>
    <row r="5892" spans="1:1">
      <c r="A5892" s="1" t="s">
        <v>2106</v>
      </c>
    </row>
    <row r="5893" spans="1:1">
      <c r="A5893" s="1" t="s">
        <v>2100</v>
      </c>
    </row>
    <row r="5894" spans="1:1">
      <c r="A5894" s="1" t="s">
        <v>2100</v>
      </c>
    </row>
    <row r="5895" spans="1:1">
      <c r="A5895" s="1" t="s">
        <v>2100</v>
      </c>
    </row>
    <row r="5896" spans="1:1">
      <c r="A5896" s="1" t="s">
        <v>2101</v>
      </c>
    </row>
    <row r="5897" spans="1:1">
      <c r="A5897" s="1" t="s">
        <v>2102</v>
      </c>
    </row>
    <row r="5898" spans="1:1">
      <c r="A5898" s="1" t="s">
        <v>2103</v>
      </c>
    </row>
    <row r="5899" spans="1:1">
      <c r="A5899" s="1" t="s">
        <v>2104</v>
      </c>
    </row>
    <row r="5900" spans="1:1">
      <c r="A5900" s="1" t="s">
        <v>2105</v>
      </c>
    </row>
    <row r="5901" spans="1:1">
      <c r="A5901" s="1" t="s">
        <v>2106</v>
      </c>
    </row>
    <row r="5902" spans="1:1">
      <c r="A5902" s="1" t="s">
        <v>2100</v>
      </c>
    </row>
    <row r="5903" spans="1:1">
      <c r="A5903" s="1" t="s">
        <v>2100</v>
      </c>
    </row>
    <row r="5904" spans="1:1">
      <c r="A5904" s="1" t="s">
        <v>2100</v>
      </c>
    </row>
    <row r="5905" spans="1:1">
      <c r="A5905" s="1" t="s">
        <v>2101</v>
      </c>
    </row>
    <row r="5906" spans="1:1">
      <c r="A5906" s="1" t="s">
        <v>2102</v>
      </c>
    </row>
    <row r="5907" spans="1:1">
      <c r="A5907" s="1" t="s">
        <v>2103</v>
      </c>
    </row>
    <row r="5908" spans="1:1">
      <c r="A5908" s="1" t="s">
        <v>2104</v>
      </c>
    </row>
    <row r="5909" spans="1:1">
      <c r="A5909" s="1" t="s">
        <v>2105</v>
      </c>
    </row>
    <row r="5910" spans="1:1">
      <c r="A5910" s="1" t="s">
        <v>2106</v>
      </c>
    </row>
    <row r="5911" spans="1:1">
      <c r="A5911" s="1" t="s">
        <v>2100</v>
      </c>
    </row>
    <row r="5912" spans="1:1">
      <c r="A5912" s="1" t="s">
        <v>2107</v>
      </c>
    </row>
    <row r="5913" spans="1:1">
      <c r="A5913" s="1" t="s">
        <v>2107</v>
      </c>
    </row>
    <row r="5914" spans="1:1">
      <c r="A5914" s="1" t="s">
        <v>2108</v>
      </c>
    </row>
    <row r="5915" spans="1:1">
      <c r="A5915" s="1" t="s">
        <v>2109</v>
      </c>
    </row>
    <row r="5916" spans="1:1">
      <c r="A5916" s="1" t="s">
        <v>2110</v>
      </c>
    </row>
    <row r="5917" spans="1:1">
      <c r="A5917" s="1" t="s">
        <v>2111</v>
      </c>
    </row>
    <row r="5918" spans="1:1">
      <c r="A5918" s="1" t="s">
        <v>2112</v>
      </c>
    </row>
    <row r="5919" spans="1:1">
      <c r="A5919" s="1" t="s">
        <v>2113</v>
      </c>
    </row>
    <row r="5920" spans="1:1">
      <c r="A5920" s="1" t="s">
        <v>2114</v>
      </c>
    </row>
    <row r="5921" spans="1:1">
      <c r="A5921" s="1" t="s">
        <v>2114</v>
      </c>
    </row>
    <row r="5922" spans="1:1">
      <c r="A5922" s="1" t="s">
        <v>2114</v>
      </c>
    </row>
    <row r="5923" spans="1:1">
      <c r="A5923" s="1" t="s">
        <v>2108</v>
      </c>
    </row>
    <row r="5924" spans="1:1">
      <c r="A5924" s="1" t="s">
        <v>2109</v>
      </c>
    </row>
    <row r="5925" spans="1:1">
      <c r="A5925" s="1" t="s">
        <v>2110</v>
      </c>
    </row>
    <row r="5926" spans="1:1">
      <c r="A5926" s="1" t="s">
        <v>2111</v>
      </c>
    </row>
    <row r="5927" spans="1:1">
      <c r="A5927" s="1" t="s">
        <v>2112</v>
      </c>
    </row>
    <row r="5928" spans="1:1">
      <c r="A5928" s="1" t="s">
        <v>2113</v>
      </c>
    </row>
    <row r="5929" spans="1:1">
      <c r="A5929" s="1" t="s">
        <v>2114</v>
      </c>
    </row>
    <row r="5930" spans="1:1">
      <c r="A5930" s="1" t="s">
        <v>2114</v>
      </c>
    </row>
    <row r="5931" spans="1:1">
      <c r="A5931" s="1" t="s">
        <v>2114</v>
      </c>
    </row>
    <row r="5932" spans="1:1">
      <c r="A5932" s="1" t="s">
        <v>2108</v>
      </c>
    </row>
    <row r="5933" spans="1:1">
      <c r="A5933" s="1" t="s">
        <v>2109</v>
      </c>
    </row>
    <row r="5934" spans="1:1">
      <c r="A5934" s="1" t="s">
        <v>2110</v>
      </c>
    </row>
    <row r="5935" spans="1:1">
      <c r="A5935" s="1" t="s">
        <v>2111</v>
      </c>
    </row>
    <row r="5936" spans="1:1">
      <c r="A5936" s="1" t="s">
        <v>2112</v>
      </c>
    </row>
    <row r="5937" spans="1:1">
      <c r="A5937" s="1" t="s">
        <v>2113</v>
      </c>
    </row>
    <row r="5938" spans="1:1">
      <c r="A5938" s="1" t="s">
        <v>2114</v>
      </c>
    </row>
    <row r="5939" spans="1:1">
      <c r="A5939" s="1" t="s">
        <v>2114</v>
      </c>
    </row>
    <row r="5940" spans="1:1">
      <c r="A5940" s="1" t="s">
        <v>2114</v>
      </c>
    </row>
    <row r="5941" spans="1:1">
      <c r="A5941" s="1" t="s">
        <v>2108</v>
      </c>
    </row>
    <row r="5942" spans="1:1">
      <c r="A5942" s="1" t="s">
        <v>2109</v>
      </c>
    </row>
    <row r="5943" spans="1:1">
      <c r="A5943" s="1" t="s">
        <v>2110</v>
      </c>
    </row>
    <row r="5944" spans="1:1">
      <c r="A5944" s="1" t="s">
        <v>2111</v>
      </c>
    </row>
    <row r="5945" spans="1:1">
      <c r="A5945" s="1" t="s">
        <v>2112</v>
      </c>
    </row>
    <row r="5946" spans="1:1">
      <c r="A5946" s="1" t="s">
        <v>2113</v>
      </c>
    </row>
    <row r="5947" spans="1:1">
      <c r="A5947" s="1" t="s">
        <v>2114</v>
      </c>
    </row>
    <row r="5948" spans="1:1">
      <c r="A5948" s="1" t="s">
        <v>2114</v>
      </c>
    </row>
    <row r="5949" spans="1:1">
      <c r="A5949" s="1" t="s">
        <v>2114</v>
      </c>
    </row>
    <row r="5950" spans="1:1">
      <c r="A5950" s="1" t="s">
        <v>2108</v>
      </c>
    </row>
    <row r="5951" spans="1:1">
      <c r="A5951" s="1" t="s">
        <v>2109</v>
      </c>
    </row>
    <row r="5952" spans="1:1">
      <c r="A5952" s="1" t="s">
        <v>2110</v>
      </c>
    </row>
    <row r="5953" spans="1:1">
      <c r="A5953" s="1" t="s">
        <v>2111</v>
      </c>
    </row>
    <row r="5954" spans="1:1">
      <c r="A5954" s="1" t="s">
        <v>2112</v>
      </c>
    </row>
    <row r="5955" spans="1:1">
      <c r="A5955" s="1" t="s">
        <v>2113</v>
      </c>
    </row>
    <row r="5956" spans="1:1">
      <c r="A5956" s="1" t="s">
        <v>2114</v>
      </c>
    </row>
    <row r="5957" spans="1:1">
      <c r="A5957" s="1" t="s">
        <v>2114</v>
      </c>
    </row>
    <row r="5958" spans="1:1">
      <c r="A5958" s="1" t="s">
        <v>2114</v>
      </c>
    </row>
    <row r="5959" spans="1:1">
      <c r="A5959" s="1" t="s">
        <v>2108</v>
      </c>
    </row>
    <row r="5960" spans="1:1">
      <c r="A5960" s="1" t="s">
        <v>2109</v>
      </c>
    </row>
    <row r="5961" spans="1:1">
      <c r="A5961" s="1" t="s">
        <v>2110</v>
      </c>
    </row>
    <row r="5962" spans="1:1">
      <c r="A5962" s="1" t="s">
        <v>2111</v>
      </c>
    </row>
    <row r="5963" spans="1:1">
      <c r="A5963" s="1" t="s">
        <v>2112</v>
      </c>
    </row>
    <row r="5964" spans="1:1">
      <c r="A5964" s="1" t="s">
        <v>2113</v>
      </c>
    </row>
    <row r="5965" spans="1:1">
      <c r="A5965" s="1" t="s">
        <v>2114</v>
      </c>
    </row>
    <row r="5966" spans="1:1">
      <c r="A5966" s="1" t="s">
        <v>2114</v>
      </c>
    </row>
    <row r="5967" spans="1:1">
      <c r="A5967" s="1" t="s">
        <v>2114</v>
      </c>
    </row>
    <row r="5968" spans="1:1">
      <c r="A5968" s="1" t="s">
        <v>2108</v>
      </c>
    </row>
    <row r="5969" spans="1:1">
      <c r="A5969" s="1" t="s">
        <v>2109</v>
      </c>
    </row>
    <row r="5970" spans="1:1">
      <c r="A5970" s="1" t="s">
        <v>2110</v>
      </c>
    </row>
    <row r="5971" spans="1:1">
      <c r="A5971" s="1" t="s">
        <v>2111</v>
      </c>
    </row>
    <row r="5972" spans="1:1">
      <c r="A5972" s="1" t="s">
        <v>2112</v>
      </c>
    </row>
    <row r="5973" spans="1:1">
      <c r="A5973" s="1" t="s">
        <v>2113</v>
      </c>
    </row>
    <row r="5974" spans="1:1">
      <c r="A5974" s="1" t="s">
        <v>2114</v>
      </c>
    </row>
    <row r="5975" spans="1:1">
      <c r="A5975" s="1" t="s">
        <v>2114</v>
      </c>
    </row>
    <row r="5976" spans="1:1">
      <c r="A5976" s="1" t="s">
        <v>2114</v>
      </c>
    </row>
    <row r="5977" spans="1:1">
      <c r="A5977" s="1" t="s">
        <v>2108</v>
      </c>
    </row>
    <row r="5978" spans="1:1">
      <c r="A5978" s="1" t="s">
        <v>2109</v>
      </c>
    </row>
    <row r="5979" spans="1:1">
      <c r="A5979" s="1" t="s">
        <v>2110</v>
      </c>
    </row>
    <row r="5980" spans="1:1">
      <c r="A5980" s="1" t="s">
        <v>2111</v>
      </c>
    </row>
    <row r="5981" spans="1:1">
      <c r="A5981" s="1" t="s">
        <v>2112</v>
      </c>
    </row>
    <row r="5982" spans="1:1">
      <c r="A5982" s="1" t="s">
        <v>2113</v>
      </c>
    </row>
    <row r="5983" spans="1:1">
      <c r="A5983" s="1" t="s">
        <v>2114</v>
      </c>
    </row>
    <row r="5984" spans="1:1">
      <c r="A5984" s="1" t="s">
        <v>2114</v>
      </c>
    </row>
    <row r="5985" spans="1:1">
      <c r="A5985" s="1" t="s">
        <v>2114</v>
      </c>
    </row>
    <row r="5986" spans="1:1">
      <c r="A5986" s="1" t="s">
        <v>2108</v>
      </c>
    </row>
    <row r="5987" spans="1:1">
      <c r="A5987" s="1" t="s">
        <v>2109</v>
      </c>
    </row>
    <row r="5988" spans="1:1">
      <c r="A5988" s="1" t="s">
        <v>2110</v>
      </c>
    </row>
    <row r="5989" spans="1:1">
      <c r="A5989" s="1" t="s">
        <v>2111</v>
      </c>
    </row>
    <row r="5990" spans="1:1">
      <c r="A5990" s="1" t="s">
        <v>2112</v>
      </c>
    </row>
    <row r="5991" spans="1:1">
      <c r="A5991" s="1" t="s">
        <v>2113</v>
      </c>
    </row>
    <row r="5992" spans="1:1">
      <c r="A5992" s="1" t="s">
        <v>2114</v>
      </c>
    </row>
    <row r="5993" spans="1:1">
      <c r="A5993" s="1" t="s">
        <v>2114</v>
      </c>
    </row>
    <row r="5994" spans="1:1">
      <c r="A5994" s="1" t="s">
        <v>2114</v>
      </c>
    </row>
    <row r="5995" spans="1:1">
      <c r="A5995" s="1" t="s">
        <v>2108</v>
      </c>
    </row>
    <row r="5996" spans="1:1">
      <c r="A5996" s="1" t="s">
        <v>2109</v>
      </c>
    </row>
    <row r="5997" spans="1:1">
      <c r="A5997" s="1" t="s">
        <v>2110</v>
      </c>
    </row>
    <row r="5998" spans="1:1">
      <c r="A5998" s="1" t="s">
        <v>2111</v>
      </c>
    </row>
    <row r="5999" spans="1:1">
      <c r="A5999" s="1" t="s">
        <v>2112</v>
      </c>
    </row>
    <row r="6000" spans="1:1">
      <c r="A6000" s="1" t="s">
        <v>2113</v>
      </c>
    </row>
    <row r="6001" spans="1:1">
      <c r="A6001" s="1" t="s">
        <v>2114</v>
      </c>
    </row>
    <row r="6002" spans="1:1">
      <c r="A6002" s="1" t="s">
        <v>2114</v>
      </c>
    </row>
    <row r="6003" spans="1:1">
      <c r="A6003" s="1" t="s">
        <v>2114</v>
      </c>
    </row>
    <row r="6004" spans="1:1">
      <c r="A6004" s="1" t="s">
        <v>2108</v>
      </c>
    </row>
    <row r="6005" spans="1:1">
      <c r="A6005" s="1" t="s">
        <v>2109</v>
      </c>
    </row>
    <row r="6006" spans="1:1">
      <c r="A6006" s="1" t="s">
        <v>2110</v>
      </c>
    </row>
    <row r="6007" spans="1:1">
      <c r="A6007" s="1" t="s">
        <v>2111</v>
      </c>
    </row>
    <row r="6008" spans="1:1">
      <c r="A6008" s="1" t="s">
        <v>2112</v>
      </c>
    </row>
    <row r="6009" spans="1:1">
      <c r="A6009" s="1" t="s">
        <v>2113</v>
      </c>
    </row>
    <row r="6010" spans="1:1">
      <c r="A6010" s="1" t="s">
        <v>2114</v>
      </c>
    </row>
    <row r="6011" spans="1:1">
      <c r="A6011" s="1" t="s">
        <v>2114</v>
      </c>
    </row>
    <row r="6012" spans="1:1">
      <c r="A6012" s="1" t="s">
        <v>2114</v>
      </c>
    </row>
    <row r="6013" spans="1:1">
      <c r="A6013" s="1" t="s">
        <v>2108</v>
      </c>
    </row>
    <row r="6014" spans="1:1">
      <c r="A6014" s="1" t="s">
        <v>2109</v>
      </c>
    </row>
    <row r="6015" spans="1:1">
      <c r="A6015" s="1" t="s">
        <v>2110</v>
      </c>
    </row>
    <row r="6016" spans="1:1">
      <c r="A6016" s="1" t="s">
        <v>2111</v>
      </c>
    </row>
    <row r="6017" spans="1:1">
      <c r="A6017" s="1" t="s">
        <v>2112</v>
      </c>
    </row>
    <row r="6018" spans="1:1">
      <c r="A6018" s="1" t="s">
        <v>2113</v>
      </c>
    </row>
    <row r="6019" spans="1:1">
      <c r="A6019" s="1" t="s">
        <v>2114</v>
      </c>
    </row>
    <row r="6020" spans="1:1">
      <c r="A6020" s="1" t="s">
        <v>2114</v>
      </c>
    </row>
    <row r="6021" spans="1:1">
      <c r="A6021" s="1" t="s">
        <v>2114</v>
      </c>
    </row>
    <row r="6022" spans="1:1">
      <c r="A6022" s="1" t="s">
        <v>2108</v>
      </c>
    </row>
    <row r="6023" spans="1:1">
      <c r="A6023" s="1" t="s">
        <v>2109</v>
      </c>
    </row>
    <row r="6024" spans="1:1">
      <c r="A6024" s="1" t="s">
        <v>2110</v>
      </c>
    </row>
    <row r="6025" spans="1:1">
      <c r="A6025" s="1" t="s">
        <v>2111</v>
      </c>
    </row>
    <row r="6026" spans="1:1">
      <c r="A6026" s="1" t="s">
        <v>2112</v>
      </c>
    </row>
    <row r="6027" spans="1:1">
      <c r="A6027" s="1" t="s">
        <v>2113</v>
      </c>
    </row>
    <row r="6028" spans="1:1">
      <c r="A6028" s="1" t="s">
        <v>2114</v>
      </c>
    </row>
    <row r="6029" spans="1:1">
      <c r="A6029" s="1" t="s">
        <v>2114</v>
      </c>
    </row>
    <row r="6030" spans="1:1">
      <c r="A6030" s="1" t="s">
        <v>2114</v>
      </c>
    </row>
    <row r="6031" spans="1:1">
      <c r="A6031" s="1" t="s">
        <v>2108</v>
      </c>
    </row>
    <row r="6032" spans="1:1">
      <c r="A6032" s="1" t="s">
        <v>2109</v>
      </c>
    </row>
    <row r="6033" spans="1:1">
      <c r="A6033" s="1" t="s">
        <v>2110</v>
      </c>
    </row>
    <row r="6034" spans="1:1">
      <c r="A6034" s="1" t="s">
        <v>2111</v>
      </c>
    </row>
    <row r="6035" spans="1:1">
      <c r="A6035" s="1" t="s">
        <v>2112</v>
      </c>
    </row>
    <row r="6036" spans="1:1">
      <c r="A6036" s="1" t="s">
        <v>2113</v>
      </c>
    </row>
    <row r="6037" spans="1:1">
      <c r="A6037" s="1" t="s">
        <v>2114</v>
      </c>
    </row>
    <row r="6038" spans="1:1">
      <c r="A6038" s="1" t="s">
        <v>2114</v>
      </c>
    </row>
    <row r="6039" spans="1:1">
      <c r="A6039" s="1" t="s">
        <v>2114</v>
      </c>
    </row>
    <row r="6040" spans="1:1">
      <c r="A6040" s="1" t="s">
        <v>2108</v>
      </c>
    </row>
    <row r="6041" spans="1:1">
      <c r="A6041" s="1" t="s">
        <v>2109</v>
      </c>
    </row>
    <row r="6042" spans="1:1">
      <c r="A6042" s="1" t="s">
        <v>2110</v>
      </c>
    </row>
    <row r="6043" spans="1:1">
      <c r="A6043" s="1" t="s">
        <v>2111</v>
      </c>
    </row>
    <row r="6044" spans="1:1">
      <c r="A6044" s="1" t="s">
        <v>2112</v>
      </c>
    </row>
    <row r="6045" spans="1:1">
      <c r="A6045" s="1" t="s">
        <v>2113</v>
      </c>
    </row>
    <row r="6046" spans="1:1">
      <c r="A6046" s="1" t="s">
        <v>2114</v>
      </c>
    </row>
    <row r="6047" spans="1:1">
      <c r="A6047" s="1" t="s">
        <v>2114</v>
      </c>
    </row>
    <row r="6048" spans="1:1">
      <c r="A6048" s="1" t="s">
        <v>2114</v>
      </c>
    </row>
    <row r="6049" spans="1:1">
      <c r="A6049" s="1" t="s">
        <v>2108</v>
      </c>
    </row>
    <row r="6050" spans="1:1">
      <c r="A6050" s="1" t="s">
        <v>2109</v>
      </c>
    </row>
    <row r="6051" spans="1:1">
      <c r="A6051" s="1" t="s">
        <v>2110</v>
      </c>
    </row>
    <row r="6052" spans="1:1">
      <c r="A6052" s="1" t="s">
        <v>2111</v>
      </c>
    </row>
    <row r="6053" spans="1:1">
      <c r="A6053" s="1" t="s">
        <v>2112</v>
      </c>
    </row>
    <row r="6054" spans="1:1">
      <c r="A6054" s="1" t="s">
        <v>2113</v>
      </c>
    </row>
    <row r="6055" spans="1:1">
      <c r="A6055" s="1" t="s">
        <v>2114</v>
      </c>
    </row>
    <row r="6056" spans="1:1">
      <c r="A6056" s="1" t="s">
        <v>2114</v>
      </c>
    </row>
    <row r="6057" spans="1:1">
      <c r="A6057" s="1" t="s">
        <v>2114</v>
      </c>
    </row>
    <row r="6058" spans="1:1">
      <c r="A6058" s="1" t="s">
        <v>2108</v>
      </c>
    </row>
    <row r="6059" spans="1:1">
      <c r="A6059" s="1" t="s">
        <v>2109</v>
      </c>
    </row>
    <row r="6060" spans="1:1">
      <c r="A6060" s="1" t="s">
        <v>2110</v>
      </c>
    </row>
    <row r="6061" spans="1:1">
      <c r="A6061" s="1" t="s">
        <v>2111</v>
      </c>
    </row>
    <row r="6062" spans="1:1">
      <c r="A6062" s="1" t="s">
        <v>2112</v>
      </c>
    </row>
    <row r="6063" spans="1:1">
      <c r="A6063" s="1" t="s">
        <v>2113</v>
      </c>
    </row>
    <row r="6064" spans="1:1">
      <c r="A6064" s="1" t="s">
        <v>2114</v>
      </c>
    </row>
    <row r="6065" spans="1:1">
      <c r="A6065" s="1" t="s">
        <v>2114</v>
      </c>
    </row>
    <row r="6066" spans="1:1">
      <c r="A6066" s="1" t="s">
        <v>2114</v>
      </c>
    </row>
    <row r="6067" spans="1:1">
      <c r="A6067" s="1" t="s">
        <v>2108</v>
      </c>
    </row>
    <row r="6068" spans="1:1">
      <c r="A6068" s="1" t="s">
        <v>2109</v>
      </c>
    </row>
    <row r="6069" spans="1:1">
      <c r="A6069" s="1" t="s">
        <v>2110</v>
      </c>
    </row>
    <row r="6070" spans="1:1">
      <c r="A6070" s="1" t="s">
        <v>2111</v>
      </c>
    </row>
    <row r="6071" spans="1:1">
      <c r="A6071" s="1" t="s">
        <v>2112</v>
      </c>
    </row>
    <row r="6072" spans="1:1">
      <c r="A6072" s="1" t="s">
        <v>2113</v>
      </c>
    </row>
    <row r="6073" spans="1:1">
      <c r="A6073" s="1" t="s">
        <v>2114</v>
      </c>
    </row>
    <row r="6074" spans="1:1">
      <c r="A6074" s="1" t="s">
        <v>2115</v>
      </c>
    </row>
    <row r="6075" spans="1:1">
      <c r="A6075" s="1" t="s">
        <v>2116</v>
      </c>
    </row>
    <row r="6076" spans="1:1">
      <c r="A6076" s="1" t="s">
        <v>2117</v>
      </c>
    </row>
    <row r="6077" spans="1:1">
      <c r="A6077" s="1" t="s">
        <v>2118</v>
      </c>
    </row>
    <row r="6078" spans="1:1">
      <c r="A6078" s="1" t="s">
        <v>2119</v>
      </c>
    </row>
    <row r="6079" spans="1:1">
      <c r="A6079" s="1" t="s">
        <v>2120</v>
      </c>
    </row>
    <row r="6080" spans="1:1">
      <c r="A6080" s="1" t="s">
        <v>2121</v>
      </c>
    </row>
    <row r="6081" spans="1:1">
      <c r="A6081" s="1" t="s">
        <v>2122</v>
      </c>
    </row>
    <row r="6082" spans="1:1">
      <c r="A6082" s="1" t="s">
        <v>2123</v>
      </c>
    </row>
    <row r="6083" spans="1:1">
      <c r="A6083" s="1" t="s">
        <v>2124</v>
      </c>
    </row>
    <row r="6084" spans="1:1">
      <c r="A6084" s="1" t="s">
        <v>2125</v>
      </c>
    </row>
    <row r="6085" spans="1:1">
      <c r="A6085" s="1" t="s">
        <v>2126</v>
      </c>
    </row>
    <row r="6086" spans="1:1">
      <c r="A6086" s="1" t="s">
        <v>2127</v>
      </c>
    </row>
    <row r="6087" spans="1:1">
      <c r="A6087" s="1" t="s">
        <v>2128</v>
      </c>
    </row>
    <row r="6088" spans="1:1">
      <c r="A6088" s="1" t="s">
        <v>2129</v>
      </c>
    </row>
    <row r="6089" spans="1:1">
      <c r="A6089" s="1" t="s">
        <v>2130</v>
      </c>
    </row>
    <row r="6090" spans="1:1">
      <c r="A6090" s="1" t="s">
        <v>2131</v>
      </c>
    </row>
    <row r="6091" spans="1:1">
      <c r="A6091" s="1" t="s">
        <v>2132</v>
      </c>
    </row>
    <row r="6092" spans="1:1">
      <c r="A6092" s="1" t="s">
        <v>2133</v>
      </c>
    </row>
    <row r="6093" spans="1:1">
      <c r="A6093" s="1" t="s">
        <v>2134</v>
      </c>
    </row>
    <row r="6094" spans="1:1">
      <c r="A6094" s="1" t="s">
        <v>2135</v>
      </c>
    </row>
    <row r="6095" spans="1:1">
      <c r="A6095" s="1" t="s">
        <v>2136</v>
      </c>
    </row>
    <row r="6096" spans="1:1">
      <c r="A6096" s="1" t="s">
        <v>2137</v>
      </c>
    </row>
    <row r="6097" spans="1:1">
      <c r="A6097" s="1" t="s">
        <v>2137</v>
      </c>
    </row>
    <row r="6098" spans="1:1">
      <c r="A6098" s="1" t="s">
        <v>2138</v>
      </c>
    </row>
    <row r="6099" spans="1:1">
      <c r="A6099" s="1" t="s">
        <v>2139</v>
      </c>
    </row>
    <row r="6100" spans="1:1">
      <c r="A6100" s="1" t="s">
        <v>2140</v>
      </c>
    </row>
    <row r="6101" spans="1:1">
      <c r="A6101" s="1" t="s">
        <v>2141</v>
      </c>
    </row>
    <row r="6102" spans="1:1">
      <c r="A6102" s="1" t="s">
        <v>2142</v>
      </c>
    </row>
    <row r="6103" spans="1:1">
      <c r="A6103" s="1" t="s">
        <v>2143</v>
      </c>
    </row>
    <row r="6104" spans="1:1">
      <c r="A6104" s="1" t="s">
        <v>2137</v>
      </c>
    </row>
    <row r="6105" spans="1:1">
      <c r="A6105" s="1" t="s">
        <v>2137</v>
      </c>
    </row>
    <row r="6106" spans="1:1">
      <c r="A6106" s="1" t="s">
        <v>2137</v>
      </c>
    </row>
    <row r="6107" spans="1:1">
      <c r="A6107" s="1" t="s">
        <v>2138</v>
      </c>
    </row>
    <row r="6108" spans="1:1">
      <c r="A6108" s="1" t="s">
        <v>2139</v>
      </c>
    </row>
    <row r="6109" spans="1:1">
      <c r="A6109" s="1" t="s">
        <v>2140</v>
      </c>
    </row>
    <row r="6110" spans="1:1">
      <c r="A6110" s="1" t="s">
        <v>2141</v>
      </c>
    </row>
    <row r="6111" spans="1:1">
      <c r="A6111" s="1" t="s">
        <v>2142</v>
      </c>
    </row>
    <row r="6112" spans="1:1">
      <c r="A6112" s="1" t="s">
        <v>2143</v>
      </c>
    </row>
    <row r="6113" spans="1:1">
      <c r="A6113" s="1" t="s">
        <v>2137</v>
      </c>
    </row>
    <row r="6114" spans="1:1">
      <c r="A6114" s="1" t="s">
        <v>2137</v>
      </c>
    </row>
    <row r="6115" spans="1:1">
      <c r="A6115" s="1" t="s">
        <v>2137</v>
      </c>
    </row>
    <row r="6116" spans="1:1">
      <c r="A6116" s="1" t="s">
        <v>2138</v>
      </c>
    </row>
    <row r="6117" spans="1:1">
      <c r="A6117" s="1" t="s">
        <v>2139</v>
      </c>
    </row>
    <row r="6118" spans="1:1">
      <c r="A6118" s="1" t="s">
        <v>2140</v>
      </c>
    </row>
    <row r="6119" spans="1:1">
      <c r="A6119" s="1" t="s">
        <v>2141</v>
      </c>
    </row>
    <row r="6120" spans="1:1">
      <c r="A6120" s="1" t="s">
        <v>2142</v>
      </c>
    </row>
    <row r="6121" spans="1:1">
      <c r="A6121" s="1" t="s">
        <v>2143</v>
      </c>
    </row>
    <row r="6122" spans="1:1">
      <c r="A6122" s="1" t="s">
        <v>2137</v>
      </c>
    </row>
    <row r="6123" spans="1:1">
      <c r="A6123" s="1" t="s">
        <v>2137</v>
      </c>
    </row>
    <row r="6124" spans="1:1">
      <c r="A6124" s="1" t="s">
        <v>2137</v>
      </c>
    </row>
    <row r="6125" spans="1:1">
      <c r="A6125" s="1" t="s">
        <v>2138</v>
      </c>
    </row>
    <row r="6126" spans="1:1">
      <c r="A6126" s="1" t="s">
        <v>2139</v>
      </c>
    </row>
    <row r="6127" spans="1:1">
      <c r="A6127" s="1" t="s">
        <v>2140</v>
      </c>
    </row>
    <row r="6128" spans="1:1">
      <c r="A6128" s="1" t="s">
        <v>2141</v>
      </c>
    </row>
    <row r="6129" spans="1:1">
      <c r="A6129" s="1" t="s">
        <v>2142</v>
      </c>
    </row>
    <row r="6130" spans="1:1">
      <c r="A6130" s="1" t="s">
        <v>2143</v>
      </c>
    </row>
    <row r="6131" spans="1:1">
      <c r="A6131" s="1" t="s">
        <v>2137</v>
      </c>
    </row>
    <row r="6132" spans="1:1">
      <c r="A6132" s="1" t="s">
        <v>2137</v>
      </c>
    </row>
    <row r="6133" spans="1:1">
      <c r="A6133" s="1" t="s">
        <v>2137</v>
      </c>
    </row>
    <row r="6134" spans="1:1">
      <c r="A6134" s="1" t="s">
        <v>2138</v>
      </c>
    </row>
    <row r="6135" spans="1:1">
      <c r="A6135" s="1" t="s">
        <v>2139</v>
      </c>
    </row>
    <row r="6136" spans="1:1">
      <c r="A6136" s="1" t="s">
        <v>2140</v>
      </c>
    </row>
    <row r="6137" spans="1:1">
      <c r="A6137" s="1" t="s">
        <v>2141</v>
      </c>
    </row>
    <row r="6138" spans="1:1">
      <c r="A6138" s="1" t="s">
        <v>2142</v>
      </c>
    </row>
    <row r="6139" spans="1:1">
      <c r="A6139" s="1" t="s">
        <v>2143</v>
      </c>
    </row>
    <row r="6140" spans="1:1">
      <c r="A6140" s="1" t="s">
        <v>2137</v>
      </c>
    </row>
    <row r="6141" spans="1:1">
      <c r="A6141" s="1" t="s">
        <v>2137</v>
      </c>
    </row>
    <row r="6142" spans="1:1">
      <c r="A6142" s="1" t="s">
        <v>2137</v>
      </c>
    </row>
    <row r="6143" spans="1:1">
      <c r="A6143" s="1" t="s">
        <v>2138</v>
      </c>
    </row>
    <row r="6144" spans="1:1">
      <c r="A6144" s="1" t="s">
        <v>2139</v>
      </c>
    </row>
    <row r="6145" spans="1:1">
      <c r="A6145" s="1" t="s">
        <v>2140</v>
      </c>
    </row>
    <row r="6146" spans="1:1">
      <c r="A6146" s="1" t="s">
        <v>2141</v>
      </c>
    </row>
    <row r="6147" spans="1:1">
      <c r="A6147" s="1" t="s">
        <v>2142</v>
      </c>
    </row>
    <row r="6148" spans="1:1">
      <c r="A6148" s="1" t="s">
        <v>2143</v>
      </c>
    </row>
    <row r="6149" spans="1:1">
      <c r="A6149" s="1" t="s">
        <v>2137</v>
      </c>
    </row>
    <row r="6150" spans="1:1">
      <c r="A6150" s="1" t="s">
        <v>2144</v>
      </c>
    </row>
    <row r="6151" spans="1:1">
      <c r="A6151" s="1" t="s">
        <v>2145</v>
      </c>
    </row>
    <row r="6152" spans="1:1">
      <c r="A6152" s="1" t="s">
        <v>2146</v>
      </c>
    </row>
    <row r="6153" spans="1:1">
      <c r="A6153" s="1" t="s">
        <v>2147</v>
      </c>
    </row>
    <row r="6154" spans="1:1">
      <c r="A6154" s="1" t="s">
        <v>2148</v>
      </c>
    </row>
    <row r="6155" spans="1:1">
      <c r="A6155" s="1" t="s">
        <v>2149</v>
      </c>
    </row>
    <row r="6156" spans="1:1">
      <c r="A6156" s="1" t="s">
        <v>2150</v>
      </c>
    </row>
    <row r="6157" spans="1:1">
      <c r="A6157" s="1" t="s">
        <v>2151</v>
      </c>
    </row>
    <row r="6158" spans="1:1">
      <c r="A6158" s="1" t="s">
        <v>2152</v>
      </c>
    </row>
    <row r="6159" spans="1:1">
      <c r="A6159" s="1" t="s">
        <v>2151</v>
      </c>
    </row>
    <row r="6160" spans="1:1">
      <c r="A6160" s="1" t="s">
        <v>2152</v>
      </c>
    </row>
    <row r="6161" spans="1:1">
      <c r="A6161" s="1" t="s">
        <v>2153</v>
      </c>
    </row>
    <row r="6162" spans="1:1">
      <c r="A6162" s="1" t="s">
        <v>2154</v>
      </c>
    </row>
    <row r="6163" spans="1:1">
      <c r="A6163" s="1" t="s">
        <v>2155</v>
      </c>
    </row>
    <row r="6164" spans="1:1">
      <c r="A6164" s="1" t="s">
        <v>2156</v>
      </c>
    </row>
    <row r="6165" spans="1:1">
      <c r="A6165" s="1" t="s">
        <v>2157</v>
      </c>
    </row>
    <row r="6166" spans="1:1">
      <c r="A6166" s="1" t="s">
        <v>2158</v>
      </c>
    </row>
    <row r="6167" spans="1:1">
      <c r="A6167" s="1" t="s">
        <v>2151</v>
      </c>
    </row>
    <row r="6168" spans="1:1">
      <c r="A6168" s="1" t="s">
        <v>2152</v>
      </c>
    </row>
    <row r="6169" spans="1:1">
      <c r="A6169" s="1" t="s">
        <v>2151</v>
      </c>
    </row>
    <row r="6170" spans="1:1">
      <c r="A6170" s="1" t="s">
        <v>2152</v>
      </c>
    </row>
    <row r="6171" spans="1:1">
      <c r="A6171" s="1" t="s">
        <v>2151</v>
      </c>
    </row>
    <row r="6172" spans="1:1">
      <c r="A6172" s="1" t="s">
        <v>2152</v>
      </c>
    </row>
    <row r="6173" spans="1:1">
      <c r="A6173" s="1" t="s">
        <v>2153</v>
      </c>
    </row>
    <row r="6174" spans="1:1">
      <c r="A6174" s="1" t="s">
        <v>2154</v>
      </c>
    </row>
    <row r="6175" spans="1:1">
      <c r="A6175" s="1" t="s">
        <v>2155</v>
      </c>
    </row>
    <row r="6176" spans="1:1">
      <c r="A6176" s="1" t="s">
        <v>2156</v>
      </c>
    </row>
    <row r="6177" spans="1:1">
      <c r="A6177" s="1" t="s">
        <v>2157</v>
      </c>
    </row>
    <row r="6178" spans="1:1">
      <c r="A6178" s="1" t="s">
        <v>2158</v>
      </c>
    </row>
    <row r="6179" spans="1:1">
      <c r="A6179" s="1" t="s">
        <v>2151</v>
      </c>
    </row>
    <row r="6180" spans="1:1">
      <c r="A6180" s="1" t="s">
        <v>2152</v>
      </c>
    </row>
    <row r="6181" spans="1:1">
      <c r="A6181" s="1" t="s">
        <v>2151</v>
      </c>
    </row>
    <row r="6182" spans="1:1">
      <c r="A6182" s="1" t="s">
        <v>2152</v>
      </c>
    </row>
    <row r="6183" spans="1:1">
      <c r="A6183" s="1" t="s">
        <v>2151</v>
      </c>
    </row>
    <row r="6184" spans="1:1">
      <c r="A6184" s="1" t="s">
        <v>2152</v>
      </c>
    </row>
    <row r="6185" spans="1:1">
      <c r="A6185" s="1" t="s">
        <v>2153</v>
      </c>
    </row>
    <row r="6186" spans="1:1">
      <c r="A6186" s="1" t="s">
        <v>2154</v>
      </c>
    </row>
    <row r="6187" spans="1:1">
      <c r="A6187" s="1" t="s">
        <v>2155</v>
      </c>
    </row>
    <row r="6188" spans="1:1">
      <c r="A6188" s="1" t="s">
        <v>2156</v>
      </c>
    </row>
    <row r="6189" spans="1:1">
      <c r="A6189" s="1" t="s">
        <v>2157</v>
      </c>
    </row>
    <row r="6190" spans="1:1">
      <c r="A6190" s="1" t="s">
        <v>2158</v>
      </c>
    </row>
    <row r="6191" spans="1:1">
      <c r="A6191" s="1" t="s">
        <v>2151</v>
      </c>
    </row>
    <row r="6192" spans="1:1">
      <c r="A6192" s="1" t="s">
        <v>2152</v>
      </c>
    </row>
    <row r="6193" spans="1:1">
      <c r="A6193" s="1" t="s">
        <v>2151</v>
      </c>
    </row>
    <row r="6194" spans="1:1">
      <c r="A6194" s="1" t="s">
        <v>2152</v>
      </c>
    </row>
    <row r="6195" spans="1:1">
      <c r="A6195" s="1" t="s">
        <v>2151</v>
      </c>
    </row>
    <row r="6196" spans="1:1">
      <c r="A6196" s="1" t="s">
        <v>2152</v>
      </c>
    </row>
    <row r="6197" spans="1:1">
      <c r="A6197" s="1" t="s">
        <v>2153</v>
      </c>
    </row>
    <row r="6198" spans="1:1">
      <c r="A6198" s="1" t="s">
        <v>2154</v>
      </c>
    </row>
    <row r="6199" spans="1:1">
      <c r="A6199" s="1" t="s">
        <v>2155</v>
      </c>
    </row>
    <row r="6200" spans="1:1">
      <c r="A6200" s="1" t="s">
        <v>2156</v>
      </c>
    </row>
    <row r="6201" spans="1:1">
      <c r="A6201" s="1" t="s">
        <v>2157</v>
      </c>
    </row>
    <row r="6202" spans="1:1">
      <c r="A6202" s="1" t="s">
        <v>2158</v>
      </c>
    </row>
    <row r="6203" spans="1:1">
      <c r="A6203" s="1" t="s">
        <v>2151</v>
      </c>
    </row>
    <row r="6204" spans="1:1">
      <c r="A6204" s="1" t="s">
        <v>2152</v>
      </c>
    </row>
    <row r="6205" spans="1:1">
      <c r="A6205" s="1" t="s">
        <v>2151</v>
      </c>
    </row>
    <row r="6206" spans="1:1">
      <c r="A6206" s="1" t="s">
        <v>2152</v>
      </c>
    </row>
    <row r="6207" spans="1:1">
      <c r="A6207" s="1" t="s">
        <v>2151</v>
      </c>
    </row>
    <row r="6208" spans="1:1">
      <c r="A6208" s="1" t="s">
        <v>2152</v>
      </c>
    </row>
    <row r="6209" spans="1:1">
      <c r="A6209" s="1" t="s">
        <v>2153</v>
      </c>
    </row>
    <row r="6210" spans="1:1">
      <c r="A6210" s="1" t="s">
        <v>2154</v>
      </c>
    </row>
    <row r="6211" spans="1:1">
      <c r="A6211" s="1" t="s">
        <v>2155</v>
      </c>
    </row>
    <row r="6212" spans="1:1">
      <c r="A6212" s="1" t="s">
        <v>2156</v>
      </c>
    </row>
    <row r="6213" spans="1:1">
      <c r="A6213" s="1" t="s">
        <v>2157</v>
      </c>
    </row>
    <row r="6214" spans="1:1">
      <c r="A6214" s="1" t="s">
        <v>2158</v>
      </c>
    </row>
    <row r="6215" spans="1:1">
      <c r="A6215" s="1" t="s">
        <v>2151</v>
      </c>
    </row>
    <row r="6216" spans="1:1">
      <c r="A6216" s="1" t="s">
        <v>2152</v>
      </c>
    </row>
    <row r="6217" spans="1:1">
      <c r="A6217" s="1" t="s">
        <v>2151</v>
      </c>
    </row>
    <row r="6218" spans="1:1">
      <c r="A6218" s="1" t="s">
        <v>2152</v>
      </c>
    </row>
    <row r="6219" spans="1:1">
      <c r="A6219" s="1" t="s">
        <v>2151</v>
      </c>
    </row>
    <row r="6220" spans="1:1">
      <c r="A6220" s="1" t="s">
        <v>2152</v>
      </c>
    </row>
    <row r="6221" spans="1:1">
      <c r="A6221" s="1" t="s">
        <v>2153</v>
      </c>
    </row>
    <row r="6222" spans="1:1">
      <c r="A6222" s="1" t="s">
        <v>2154</v>
      </c>
    </row>
    <row r="6223" spans="1:1">
      <c r="A6223" s="1" t="s">
        <v>2155</v>
      </c>
    </row>
    <row r="6224" spans="1:1">
      <c r="A6224" s="1" t="s">
        <v>2156</v>
      </c>
    </row>
    <row r="6225" spans="1:1">
      <c r="A6225" s="1" t="s">
        <v>2157</v>
      </c>
    </row>
    <row r="6226" spans="1:1">
      <c r="A6226" s="1" t="s">
        <v>2158</v>
      </c>
    </row>
    <row r="6227" spans="1:1">
      <c r="A6227" s="1" t="s">
        <v>2151</v>
      </c>
    </row>
    <row r="6228" spans="1:1">
      <c r="A6228" s="1" t="s">
        <v>2152</v>
      </c>
    </row>
    <row r="6229" spans="1:1">
      <c r="A6229" s="1" t="s">
        <v>2159</v>
      </c>
    </row>
    <row r="6230" spans="1:1">
      <c r="A6230" s="1" t="s">
        <v>2160</v>
      </c>
    </row>
    <row r="6231" spans="1:1">
      <c r="A6231" s="1" t="s">
        <v>2161</v>
      </c>
    </row>
    <row r="6232" spans="1:1">
      <c r="A6232" s="1" t="s">
        <v>2162</v>
      </c>
    </row>
    <row r="6233" spans="1:1">
      <c r="A6233" s="1" t="s">
        <v>2163</v>
      </c>
    </row>
    <row r="6234" spans="1:1">
      <c r="A6234" s="1" t="s">
        <v>2164</v>
      </c>
    </row>
    <row r="6235" spans="1:1">
      <c r="A6235" s="1" t="s">
        <v>2165</v>
      </c>
    </row>
    <row r="6236" spans="1:1">
      <c r="A6236" s="1" t="s">
        <v>2166</v>
      </c>
    </row>
    <row r="6237" spans="1:1">
      <c r="A6237" s="1" t="s">
        <v>2165</v>
      </c>
    </row>
    <row r="6238" spans="1:1">
      <c r="A6238" s="1" t="s">
        <v>2166</v>
      </c>
    </row>
    <row r="6239" spans="1:1">
      <c r="A6239" s="1" t="s">
        <v>2167</v>
      </c>
    </row>
    <row r="6240" spans="1:1">
      <c r="A6240" s="1" t="s">
        <v>2168</v>
      </c>
    </row>
    <row r="6241" spans="1:1">
      <c r="A6241" s="1" t="s">
        <v>2169</v>
      </c>
    </row>
    <row r="6242" spans="1:1">
      <c r="A6242" s="1" t="s">
        <v>2170</v>
      </c>
    </row>
    <row r="6243" spans="1:1">
      <c r="A6243" s="1" t="s">
        <v>2171</v>
      </c>
    </row>
    <row r="6244" spans="1:1">
      <c r="A6244" s="1" t="s">
        <v>2172</v>
      </c>
    </row>
    <row r="6245" spans="1:1">
      <c r="A6245" s="1" t="s">
        <v>2165</v>
      </c>
    </row>
    <row r="6246" spans="1:1">
      <c r="A6246" s="1" t="s">
        <v>2166</v>
      </c>
    </row>
    <row r="6247" spans="1:1">
      <c r="A6247" s="1" t="s">
        <v>2165</v>
      </c>
    </row>
    <row r="6248" spans="1:1">
      <c r="A6248" s="1" t="s">
        <v>2166</v>
      </c>
    </row>
    <row r="6249" spans="1:1">
      <c r="A6249" s="1" t="s">
        <v>2165</v>
      </c>
    </row>
    <row r="6250" spans="1:1">
      <c r="A6250" s="1" t="s">
        <v>2166</v>
      </c>
    </row>
    <row r="6251" spans="1:1">
      <c r="A6251" s="1" t="s">
        <v>2167</v>
      </c>
    </row>
    <row r="6252" spans="1:1">
      <c r="A6252" s="1" t="s">
        <v>2168</v>
      </c>
    </row>
    <row r="6253" spans="1:1">
      <c r="A6253" s="1" t="s">
        <v>2169</v>
      </c>
    </row>
    <row r="6254" spans="1:1">
      <c r="A6254" s="1" t="s">
        <v>2170</v>
      </c>
    </row>
    <row r="6255" spans="1:1">
      <c r="A6255" s="1" t="s">
        <v>2171</v>
      </c>
    </row>
    <row r="6256" spans="1:1">
      <c r="A6256" s="1" t="s">
        <v>2172</v>
      </c>
    </row>
    <row r="6257" spans="1:1">
      <c r="A6257" s="1" t="s">
        <v>2165</v>
      </c>
    </row>
    <row r="6258" spans="1:1">
      <c r="A6258" s="1" t="s">
        <v>2166</v>
      </c>
    </row>
    <row r="6259" spans="1:1">
      <c r="A6259" s="1" t="s">
        <v>2165</v>
      </c>
    </row>
    <row r="6260" spans="1:1">
      <c r="A6260" s="1" t="s">
        <v>2166</v>
      </c>
    </row>
    <row r="6261" spans="1:1">
      <c r="A6261" s="1" t="s">
        <v>2165</v>
      </c>
    </row>
    <row r="6262" spans="1:1">
      <c r="A6262" s="1" t="s">
        <v>2166</v>
      </c>
    </row>
    <row r="6263" spans="1:1">
      <c r="A6263" s="1" t="s">
        <v>2167</v>
      </c>
    </row>
    <row r="6264" spans="1:1">
      <c r="A6264" s="1" t="s">
        <v>2168</v>
      </c>
    </row>
    <row r="6265" spans="1:1">
      <c r="A6265" s="1" t="s">
        <v>2169</v>
      </c>
    </row>
    <row r="6266" spans="1:1">
      <c r="A6266" s="1" t="s">
        <v>2170</v>
      </c>
    </row>
    <row r="6267" spans="1:1">
      <c r="A6267" s="1" t="s">
        <v>2171</v>
      </c>
    </row>
    <row r="6268" spans="1:1">
      <c r="A6268" s="1" t="s">
        <v>2172</v>
      </c>
    </row>
    <row r="6269" spans="1:1">
      <c r="A6269" s="1" t="s">
        <v>2165</v>
      </c>
    </row>
    <row r="6270" spans="1:1">
      <c r="A6270" s="1" t="s">
        <v>2166</v>
      </c>
    </row>
    <row r="6271" spans="1:1">
      <c r="A6271" s="1" t="s">
        <v>2165</v>
      </c>
    </row>
    <row r="6272" spans="1:1">
      <c r="A6272" s="1" t="s">
        <v>2166</v>
      </c>
    </row>
    <row r="6273" spans="1:1">
      <c r="A6273" s="1" t="s">
        <v>2165</v>
      </c>
    </row>
    <row r="6274" spans="1:1">
      <c r="A6274" s="1" t="s">
        <v>2166</v>
      </c>
    </row>
    <row r="6275" spans="1:1">
      <c r="A6275" s="1" t="s">
        <v>2167</v>
      </c>
    </row>
    <row r="6276" spans="1:1">
      <c r="A6276" s="1" t="s">
        <v>2168</v>
      </c>
    </row>
    <row r="6277" spans="1:1">
      <c r="A6277" s="1" t="s">
        <v>2169</v>
      </c>
    </row>
    <row r="6278" spans="1:1">
      <c r="A6278" s="1" t="s">
        <v>2170</v>
      </c>
    </row>
    <row r="6279" spans="1:1">
      <c r="A6279" s="1" t="s">
        <v>2171</v>
      </c>
    </row>
    <row r="6280" spans="1:1">
      <c r="A6280" s="1" t="s">
        <v>2172</v>
      </c>
    </row>
    <row r="6281" spans="1:1">
      <c r="A6281" s="1" t="s">
        <v>2165</v>
      </c>
    </row>
    <row r="6282" spans="1:1">
      <c r="A6282" s="1" t="s">
        <v>2166</v>
      </c>
    </row>
    <row r="6283" spans="1:1">
      <c r="A6283" s="1" t="s">
        <v>2165</v>
      </c>
    </row>
    <row r="6284" spans="1:1">
      <c r="A6284" s="1" t="s">
        <v>2166</v>
      </c>
    </row>
    <row r="6285" spans="1:1">
      <c r="A6285" s="1" t="s">
        <v>2165</v>
      </c>
    </row>
    <row r="6286" spans="1:1">
      <c r="A6286" s="1" t="s">
        <v>2166</v>
      </c>
    </row>
    <row r="6287" spans="1:1">
      <c r="A6287" s="1" t="s">
        <v>2167</v>
      </c>
    </row>
    <row r="6288" spans="1:1">
      <c r="A6288" s="1" t="s">
        <v>2168</v>
      </c>
    </row>
    <row r="6289" spans="1:1">
      <c r="A6289" s="1" t="s">
        <v>2169</v>
      </c>
    </row>
    <row r="6290" spans="1:1">
      <c r="A6290" s="1" t="s">
        <v>2170</v>
      </c>
    </row>
    <row r="6291" spans="1:1">
      <c r="A6291" s="1" t="s">
        <v>2171</v>
      </c>
    </row>
    <row r="6292" spans="1:1">
      <c r="A6292" s="1" t="s">
        <v>2172</v>
      </c>
    </row>
    <row r="6293" spans="1:1">
      <c r="A6293" s="1" t="s">
        <v>2165</v>
      </c>
    </row>
    <row r="6294" spans="1:1">
      <c r="A6294" s="1" t="s">
        <v>2166</v>
      </c>
    </row>
    <row r="6295" spans="1:1">
      <c r="A6295" s="1" t="s">
        <v>2165</v>
      </c>
    </row>
    <row r="6296" spans="1:1">
      <c r="A6296" s="1" t="s">
        <v>2166</v>
      </c>
    </row>
    <row r="6297" spans="1:1">
      <c r="A6297" s="1" t="s">
        <v>2165</v>
      </c>
    </row>
    <row r="6298" spans="1:1">
      <c r="A6298" s="1" t="s">
        <v>2166</v>
      </c>
    </row>
    <row r="6299" spans="1:1">
      <c r="A6299" s="1" t="s">
        <v>2167</v>
      </c>
    </row>
    <row r="6300" spans="1:1">
      <c r="A6300" s="1" t="s">
        <v>2168</v>
      </c>
    </row>
    <row r="6301" spans="1:1">
      <c r="A6301" s="1" t="s">
        <v>2169</v>
      </c>
    </row>
    <row r="6302" spans="1:1">
      <c r="A6302" s="1" t="s">
        <v>2170</v>
      </c>
    </row>
    <row r="6303" spans="1:1">
      <c r="A6303" s="1" t="s">
        <v>2171</v>
      </c>
    </row>
    <row r="6304" spans="1:1">
      <c r="A6304" s="1" t="s">
        <v>2172</v>
      </c>
    </row>
    <row r="6305" spans="1:1">
      <c r="A6305" s="1" t="s">
        <v>2165</v>
      </c>
    </row>
    <row r="6306" spans="1:1">
      <c r="A6306" s="1" t="s">
        <v>2166</v>
      </c>
    </row>
    <row r="6307" spans="1:1">
      <c r="A6307" s="1" t="s">
        <v>2173</v>
      </c>
    </row>
    <row r="6308" spans="1:1">
      <c r="A6308" s="1" t="s">
        <v>2174</v>
      </c>
    </row>
    <row r="6309" spans="1:1">
      <c r="A6309" s="1" t="s">
        <v>2175</v>
      </c>
    </row>
    <row r="6310" spans="1:1">
      <c r="A6310" s="1" t="s">
        <v>2176</v>
      </c>
    </row>
    <row r="6311" spans="1:1">
      <c r="A6311" s="1" t="s">
        <v>2177</v>
      </c>
    </row>
    <row r="6312" spans="1:1">
      <c r="A6312" s="1" t="s">
        <v>2178</v>
      </c>
    </row>
    <row r="6313" spans="1:1">
      <c r="A6313" s="1" t="s">
        <v>2179</v>
      </c>
    </row>
    <row r="6314" spans="1:1">
      <c r="A6314" s="1" t="s">
        <v>2180</v>
      </c>
    </row>
    <row r="6315" spans="1:1">
      <c r="A6315" s="1" t="s">
        <v>2181</v>
      </c>
    </row>
    <row r="6316" spans="1:1">
      <c r="A6316" s="1" t="s">
        <v>2182</v>
      </c>
    </row>
    <row r="6317" spans="1:1">
      <c r="A6317" s="1" t="s">
        <v>2183</v>
      </c>
    </row>
    <row r="6318" spans="1:1">
      <c r="A6318" s="1" t="s">
        <v>2184</v>
      </c>
    </row>
    <row r="6319" spans="1:1">
      <c r="A6319" s="1" t="s">
        <v>2185</v>
      </c>
    </row>
    <row r="6320" spans="1:1">
      <c r="A6320" s="1" t="s">
        <v>2186</v>
      </c>
    </row>
    <row r="6321" spans="1:1">
      <c r="A6321" s="1" t="s">
        <v>2187</v>
      </c>
    </row>
    <row r="6322" spans="1:1">
      <c r="A6322" s="1" t="s">
        <v>2188</v>
      </c>
    </row>
    <row r="6323" spans="1:1">
      <c r="A6323" s="1" t="s">
        <v>2189</v>
      </c>
    </row>
    <row r="6324" spans="1:1">
      <c r="A6324" s="1" t="s">
        <v>2190</v>
      </c>
    </row>
    <row r="6325" spans="1:1">
      <c r="A6325" s="1" t="s">
        <v>2191</v>
      </c>
    </row>
    <row r="6326" spans="1:1">
      <c r="A6326" s="1" t="s">
        <v>2192</v>
      </c>
    </row>
    <row r="6327" spans="1:1">
      <c r="A6327" s="1" t="s">
        <v>2193</v>
      </c>
    </row>
    <row r="6328" spans="1:1">
      <c r="A6328" s="1" t="s">
        <v>2194</v>
      </c>
    </row>
    <row r="6329" spans="1:1">
      <c r="A6329" s="1" t="s">
        <v>2195</v>
      </c>
    </row>
    <row r="6330" spans="1:1">
      <c r="A6330" s="1" t="s">
        <v>2196</v>
      </c>
    </row>
    <row r="6331" spans="1:1">
      <c r="A6331" s="1" t="s">
        <v>2197</v>
      </c>
    </row>
    <row r="6332" spans="1:1">
      <c r="A6332" s="1" t="s">
        <v>2198</v>
      </c>
    </row>
    <row r="6333" spans="1:1">
      <c r="A6333" s="1" t="s">
        <v>2199</v>
      </c>
    </row>
    <row r="6334" spans="1:1">
      <c r="A6334" s="1" t="s">
        <v>2200</v>
      </c>
    </row>
    <row r="6335" spans="1:1">
      <c r="A6335" s="1" t="s">
        <v>2201</v>
      </c>
    </row>
    <row r="6336" spans="1:1">
      <c r="A6336" s="1" t="s">
        <v>2202</v>
      </c>
    </row>
    <row r="6337" spans="1:1">
      <c r="A6337" s="1" t="s">
        <v>2203</v>
      </c>
    </row>
    <row r="6338" spans="1:1">
      <c r="A6338" s="1" t="s">
        <v>2204</v>
      </c>
    </row>
    <row r="6339" spans="1:1">
      <c r="A6339" s="1" t="s">
        <v>2205</v>
      </c>
    </row>
    <row r="6340" spans="1:1">
      <c r="A6340" s="1" t="s">
        <v>2206</v>
      </c>
    </row>
    <row r="6341" spans="1:1">
      <c r="A6341" s="1" t="s">
        <v>2207</v>
      </c>
    </row>
    <row r="6342" spans="1:1">
      <c r="A6342" s="1" t="s">
        <v>2208</v>
      </c>
    </row>
    <row r="6343" spans="1:1">
      <c r="A6343" s="1" t="s">
        <v>2209</v>
      </c>
    </row>
    <row r="6344" spans="1:1">
      <c r="A6344" s="1" t="s">
        <v>2210</v>
      </c>
    </row>
    <row r="6345" spans="1:1">
      <c r="A6345" s="1" t="s">
        <v>2211</v>
      </c>
    </row>
    <row r="6346" spans="1:1">
      <c r="A6346" s="1" t="s">
        <v>2212</v>
      </c>
    </row>
    <row r="6347" spans="1:1">
      <c r="A6347" s="1" t="s">
        <v>2213</v>
      </c>
    </row>
    <row r="6348" spans="1:1">
      <c r="A6348" s="1" t="s">
        <v>2214</v>
      </c>
    </row>
    <row r="6349" spans="1:1">
      <c r="A6349" s="1" t="s">
        <v>2213</v>
      </c>
    </row>
    <row r="6350" spans="1:1">
      <c r="A6350" s="1" t="s">
        <v>2214</v>
      </c>
    </row>
    <row r="6351" spans="1:1">
      <c r="A6351" s="1" t="s">
        <v>2215</v>
      </c>
    </row>
    <row r="6352" spans="1:1">
      <c r="A6352" s="1" t="s">
        <v>2216</v>
      </c>
    </row>
    <row r="6353" spans="1:1">
      <c r="A6353" s="1" t="s">
        <v>2217</v>
      </c>
    </row>
    <row r="6354" spans="1:1">
      <c r="A6354" s="1" t="s">
        <v>2218</v>
      </c>
    </row>
    <row r="6355" spans="1:1">
      <c r="A6355" s="1" t="s">
        <v>2219</v>
      </c>
    </row>
    <row r="6356" spans="1:1">
      <c r="A6356" s="1" t="s">
        <v>2220</v>
      </c>
    </row>
    <row r="6357" spans="1:1">
      <c r="A6357" s="1" t="s">
        <v>2213</v>
      </c>
    </row>
    <row r="6358" spans="1:1">
      <c r="A6358" s="1" t="s">
        <v>2214</v>
      </c>
    </row>
    <row r="6359" spans="1:1">
      <c r="A6359" s="1" t="s">
        <v>2213</v>
      </c>
    </row>
    <row r="6360" spans="1:1">
      <c r="A6360" s="1" t="s">
        <v>2214</v>
      </c>
    </row>
    <row r="6361" spans="1:1">
      <c r="A6361" s="1" t="s">
        <v>2213</v>
      </c>
    </row>
    <row r="6362" spans="1:1">
      <c r="A6362" s="1" t="s">
        <v>2214</v>
      </c>
    </row>
    <row r="6363" spans="1:1">
      <c r="A6363" s="1" t="s">
        <v>2215</v>
      </c>
    </row>
    <row r="6364" spans="1:1">
      <c r="A6364" s="1" t="s">
        <v>2216</v>
      </c>
    </row>
    <row r="6365" spans="1:1">
      <c r="A6365" s="1" t="s">
        <v>2217</v>
      </c>
    </row>
    <row r="6366" spans="1:1">
      <c r="A6366" s="1" t="s">
        <v>2218</v>
      </c>
    </row>
    <row r="6367" spans="1:1">
      <c r="A6367" s="1" t="s">
        <v>2219</v>
      </c>
    </row>
    <row r="6368" spans="1:1">
      <c r="A6368" s="1" t="s">
        <v>2220</v>
      </c>
    </row>
    <row r="6369" spans="1:1">
      <c r="A6369" s="1" t="s">
        <v>2213</v>
      </c>
    </row>
    <row r="6370" spans="1:1">
      <c r="A6370" s="1" t="s">
        <v>2214</v>
      </c>
    </row>
    <row r="6371" spans="1:1">
      <c r="A6371" s="1" t="s">
        <v>2213</v>
      </c>
    </row>
    <row r="6372" spans="1:1">
      <c r="A6372" s="1" t="s">
        <v>2214</v>
      </c>
    </row>
    <row r="6373" spans="1:1">
      <c r="A6373" s="1" t="s">
        <v>2213</v>
      </c>
    </row>
    <row r="6374" spans="1:1">
      <c r="A6374" s="1" t="s">
        <v>2214</v>
      </c>
    </row>
    <row r="6375" spans="1:1">
      <c r="A6375" s="1" t="s">
        <v>2215</v>
      </c>
    </row>
    <row r="6376" spans="1:1">
      <c r="A6376" s="1" t="s">
        <v>2216</v>
      </c>
    </row>
    <row r="6377" spans="1:1">
      <c r="A6377" s="1" t="s">
        <v>2217</v>
      </c>
    </row>
    <row r="6378" spans="1:1">
      <c r="A6378" s="1" t="s">
        <v>2218</v>
      </c>
    </row>
    <row r="6379" spans="1:1">
      <c r="A6379" s="1" t="s">
        <v>2219</v>
      </c>
    </row>
    <row r="6380" spans="1:1">
      <c r="A6380" s="1" t="s">
        <v>2220</v>
      </c>
    </row>
    <row r="6381" spans="1:1">
      <c r="A6381" s="1" t="s">
        <v>2213</v>
      </c>
    </row>
    <row r="6382" spans="1:1">
      <c r="A6382" s="1" t="s">
        <v>2214</v>
      </c>
    </row>
    <row r="6383" spans="1:1">
      <c r="A6383" s="1" t="s">
        <v>2213</v>
      </c>
    </row>
    <row r="6384" spans="1:1">
      <c r="A6384" s="1" t="s">
        <v>2214</v>
      </c>
    </row>
    <row r="6385" spans="1:1">
      <c r="A6385" s="1" t="s">
        <v>2213</v>
      </c>
    </row>
    <row r="6386" spans="1:1">
      <c r="A6386" s="1" t="s">
        <v>2214</v>
      </c>
    </row>
    <row r="6387" spans="1:1">
      <c r="A6387" s="1" t="s">
        <v>2215</v>
      </c>
    </row>
    <row r="6388" spans="1:1">
      <c r="A6388" s="1" t="s">
        <v>2216</v>
      </c>
    </row>
    <row r="6389" spans="1:1">
      <c r="A6389" s="1" t="s">
        <v>2217</v>
      </c>
    </row>
    <row r="6390" spans="1:1">
      <c r="A6390" s="1" t="s">
        <v>2218</v>
      </c>
    </row>
    <row r="6391" spans="1:1">
      <c r="A6391" s="1" t="s">
        <v>2219</v>
      </c>
    </row>
    <row r="6392" spans="1:1">
      <c r="A6392" s="1" t="s">
        <v>2220</v>
      </c>
    </row>
    <row r="6393" spans="1:1">
      <c r="A6393" s="1" t="s">
        <v>2213</v>
      </c>
    </row>
    <row r="6394" spans="1:1">
      <c r="A6394" s="1" t="s">
        <v>2214</v>
      </c>
    </row>
    <row r="6395" spans="1:1">
      <c r="A6395" s="1" t="s">
        <v>2213</v>
      </c>
    </row>
    <row r="6396" spans="1:1">
      <c r="A6396" s="1" t="s">
        <v>2214</v>
      </c>
    </row>
    <row r="6397" spans="1:1">
      <c r="A6397" s="1" t="s">
        <v>2213</v>
      </c>
    </row>
    <row r="6398" spans="1:1">
      <c r="A6398" s="1" t="s">
        <v>2214</v>
      </c>
    </row>
    <row r="6399" spans="1:1">
      <c r="A6399" s="1" t="s">
        <v>2215</v>
      </c>
    </row>
    <row r="6400" spans="1:1">
      <c r="A6400" s="1" t="s">
        <v>2216</v>
      </c>
    </row>
    <row r="6401" spans="1:1">
      <c r="A6401" s="1" t="s">
        <v>2217</v>
      </c>
    </row>
    <row r="6402" spans="1:1">
      <c r="A6402" s="1" t="s">
        <v>2218</v>
      </c>
    </row>
    <row r="6403" spans="1:1">
      <c r="A6403" s="1" t="s">
        <v>2219</v>
      </c>
    </row>
    <row r="6404" spans="1:1">
      <c r="A6404" s="1" t="s">
        <v>2220</v>
      </c>
    </row>
    <row r="6405" spans="1:1">
      <c r="A6405" s="1" t="s">
        <v>2213</v>
      </c>
    </row>
    <row r="6406" spans="1:1">
      <c r="A6406" s="1" t="s">
        <v>2214</v>
      </c>
    </row>
    <row r="6407" spans="1:1">
      <c r="A6407" s="1" t="s">
        <v>2213</v>
      </c>
    </row>
    <row r="6408" spans="1:1">
      <c r="A6408" s="1" t="s">
        <v>2214</v>
      </c>
    </row>
    <row r="6409" spans="1:1">
      <c r="A6409" s="1" t="s">
        <v>2213</v>
      </c>
    </row>
    <row r="6410" spans="1:1">
      <c r="A6410" s="1" t="s">
        <v>2214</v>
      </c>
    </row>
    <row r="6411" spans="1:1">
      <c r="A6411" s="1" t="s">
        <v>2215</v>
      </c>
    </row>
    <row r="6412" spans="1:1">
      <c r="A6412" s="1" t="s">
        <v>2216</v>
      </c>
    </row>
    <row r="6413" spans="1:1">
      <c r="A6413" s="1" t="s">
        <v>2217</v>
      </c>
    </row>
    <row r="6414" spans="1:1">
      <c r="A6414" s="1" t="s">
        <v>2218</v>
      </c>
    </row>
    <row r="6415" spans="1:1">
      <c r="A6415" s="1" t="s">
        <v>2219</v>
      </c>
    </row>
    <row r="6416" spans="1:1">
      <c r="A6416" s="1" t="s">
        <v>2220</v>
      </c>
    </row>
    <row r="6417" spans="1:1">
      <c r="A6417" s="1" t="s">
        <v>2213</v>
      </c>
    </row>
    <row r="6418" spans="1:1">
      <c r="A6418" s="1" t="s">
        <v>2214</v>
      </c>
    </row>
    <row r="6419" spans="1:1">
      <c r="A6419" s="1" t="s">
        <v>2221</v>
      </c>
    </row>
    <row r="6420" spans="1:1">
      <c r="A6420" s="1" t="s">
        <v>2222</v>
      </c>
    </row>
    <row r="6421" spans="1:1">
      <c r="A6421" s="1" t="s">
        <v>2223</v>
      </c>
    </row>
    <row r="6422" spans="1:1">
      <c r="A6422" s="1" t="s">
        <v>2224</v>
      </c>
    </row>
    <row r="6423" spans="1:1">
      <c r="A6423" s="1" t="s">
        <v>2225</v>
      </c>
    </row>
    <row r="6424" spans="1:1">
      <c r="A6424" s="1" t="s">
        <v>2226</v>
      </c>
    </row>
    <row r="6425" spans="1:1">
      <c r="A6425" s="1" t="s">
        <v>2227</v>
      </c>
    </row>
    <row r="6426" spans="1:1">
      <c r="A6426" s="1" t="s">
        <v>2228</v>
      </c>
    </row>
    <row r="6427" spans="1:1">
      <c r="A6427" s="1" t="s">
        <v>2229</v>
      </c>
    </row>
    <row r="6428" spans="1:1">
      <c r="A6428" s="1" t="s">
        <v>2230</v>
      </c>
    </row>
    <row r="6429" spans="1:1">
      <c r="A6429" s="1" t="s">
        <v>2231</v>
      </c>
    </row>
    <row r="6430" spans="1:1">
      <c r="A6430" s="1" t="s">
        <v>2232</v>
      </c>
    </row>
    <row r="6431" spans="1:1">
      <c r="A6431" s="1" t="s">
        <v>2233</v>
      </c>
    </row>
    <row r="6432" spans="1:1">
      <c r="A6432" s="1" t="s">
        <v>2234</v>
      </c>
    </row>
    <row r="6433" spans="1:1">
      <c r="A6433" s="1" t="s">
        <v>2235</v>
      </c>
    </row>
    <row r="6434" spans="1:1">
      <c r="A6434" s="1" t="s">
        <v>2236</v>
      </c>
    </row>
    <row r="6435" spans="1:1">
      <c r="A6435" s="1" t="s">
        <v>2237</v>
      </c>
    </row>
    <row r="6436" spans="1:1">
      <c r="A6436" s="1" t="s">
        <v>2238</v>
      </c>
    </row>
    <row r="6437" spans="1:1">
      <c r="A6437" s="1" t="s">
        <v>2239</v>
      </c>
    </row>
    <row r="6438" spans="1:1">
      <c r="A6438" s="1" t="s">
        <v>2240</v>
      </c>
    </row>
    <row r="6439" spans="1:1">
      <c r="A6439" s="1" t="s">
        <v>2241</v>
      </c>
    </row>
    <row r="6440" spans="1:1">
      <c r="A6440" s="1" t="s">
        <v>2242</v>
      </c>
    </row>
    <row r="6441" spans="1:1">
      <c r="A6441" s="1" t="s">
        <v>2243</v>
      </c>
    </row>
    <row r="6442" spans="1:1">
      <c r="A6442" s="1" t="s">
        <v>2244</v>
      </c>
    </row>
    <row r="6443" spans="1:1">
      <c r="A6443" s="1" t="s">
        <v>2245</v>
      </c>
    </row>
    <row r="6444" spans="1:1">
      <c r="A6444" s="1" t="s">
        <v>2246</v>
      </c>
    </row>
    <row r="6445" spans="1:1">
      <c r="A6445" s="1" t="s">
        <v>2247</v>
      </c>
    </row>
    <row r="6446" spans="1:1">
      <c r="A6446" s="1" t="s">
        <v>2248</v>
      </c>
    </row>
    <row r="6447" spans="1:1">
      <c r="A6447" s="1" t="s">
        <v>2249</v>
      </c>
    </row>
    <row r="6448" spans="1:1">
      <c r="A6448" s="1" t="s">
        <v>2250</v>
      </c>
    </row>
    <row r="6449" spans="1:1">
      <c r="A6449" s="1" t="s">
        <v>2251</v>
      </c>
    </row>
    <row r="6450" spans="1:1">
      <c r="A6450" s="1" t="s">
        <v>2252</v>
      </c>
    </row>
    <row r="6451" spans="1:1">
      <c r="A6451" s="1" t="s">
        <v>2253</v>
      </c>
    </row>
    <row r="6452" spans="1:1">
      <c r="A6452" s="1" t="s">
        <v>2254</v>
      </c>
    </row>
    <row r="6453" spans="1:1">
      <c r="A6453" s="1" t="s">
        <v>2255</v>
      </c>
    </row>
    <row r="6454" spans="1:1">
      <c r="A6454" s="1" t="s">
        <v>2256</v>
      </c>
    </row>
    <row r="6455" spans="1:1">
      <c r="A6455" s="1" t="s">
        <v>2257</v>
      </c>
    </row>
    <row r="6456" spans="1:1">
      <c r="A6456" s="1" t="s">
        <v>2258</v>
      </c>
    </row>
    <row r="6457" spans="1:1">
      <c r="A6457" s="1" t="s">
        <v>2259</v>
      </c>
    </row>
    <row r="6458" spans="1:1">
      <c r="A6458" s="1" t="s">
        <v>2260</v>
      </c>
    </row>
    <row r="6459" spans="1:1">
      <c r="A6459" s="1" t="s">
        <v>2261</v>
      </c>
    </row>
    <row r="6460" spans="1:1">
      <c r="A6460" s="1" t="s">
        <v>2262</v>
      </c>
    </row>
    <row r="6461" spans="1:1">
      <c r="A6461" s="1" t="s">
        <v>2263</v>
      </c>
    </row>
    <row r="6462" spans="1:1">
      <c r="A6462" s="1" t="s">
        <v>2264</v>
      </c>
    </row>
    <row r="6463" spans="1:1">
      <c r="A6463" s="1" t="s">
        <v>2265</v>
      </c>
    </row>
    <row r="6464" spans="1:1">
      <c r="A6464" s="1" t="s">
        <v>2266</v>
      </c>
    </row>
    <row r="6465" spans="1:1">
      <c r="A6465" s="1" t="s">
        <v>2267</v>
      </c>
    </row>
    <row r="6466" spans="1:1">
      <c r="A6466" s="1" t="s">
        <v>2268</v>
      </c>
    </row>
    <row r="6467" spans="1:1">
      <c r="A6467" s="1" t="s">
        <v>2269</v>
      </c>
    </row>
    <row r="6468" spans="1:1">
      <c r="A6468" s="1" t="s">
        <v>2270</v>
      </c>
    </row>
    <row r="6469" spans="1:1">
      <c r="A6469" s="1" t="s">
        <v>2271</v>
      </c>
    </row>
    <row r="6470" spans="1:1">
      <c r="A6470" s="1" t="s">
        <v>2272</v>
      </c>
    </row>
    <row r="6471" spans="1:1">
      <c r="A6471" s="1" t="s">
        <v>2273</v>
      </c>
    </row>
    <row r="6472" spans="1:1">
      <c r="A6472" s="1" t="s">
        <v>2274</v>
      </c>
    </row>
    <row r="6473" spans="1:1">
      <c r="A6473" s="1" t="s">
        <v>2275</v>
      </c>
    </row>
    <row r="6474" spans="1:1">
      <c r="A6474" s="1" t="s">
        <v>2276</v>
      </c>
    </row>
    <row r="6475" spans="1:1">
      <c r="A6475" s="1" t="s">
        <v>2277</v>
      </c>
    </row>
    <row r="6476" spans="1:1">
      <c r="A6476" s="1" t="s">
        <v>2278</v>
      </c>
    </row>
    <row r="6477" spans="1:1">
      <c r="A6477" s="1" t="s">
        <v>2279</v>
      </c>
    </row>
    <row r="6478" spans="1:1">
      <c r="A6478" s="1" t="s">
        <v>2280</v>
      </c>
    </row>
    <row r="6479" spans="1:1">
      <c r="A6479" s="1" t="s">
        <v>2281</v>
      </c>
    </row>
    <row r="6480" spans="1:1">
      <c r="A6480" s="1" t="s">
        <v>2282</v>
      </c>
    </row>
    <row r="6481" spans="1:1">
      <c r="A6481" s="1" t="s">
        <v>2283</v>
      </c>
    </row>
    <row r="6482" spans="1:1">
      <c r="A6482" s="1" t="s">
        <v>2284</v>
      </c>
    </row>
    <row r="6483" spans="1:1">
      <c r="A6483" s="1" t="s">
        <v>2285</v>
      </c>
    </row>
    <row r="6484" spans="1:1">
      <c r="A6484" s="1" t="s">
        <v>2286</v>
      </c>
    </row>
    <row r="6485" spans="1:1">
      <c r="A6485" s="1" t="s">
        <v>2287</v>
      </c>
    </row>
    <row r="6486" spans="1:1">
      <c r="A6486" s="1" t="s">
        <v>2288</v>
      </c>
    </row>
    <row r="6487" spans="1:1">
      <c r="A6487" s="1" t="s">
        <v>2289</v>
      </c>
    </row>
    <row r="6488" spans="1:1">
      <c r="A6488" s="1" t="s">
        <v>2290</v>
      </c>
    </row>
    <row r="6489" spans="1:1">
      <c r="A6489" s="1" t="s">
        <v>2291</v>
      </c>
    </row>
    <row r="6490" spans="1:1">
      <c r="A6490" s="1" t="s">
        <v>2292</v>
      </c>
    </row>
    <row r="6491" spans="1:1">
      <c r="A6491" s="1" t="s">
        <v>2293</v>
      </c>
    </row>
    <row r="6492" spans="1:1">
      <c r="A6492" s="1" t="s">
        <v>2294</v>
      </c>
    </row>
    <row r="6493" spans="1:1">
      <c r="A6493" s="1" t="s">
        <v>2295</v>
      </c>
    </row>
    <row r="6494" spans="1:1">
      <c r="A6494" s="1" t="s">
        <v>2296</v>
      </c>
    </row>
    <row r="6495" spans="1:1">
      <c r="A6495" s="1" t="s">
        <v>2297</v>
      </c>
    </row>
    <row r="6496" spans="1:1">
      <c r="A6496" s="1" t="s">
        <v>2298</v>
      </c>
    </row>
    <row r="6497" spans="1:1">
      <c r="A6497" s="1" t="s">
        <v>2299</v>
      </c>
    </row>
    <row r="6498" spans="1:1">
      <c r="A6498" s="1" t="s">
        <v>2300</v>
      </c>
    </row>
    <row r="6499" spans="1:1">
      <c r="A6499" s="1" t="s">
        <v>2301</v>
      </c>
    </row>
    <row r="6500" spans="1:1">
      <c r="A6500" s="1" t="s">
        <v>2302</v>
      </c>
    </row>
    <row r="6501" spans="1:1">
      <c r="A6501" s="1" t="s">
        <v>2303</v>
      </c>
    </row>
    <row r="6502" spans="1:1">
      <c r="A6502" s="1" t="s">
        <v>2304</v>
      </c>
    </row>
    <row r="6503" spans="1:1">
      <c r="A6503" s="1" t="s">
        <v>2305</v>
      </c>
    </row>
    <row r="6504" spans="1:1">
      <c r="A6504" s="1" t="s">
        <v>2306</v>
      </c>
    </row>
    <row r="6505" spans="1:1">
      <c r="A6505" s="1" t="s">
        <v>2307</v>
      </c>
    </row>
    <row r="6506" spans="1:1">
      <c r="A6506" s="1" t="s">
        <v>2308</v>
      </c>
    </row>
    <row r="6507" spans="1:1">
      <c r="A6507" s="1" t="s">
        <v>2309</v>
      </c>
    </row>
    <row r="6508" spans="1:1">
      <c r="A6508" s="1" t="s">
        <v>2310</v>
      </c>
    </row>
    <row r="6509" spans="1:1">
      <c r="A6509" s="1" t="s">
        <v>2311</v>
      </c>
    </row>
    <row r="6510" spans="1:1">
      <c r="A6510" s="1" t="s">
        <v>2312</v>
      </c>
    </row>
    <row r="6511" spans="1:1">
      <c r="A6511" s="1" t="s">
        <v>2313</v>
      </c>
    </row>
    <row r="6512" spans="1:1">
      <c r="A6512" s="1" t="s">
        <v>2314</v>
      </c>
    </row>
    <row r="6513" spans="1:1">
      <c r="A6513" s="1" t="s">
        <v>2315</v>
      </c>
    </row>
    <row r="6514" spans="1:1">
      <c r="A6514" s="1" t="s">
        <v>2316</v>
      </c>
    </row>
    <row r="6515" spans="1:1">
      <c r="A6515" s="1" t="s">
        <v>2317</v>
      </c>
    </row>
    <row r="6516" spans="1:1">
      <c r="A6516" s="1" t="s">
        <v>2318</v>
      </c>
    </row>
    <row r="6517" spans="1:1">
      <c r="A6517" s="1" t="s">
        <v>2319</v>
      </c>
    </row>
    <row r="6518" spans="1:1">
      <c r="A6518" s="1" t="s">
        <v>2320</v>
      </c>
    </row>
    <row r="6519" spans="1:1">
      <c r="A6519" s="1" t="s">
        <v>2321</v>
      </c>
    </row>
    <row r="6520" spans="1:1">
      <c r="A6520" s="1" t="s">
        <v>2322</v>
      </c>
    </row>
    <row r="6521" spans="1:1">
      <c r="A6521" s="1" t="s">
        <v>2323</v>
      </c>
    </row>
    <row r="6522" spans="1:1">
      <c r="A6522" s="1" t="s">
        <v>2324</v>
      </c>
    </row>
    <row r="6523" spans="1:1">
      <c r="A6523" s="1" t="s">
        <v>2325</v>
      </c>
    </row>
    <row r="6524" spans="1:1">
      <c r="A6524" s="1" t="s">
        <v>2326</v>
      </c>
    </row>
    <row r="6525" spans="1:1">
      <c r="A6525" s="1" t="s">
        <v>2327</v>
      </c>
    </row>
    <row r="6526" spans="1:1">
      <c r="A6526" s="1" t="s">
        <v>2328</v>
      </c>
    </row>
    <row r="6527" spans="1:1">
      <c r="A6527" s="1" t="s">
        <v>2329</v>
      </c>
    </row>
    <row r="6528" spans="1:1">
      <c r="A6528" s="1" t="s">
        <v>2330</v>
      </c>
    </row>
    <row r="6529" spans="1:1">
      <c r="A6529" s="1" t="s">
        <v>2331</v>
      </c>
    </row>
    <row r="6530" spans="1:1">
      <c r="A6530" s="1" t="s">
        <v>2332</v>
      </c>
    </row>
    <row r="6531" spans="1:1">
      <c r="A6531" s="1" t="s">
        <v>2333</v>
      </c>
    </row>
    <row r="6532" spans="1:1">
      <c r="A6532" s="1" t="s">
        <v>2334</v>
      </c>
    </row>
    <row r="6533" spans="1:1">
      <c r="A6533" s="1" t="s">
        <v>2335</v>
      </c>
    </row>
    <row r="6534" spans="1:1">
      <c r="A6534" s="1" t="s">
        <v>2336</v>
      </c>
    </row>
    <row r="6535" spans="1:1">
      <c r="A6535" s="1" t="s">
        <v>2337</v>
      </c>
    </row>
    <row r="6536" spans="1:1">
      <c r="A6536" s="1" t="s">
        <v>2338</v>
      </c>
    </row>
    <row r="6537" spans="1:1">
      <c r="A6537" s="1" t="s">
        <v>2339</v>
      </c>
    </row>
    <row r="6538" spans="1:1">
      <c r="A6538" s="1" t="s">
        <v>2340</v>
      </c>
    </row>
    <row r="6539" spans="1:1">
      <c r="A6539" s="1" t="s">
        <v>2341</v>
      </c>
    </row>
    <row r="6540" spans="1:1">
      <c r="A6540" s="1" t="s">
        <v>2342</v>
      </c>
    </row>
    <row r="6541" spans="1:1">
      <c r="A6541" s="1" t="s">
        <v>2343</v>
      </c>
    </row>
    <row r="6542" spans="1:1">
      <c r="A6542" s="1" t="s">
        <v>2344</v>
      </c>
    </row>
    <row r="6543" spans="1:1">
      <c r="A6543" s="1" t="s">
        <v>2345</v>
      </c>
    </row>
    <row r="6544" spans="1:1">
      <c r="A6544" s="1" t="s">
        <v>2346</v>
      </c>
    </row>
    <row r="6545" spans="1:1">
      <c r="A6545" s="1" t="s">
        <v>2347</v>
      </c>
    </row>
    <row r="6546" spans="1:1">
      <c r="A6546" s="1" t="s">
        <v>2348</v>
      </c>
    </row>
    <row r="6547" spans="1:1">
      <c r="A6547" s="1" t="s">
        <v>2349</v>
      </c>
    </row>
    <row r="6548" spans="1:1">
      <c r="A6548" s="1" t="s">
        <v>2350</v>
      </c>
    </row>
    <row r="6549" spans="1:1">
      <c r="A6549" s="1" t="s">
        <v>2351</v>
      </c>
    </row>
    <row r="6550" spans="1:1">
      <c r="A6550" s="1" t="s">
        <v>2352</v>
      </c>
    </row>
    <row r="6551" spans="1:1">
      <c r="A6551" s="1" t="s">
        <v>2353</v>
      </c>
    </row>
    <row r="6552" spans="1:1">
      <c r="A6552" s="1" t="s">
        <v>2354</v>
      </c>
    </row>
    <row r="6553" spans="1:1">
      <c r="A6553" s="1" t="s">
        <v>2355</v>
      </c>
    </row>
    <row r="6554" spans="1:1">
      <c r="A6554" s="1" t="s">
        <v>2356</v>
      </c>
    </row>
    <row r="6555" spans="1:1">
      <c r="A6555" s="1" t="s">
        <v>2357</v>
      </c>
    </row>
    <row r="6556" spans="1:1">
      <c r="A6556" s="1" t="s">
        <v>2358</v>
      </c>
    </row>
    <row r="6557" spans="1:1">
      <c r="A6557" s="1" t="s">
        <v>2359</v>
      </c>
    </row>
    <row r="6558" spans="1:1">
      <c r="A6558" s="1" t="s">
        <v>2360</v>
      </c>
    </row>
    <row r="6559" spans="1:1">
      <c r="A6559" s="1" t="s">
        <v>2361</v>
      </c>
    </row>
    <row r="6560" spans="1:1">
      <c r="A6560" s="1" t="s">
        <v>2362</v>
      </c>
    </row>
    <row r="6561" spans="1:1">
      <c r="A6561" s="1" t="s">
        <v>2363</v>
      </c>
    </row>
    <row r="6562" spans="1:1">
      <c r="A6562" s="1" t="s">
        <v>2364</v>
      </c>
    </row>
    <row r="6563" spans="1:1">
      <c r="A6563" s="1" t="s">
        <v>2365</v>
      </c>
    </row>
    <row r="6564" spans="1:1">
      <c r="A6564" s="1" t="s">
        <v>2366</v>
      </c>
    </row>
    <row r="6565" spans="1:1">
      <c r="A6565" s="1" t="s">
        <v>2367</v>
      </c>
    </row>
    <row r="6566" spans="1:1">
      <c r="A6566" s="1" t="s">
        <v>2368</v>
      </c>
    </row>
    <row r="6567" spans="1:1">
      <c r="A6567" s="1" t="s">
        <v>2369</v>
      </c>
    </row>
    <row r="6568" spans="1:1">
      <c r="A6568" s="1" t="s">
        <v>2370</v>
      </c>
    </row>
    <row r="6569" spans="1:1">
      <c r="A6569" s="1" t="s">
        <v>2371</v>
      </c>
    </row>
    <row r="6570" spans="1:1">
      <c r="A6570" s="1" t="s">
        <v>2372</v>
      </c>
    </row>
    <row r="6571" spans="1:1">
      <c r="A6571" s="1" t="s">
        <v>2373</v>
      </c>
    </row>
    <row r="6572" spans="1:1">
      <c r="A6572" s="1" t="s">
        <v>2374</v>
      </c>
    </row>
    <row r="6573" spans="1:1">
      <c r="A6573" s="1" t="s">
        <v>2375</v>
      </c>
    </row>
    <row r="6574" spans="1:1">
      <c r="A6574" s="1" t="s">
        <v>2376</v>
      </c>
    </row>
    <row r="6575" spans="1:1">
      <c r="A6575" s="1" t="s">
        <v>2377</v>
      </c>
    </row>
    <row r="6576" spans="1:1">
      <c r="A6576" s="1" t="s">
        <v>2378</v>
      </c>
    </row>
    <row r="6577" spans="1:1">
      <c r="A6577" s="1" t="s">
        <v>2379</v>
      </c>
    </row>
    <row r="6578" spans="1:1">
      <c r="A6578" s="1" t="s">
        <v>2380</v>
      </c>
    </row>
    <row r="6579" spans="1:1">
      <c r="A6579" s="1" t="s">
        <v>2381</v>
      </c>
    </row>
    <row r="6580" spans="1:1">
      <c r="A6580" s="1" t="s">
        <v>2382</v>
      </c>
    </row>
    <row r="6581" spans="1:1">
      <c r="A6581" s="1" t="s">
        <v>2383</v>
      </c>
    </row>
    <row r="6582" spans="1:1">
      <c r="A6582" s="1" t="s">
        <v>2384</v>
      </c>
    </row>
    <row r="6583" spans="1:1">
      <c r="A6583" s="1" t="s">
        <v>2385</v>
      </c>
    </row>
    <row r="6584" spans="1:1">
      <c r="A6584" s="1" t="s">
        <v>2386</v>
      </c>
    </row>
    <row r="6585" spans="1:1">
      <c r="A6585" s="1" t="s">
        <v>2387</v>
      </c>
    </row>
    <row r="6586" spans="1:1">
      <c r="A6586" s="1" t="s">
        <v>2388</v>
      </c>
    </row>
    <row r="6587" spans="1:1">
      <c r="A6587" s="1" t="s">
        <v>2389</v>
      </c>
    </row>
    <row r="6588" spans="1:1">
      <c r="A6588" s="1" t="s">
        <v>2390</v>
      </c>
    </row>
    <row r="6589" spans="1:1">
      <c r="A6589" s="1" t="s">
        <v>2391</v>
      </c>
    </row>
    <row r="6590" spans="1:1">
      <c r="A6590" s="1" t="s">
        <v>2392</v>
      </c>
    </row>
    <row r="6591" spans="1:1">
      <c r="A6591" s="1" t="s">
        <v>2393</v>
      </c>
    </row>
    <row r="6592" spans="1:1">
      <c r="A6592" s="1" t="s">
        <v>2394</v>
      </c>
    </row>
    <row r="6593" spans="1:1">
      <c r="A6593" s="1" t="s">
        <v>2395</v>
      </c>
    </row>
    <row r="6594" spans="1:1">
      <c r="A6594" s="1" t="s">
        <v>2396</v>
      </c>
    </row>
    <row r="6595" spans="1:1">
      <c r="A6595" s="1" t="s">
        <v>2397</v>
      </c>
    </row>
    <row r="6596" spans="1:1">
      <c r="A6596" s="1" t="s">
        <v>2398</v>
      </c>
    </row>
    <row r="6597" spans="1:1">
      <c r="A6597" s="1" t="s">
        <v>2399</v>
      </c>
    </row>
    <row r="6598" spans="1:1">
      <c r="A6598" s="1" t="s">
        <v>2400</v>
      </c>
    </row>
    <row r="6599" spans="1:1">
      <c r="A6599" s="1" t="s">
        <v>2401</v>
      </c>
    </row>
    <row r="6600" spans="1:1">
      <c r="A6600" s="1" t="s">
        <v>2402</v>
      </c>
    </row>
    <row r="6601" spans="1:1">
      <c r="A6601" s="1" t="s">
        <v>2403</v>
      </c>
    </row>
    <row r="6602" spans="1:1">
      <c r="A6602" s="1" t="s">
        <v>2404</v>
      </c>
    </row>
    <row r="6603" spans="1:1">
      <c r="A6603" s="1" t="s">
        <v>2405</v>
      </c>
    </row>
    <row r="6604" spans="1:1">
      <c r="A6604" s="1" t="s">
        <v>2406</v>
      </c>
    </row>
    <row r="6605" spans="1:1">
      <c r="A6605" s="1" t="s">
        <v>2407</v>
      </c>
    </row>
    <row r="6606" spans="1:1">
      <c r="A6606" s="1" t="s">
        <v>2408</v>
      </c>
    </row>
    <row r="6607" spans="1:1">
      <c r="A6607" s="1" t="s">
        <v>2409</v>
      </c>
    </row>
    <row r="6608" spans="1:1">
      <c r="A6608" s="1" t="s">
        <v>2410</v>
      </c>
    </row>
    <row r="6609" spans="1:1">
      <c r="A6609" s="1" t="s">
        <v>2411</v>
      </c>
    </row>
    <row r="6610" spans="1:1">
      <c r="A6610" s="1" t="s">
        <v>2412</v>
      </c>
    </row>
    <row r="6611" spans="1:1">
      <c r="A6611" s="1" t="s">
        <v>2413</v>
      </c>
    </row>
    <row r="6612" spans="1:1">
      <c r="A6612" s="1" t="s">
        <v>2414</v>
      </c>
    </row>
    <row r="6613" spans="1:1">
      <c r="A6613" s="1" t="s">
        <v>2415</v>
      </c>
    </row>
    <row r="6614" spans="1:1">
      <c r="A6614" s="1" t="s">
        <v>2416</v>
      </c>
    </row>
    <row r="6615" spans="1:1">
      <c r="A6615" s="1" t="s">
        <v>2417</v>
      </c>
    </row>
    <row r="6616" spans="1:1">
      <c r="A6616" s="1" t="s">
        <v>2418</v>
      </c>
    </row>
    <row r="6617" spans="1:1">
      <c r="A6617" s="1" t="s">
        <v>2419</v>
      </c>
    </row>
    <row r="6618" spans="1:1">
      <c r="A6618" s="1" t="s">
        <v>2420</v>
      </c>
    </row>
    <row r="6619" spans="1:1">
      <c r="A6619" s="1" t="s">
        <v>2421</v>
      </c>
    </row>
    <row r="6620" spans="1:1">
      <c r="A6620" s="1" t="s">
        <v>2422</v>
      </c>
    </row>
    <row r="6621" spans="1:1">
      <c r="A6621" s="1" t="s">
        <v>2423</v>
      </c>
    </row>
    <row r="6622" spans="1:1">
      <c r="A6622" s="1" t="s">
        <v>2424</v>
      </c>
    </row>
    <row r="6623" spans="1:1">
      <c r="A6623" s="1" t="s">
        <v>2425</v>
      </c>
    </row>
    <row r="6624" spans="1:1">
      <c r="A6624" s="1" t="s">
        <v>2426</v>
      </c>
    </row>
    <row r="6625" spans="1:1">
      <c r="A6625" s="1" t="s">
        <v>2427</v>
      </c>
    </row>
    <row r="6626" spans="1:1">
      <c r="A6626" s="1" t="s">
        <v>2428</v>
      </c>
    </row>
    <row r="6627" spans="1:1">
      <c r="A6627" s="1" t="s">
        <v>2429</v>
      </c>
    </row>
    <row r="6628" spans="1:1">
      <c r="A6628" s="1" t="s">
        <v>2430</v>
      </c>
    </row>
    <row r="6629" spans="1:1">
      <c r="A6629" s="1" t="s">
        <v>2431</v>
      </c>
    </row>
    <row r="6630" spans="1:1">
      <c r="A6630" s="1" t="s">
        <v>2432</v>
      </c>
    </row>
    <row r="6631" spans="1:1">
      <c r="A6631" s="1" t="s">
        <v>2433</v>
      </c>
    </row>
    <row r="6632" spans="1:1">
      <c r="A6632" s="1" t="s">
        <v>2434</v>
      </c>
    </row>
    <row r="6633" spans="1:1">
      <c r="A6633" s="1" t="s">
        <v>2435</v>
      </c>
    </row>
    <row r="6634" spans="1:1">
      <c r="A6634" s="1" t="s">
        <v>2436</v>
      </c>
    </row>
    <row r="6635" spans="1:1">
      <c r="A6635" s="1" t="s">
        <v>2437</v>
      </c>
    </row>
    <row r="6636" spans="1:1">
      <c r="A6636" s="1" t="s">
        <v>2438</v>
      </c>
    </row>
    <row r="6637" spans="1:1">
      <c r="A6637" s="1" t="s">
        <v>2439</v>
      </c>
    </row>
    <row r="6638" spans="1:1">
      <c r="A6638" s="1" t="s">
        <v>2440</v>
      </c>
    </row>
    <row r="6639" spans="1:1">
      <c r="A6639" s="1" t="s">
        <v>2441</v>
      </c>
    </row>
    <row r="6640" spans="1:1">
      <c r="A6640" s="1" t="s">
        <v>2442</v>
      </c>
    </row>
    <row r="6641" spans="1:1">
      <c r="A6641" s="1" t="s">
        <v>2443</v>
      </c>
    </row>
    <row r="6642" spans="1:1">
      <c r="A6642" s="1" t="s">
        <v>2444</v>
      </c>
    </row>
    <row r="6643" spans="1:1">
      <c r="A6643" s="1" t="s">
        <v>2445</v>
      </c>
    </row>
    <row r="6644" spans="1:1">
      <c r="A6644" s="1" t="s">
        <v>2446</v>
      </c>
    </row>
    <row r="6645" spans="1:1">
      <c r="A6645" s="1" t="s">
        <v>2447</v>
      </c>
    </row>
    <row r="6646" spans="1:1">
      <c r="A6646" s="1" t="s">
        <v>2448</v>
      </c>
    </row>
    <row r="6647" spans="1:1">
      <c r="A6647" s="1" t="s">
        <v>2449</v>
      </c>
    </row>
    <row r="6648" spans="1:1">
      <c r="A6648" s="1" t="s">
        <v>2450</v>
      </c>
    </row>
    <row r="6649" spans="1:1">
      <c r="A6649" s="1" t="s">
        <v>2451</v>
      </c>
    </row>
    <row r="6650" spans="1:1">
      <c r="A6650" s="1" t="s">
        <v>2452</v>
      </c>
    </row>
    <row r="6651" spans="1:1">
      <c r="A6651" s="1" t="s">
        <v>2453</v>
      </c>
    </row>
    <row r="6652" spans="1:1">
      <c r="A6652" s="1" t="s">
        <v>2454</v>
      </c>
    </row>
    <row r="6653" spans="1:1">
      <c r="A6653" s="1" t="s">
        <v>2455</v>
      </c>
    </row>
    <row r="6654" spans="1:1">
      <c r="A6654" s="1" t="s">
        <v>2456</v>
      </c>
    </row>
    <row r="6655" spans="1:1">
      <c r="A6655" s="1" t="s">
        <v>2457</v>
      </c>
    </row>
    <row r="6656" spans="1:1">
      <c r="A6656" s="1" t="s">
        <v>2458</v>
      </c>
    </row>
    <row r="6657" spans="1:1">
      <c r="A6657" s="1" t="s">
        <v>2459</v>
      </c>
    </row>
    <row r="6658" spans="1:1">
      <c r="A6658" s="1" t="s">
        <v>2460</v>
      </c>
    </row>
    <row r="6659" spans="1:1">
      <c r="A6659" s="1" t="s">
        <v>2461</v>
      </c>
    </row>
    <row r="6660" spans="1:1">
      <c r="A6660" s="1" t="s">
        <v>2462</v>
      </c>
    </row>
    <row r="6661" spans="1:1">
      <c r="A6661" s="1" t="s">
        <v>2463</v>
      </c>
    </row>
    <row r="6662" spans="1:1">
      <c r="A6662" s="1" t="s">
        <v>2463</v>
      </c>
    </row>
    <row r="6663" spans="1:1">
      <c r="A6663" s="1" t="s">
        <v>2464</v>
      </c>
    </row>
    <row r="6664" spans="1:1">
      <c r="A6664" s="1" t="s">
        <v>2465</v>
      </c>
    </row>
    <row r="6665" spans="1:1">
      <c r="A6665" s="1" t="s">
        <v>2466</v>
      </c>
    </row>
    <row r="6666" spans="1:1">
      <c r="A6666" s="1" t="s">
        <v>2467</v>
      </c>
    </row>
    <row r="6667" spans="1:1">
      <c r="A6667" s="1" t="s">
        <v>2468</v>
      </c>
    </row>
    <row r="6668" spans="1:1">
      <c r="A6668" s="1" t="s">
        <v>2469</v>
      </c>
    </row>
    <row r="6669" spans="1:1">
      <c r="A6669" s="1" t="s">
        <v>2470</v>
      </c>
    </row>
    <row r="6670" spans="1:1">
      <c r="A6670" s="1" t="s">
        <v>2470</v>
      </c>
    </row>
    <row r="6671" spans="1:1">
      <c r="A6671" s="1" t="s">
        <v>2470</v>
      </c>
    </row>
    <row r="6672" spans="1:1">
      <c r="A6672" s="1" t="s">
        <v>2471</v>
      </c>
    </row>
    <row r="6673" spans="1:1">
      <c r="A6673" s="1" t="s">
        <v>2465</v>
      </c>
    </row>
    <row r="6674" spans="1:1">
      <c r="A6674" s="1" t="s">
        <v>2466</v>
      </c>
    </row>
    <row r="6675" spans="1:1">
      <c r="A6675" s="1" t="s">
        <v>2467</v>
      </c>
    </row>
    <row r="6676" spans="1:1">
      <c r="A6676" s="1" t="s">
        <v>2468</v>
      </c>
    </row>
    <row r="6677" spans="1:1">
      <c r="A6677" s="1" t="s">
        <v>2469</v>
      </c>
    </row>
    <row r="6678" spans="1:1">
      <c r="A6678" s="1" t="s">
        <v>2470</v>
      </c>
    </row>
    <row r="6679" spans="1:1">
      <c r="A6679" s="1" t="s">
        <v>2470</v>
      </c>
    </row>
    <row r="6680" spans="1:1">
      <c r="A6680" s="1" t="s">
        <v>2470</v>
      </c>
    </row>
    <row r="6681" spans="1:1">
      <c r="A6681" s="1" t="s">
        <v>2471</v>
      </c>
    </row>
    <row r="6682" spans="1:1">
      <c r="A6682" s="1" t="s">
        <v>2465</v>
      </c>
    </row>
    <row r="6683" spans="1:1">
      <c r="A6683" s="1" t="s">
        <v>2466</v>
      </c>
    </row>
    <row r="6684" spans="1:1">
      <c r="A6684" s="1" t="s">
        <v>2467</v>
      </c>
    </row>
    <row r="6685" spans="1:1">
      <c r="A6685" s="1" t="s">
        <v>2468</v>
      </c>
    </row>
    <row r="6686" spans="1:1">
      <c r="A6686" s="1" t="s">
        <v>2469</v>
      </c>
    </row>
    <row r="6687" spans="1:1">
      <c r="A6687" s="1" t="s">
        <v>2470</v>
      </c>
    </row>
    <row r="6688" spans="1:1">
      <c r="A6688" s="1" t="s">
        <v>2470</v>
      </c>
    </row>
    <row r="6689" spans="1:1">
      <c r="A6689" s="1" t="s">
        <v>2470</v>
      </c>
    </row>
    <row r="6690" spans="1:1">
      <c r="A6690" s="1" t="s">
        <v>2471</v>
      </c>
    </row>
    <row r="6691" spans="1:1">
      <c r="A6691" s="1" t="s">
        <v>2465</v>
      </c>
    </row>
    <row r="6692" spans="1:1">
      <c r="A6692" s="1" t="s">
        <v>2466</v>
      </c>
    </row>
    <row r="6693" spans="1:1">
      <c r="A6693" s="1" t="s">
        <v>2467</v>
      </c>
    </row>
    <row r="6694" spans="1:1">
      <c r="A6694" s="1" t="s">
        <v>2468</v>
      </c>
    </row>
    <row r="6695" spans="1:1">
      <c r="A6695" s="1" t="s">
        <v>2469</v>
      </c>
    </row>
    <row r="6696" spans="1:1">
      <c r="A6696" s="1" t="s">
        <v>2470</v>
      </c>
    </row>
    <row r="6697" spans="1:1">
      <c r="A6697" s="1" t="s">
        <v>2470</v>
      </c>
    </row>
    <row r="6698" spans="1:1">
      <c r="A6698" s="1" t="s">
        <v>2470</v>
      </c>
    </row>
    <row r="6699" spans="1:1">
      <c r="A6699" s="1" t="s">
        <v>2471</v>
      </c>
    </row>
    <row r="6700" spans="1:1">
      <c r="A6700" s="1" t="s">
        <v>2465</v>
      </c>
    </row>
    <row r="6701" spans="1:1">
      <c r="A6701" s="1" t="s">
        <v>2466</v>
      </c>
    </row>
    <row r="6702" spans="1:1">
      <c r="A6702" s="1" t="s">
        <v>2467</v>
      </c>
    </row>
    <row r="6703" spans="1:1">
      <c r="A6703" s="1" t="s">
        <v>2468</v>
      </c>
    </row>
    <row r="6704" spans="1:1">
      <c r="A6704" s="1" t="s">
        <v>2469</v>
      </c>
    </row>
    <row r="6705" spans="1:1">
      <c r="A6705" s="1" t="s">
        <v>2470</v>
      </c>
    </row>
    <row r="6706" spans="1:1">
      <c r="A6706" s="1" t="s">
        <v>2470</v>
      </c>
    </row>
    <row r="6707" spans="1:1">
      <c r="A6707" s="1" t="s">
        <v>2470</v>
      </c>
    </row>
    <row r="6708" spans="1:1">
      <c r="A6708" s="1" t="s">
        <v>2471</v>
      </c>
    </row>
    <row r="6709" spans="1:1">
      <c r="A6709" s="1" t="s">
        <v>2465</v>
      </c>
    </row>
    <row r="6710" spans="1:1">
      <c r="A6710" s="1" t="s">
        <v>2466</v>
      </c>
    </row>
    <row r="6711" spans="1:1">
      <c r="A6711" s="1" t="s">
        <v>2467</v>
      </c>
    </row>
    <row r="6712" spans="1:1">
      <c r="A6712" s="1" t="s">
        <v>2468</v>
      </c>
    </row>
    <row r="6713" spans="1:1">
      <c r="A6713" s="1" t="s">
        <v>2469</v>
      </c>
    </row>
    <row r="6714" spans="1:1">
      <c r="A6714" s="1" t="s">
        <v>2470</v>
      </c>
    </row>
    <row r="6715" spans="1:1">
      <c r="A6715" s="1" t="s">
        <v>2472</v>
      </c>
    </row>
    <row r="6716" spans="1:1">
      <c r="A6716" s="1" t="s">
        <v>2472</v>
      </c>
    </row>
    <row r="6717" spans="1:1">
      <c r="A6717" s="1" t="s">
        <v>2473</v>
      </c>
    </row>
    <row r="6718" spans="1:1">
      <c r="A6718" s="1" t="s">
        <v>2474</v>
      </c>
    </row>
    <row r="6719" spans="1:1">
      <c r="A6719" s="1" t="s">
        <v>2475</v>
      </c>
    </row>
    <row r="6720" spans="1:1">
      <c r="A6720" s="1" t="s">
        <v>2476</v>
      </c>
    </row>
    <row r="6721" spans="1:1">
      <c r="A6721" s="1" t="s">
        <v>2477</v>
      </c>
    </row>
    <row r="6722" spans="1:1">
      <c r="A6722" s="1" t="s">
        <v>2478</v>
      </c>
    </row>
    <row r="6723" spans="1:1">
      <c r="A6723" s="1" t="s">
        <v>2472</v>
      </c>
    </row>
    <row r="6724" spans="1:1">
      <c r="A6724" s="1" t="s">
        <v>2472</v>
      </c>
    </row>
    <row r="6725" spans="1:1">
      <c r="A6725" s="1" t="s">
        <v>2472</v>
      </c>
    </row>
    <row r="6726" spans="1:1">
      <c r="A6726" s="1" t="s">
        <v>2473</v>
      </c>
    </row>
    <row r="6727" spans="1:1">
      <c r="A6727" s="1" t="s">
        <v>2474</v>
      </c>
    </row>
    <row r="6728" spans="1:1">
      <c r="A6728" s="1" t="s">
        <v>2475</v>
      </c>
    </row>
    <row r="6729" spans="1:1">
      <c r="A6729" s="1" t="s">
        <v>2476</v>
      </c>
    </row>
    <row r="6730" spans="1:1">
      <c r="A6730" s="1" t="s">
        <v>2477</v>
      </c>
    </row>
    <row r="6731" spans="1:1">
      <c r="A6731" s="1" t="s">
        <v>2478</v>
      </c>
    </row>
    <row r="6732" spans="1:1">
      <c r="A6732" s="1" t="s">
        <v>2472</v>
      </c>
    </row>
    <row r="6733" spans="1:1">
      <c r="A6733" s="1" t="s">
        <v>2472</v>
      </c>
    </row>
    <row r="6734" spans="1:1">
      <c r="A6734" s="1" t="s">
        <v>2472</v>
      </c>
    </row>
    <row r="6735" spans="1:1">
      <c r="A6735" s="1" t="s">
        <v>2473</v>
      </c>
    </row>
    <row r="6736" spans="1:1">
      <c r="A6736" s="1" t="s">
        <v>2474</v>
      </c>
    </row>
    <row r="6737" spans="1:1">
      <c r="A6737" s="1" t="s">
        <v>2475</v>
      </c>
    </row>
    <row r="6738" spans="1:1">
      <c r="A6738" s="1" t="s">
        <v>2476</v>
      </c>
    </row>
    <row r="6739" spans="1:1">
      <c r="A6739" s="1" t="s">
        <v>2477</v>
      </c>
    </row>
    <row r="6740" spans="1:1">
      <c r="A6740" s="1" t="s">
        <v>2478</v>
      </c>
    </row>
    <row r="6741" spans="1:1">
      <c r="A6741" s="1" t="s">
        <v>2472</v>
      </c>
    </row>
    <row r="6742" spans="1:1">
      <c r="A6742" s="1" t="s">
        <v>2472</v>
      </c>
    </row>
    <row r="6743" spans="1:1">
      <c r="A6743" s="1" t="s">
        <v>2472</v>
      </c>
    </row>
    <row r="6744" spans="1:1">
      <c r="A6744" s="1" t="s">
        <v>2473</v>
      </c>
    </row>
    <row r="6745" spans="1:1">
      <c r="A6745" s="1" t="s">
        <v>2474</v>
      </c>
    </row>
    <row r="6746" spans="1:1">
      <c r="A6746" s="1" t="s">
        <v>2475</v>
      </c>
    </row>
    <row r="6747" spans="1:1">
      <c r="A6747" s="1" t="s">
        <v>2476</v>
      </c>
    </row>
    <row r="6748" spans="1:1">
      <c r="A6748" s="1" t="s">
        <v>2477</v>
      </c>
    </row>
    <row r="6749" spans="1:1">
      <c r="A6749" s="1" t="s">
        <v>2478</v>
      </c>
    </row>
    <row r="6750" spans="1:1">
      <c r="A6750" s="1" t="s">
        <v>2472</v>
      </c>
    </row>
    <row r="6751" spans="1:1">
      <c r="A6751" s="1" t="s">
        <v>2472</v>
      </c>
    </row>
    <row r="6752" spans="1:1">
      <c r="A6752" s="1" t="s">
        <v>2472</v>
      </c>
    </row>
    <row r="6753" spans="1:1">
      <c r="A6753" s="1" t="s">
        <v>2473</v>
      </c>
    </row>
    <row r="6754" spans="1:1">
      <c r="A6754" s="1" t="s">
        <v>2474</v>
      </c>
    </row>
    <row r="6755" spans="1:1">
      <c r="A6755" s="1" t="s">
        <v>2475</v>
      </c>
    </row>
    <row r="6756" spans="1:1">
      <c r="A6756" s="1" t="s">
        <v>2476</v>
      </c>
    </row>
    <row r="6757" spans="1:1">
      <c r="A6757" s="1" t="s">
        <v>2477</v>
      </c>
    </row>
    <row r="6758" spans="1:1">
      <c r="A6758" s="1" t="s">
        <v>2478</v>
      </c>
    </row>
    <row r="6759" spans="1:1">
      <c r="A6759" s="1" t="s">
        <v>2472</v>
      </c>
    </row>
    <row r="6760" spans="1:1">
      <c r="A6760" s="1" t="s">
        <v>2472</v>
      </c>
    </row>
    <row r="6761" spans="1:1">
      <c r="A6761" s="1" t="s">
        <v>2472</v>
      </c>
    </row>
    <row r="6762" spans="1:1">
      <c r="A6762" s="1" t="s">
        <v>2473</v>
      </c>
    </row>
    <row r="6763" spans="1:1">
      <c r="A6763" s="1" t="s">
        <v>2474</v>
      </c>
    </row>
    <row r="6764" spans="1:1">
      <c r="A6764" s="1" t="s">
        <v>2475</v>
      </c>
    </row>
    <row r="6765" spans="1:1">
      <c r="A6765" s="1" t="s">
        <v>2476</v>
      </c>
    </row>
    <row r="6766" spans="1:1">
      <c r="A6766" s="1" t="s">
        <v>2477</v>
      </c>
    </row>
    <row r="6767" spans="1:1">
      <c r="A6767" s="1" t="s">
        <v>2478</v>
      </c>
    </row>
    <row r="6768" spans="1:1">
      <c r="A6768" s="1" t="s">
        <v>2472</v>
      </c>
    </row>
    <row r="6769" spans="1:1">
      <c r="A6769" s="1" t="s">
        <v>2479</v>
      </c>
    </row>
    <row r="6770" spans="1:1">
      <c r="A6770" s="1" t="s">
        <v>2479</v>
      </c>
    </row>
    <row r="6771" spans="1:1">
      <c r="A6771" s="1" t="s">
        <v>2480</v>
      </c>
    </row>
    <row r="6772" spans="1:1">
      <c r="A6772" s="1" t="s">
        <v>2481</v>
      </c>
    </row>
    <row r="6773" spans="1:1">
      <c r="A6773" s="1" t="s">
        <v>2482</v>
      </c>
    </row>
    <row r="6774" spans="1:1">
      <c r="A6774" s="1" t="s">
        <v>2483</v>
      </c>
    </row>
    <row r="6775" spans="1:1">
      <c r="A6775" s="1" t="s">
        <v>2484</v>
      </c>
    </row>
    <row r="6776" spans="1:1">
      <c r="A6776" s="1" t="s">
        <v>2485</v>
      </c>
    </row>
    <row r="6777" spans="1:1">
      <c r="A6777" s="1" t="s">
        <v>2479</v>
      </c>
    </row>
    <row r="6778" spans="1:1">
      <c r="A6778" s="1" t="s">
        <v>2479</v>
      </c>
    </row>
    <row r="6779" spans="1:1">
      <c r="A6779" s="1" t="s">
        <v>2479</v>
      </c>
    </row>
    <row r="6780" spans="1:1">
      <c r="A6780" s="1" t="s">
        <v>2480</v>
      </c>
    </row>
    <row r="6781" spans="1:1">
      <c r="A6781" s="1" t="s">
        <v>2481</v>
      </c>
    </row>
    <row r="6782" spans="1:1">
      <c r="A6782" s="1" t="s">
        <v>2482</v>
      </c>
    </row>
    <row r="6783" spans="1:1">
      <c r="A6783" s="1" t="s">
        <v>2483</v>
      </c>
    </row>
    <row r="6784" spans="1:1">
      <c r="A6784" s="1" t="s">
        <v>2484</v>
      </c>
    </row>
    <row r="6785" spans="1:1">
      <c r="A6785" s="1" t="s">
        <v>2485</v>
      </c>
    </row>
    <row r="6786" spans="1:1">
      <c r="A6786" s="1" t="s">
        <v>2479</v>
      </c>
    </row>
    <row r="6787" spans="1:1">
      <c r="A6787" s="1" t="s">
        <v>2479</v>
      </c>
    </row>
    <row r="6788" spans="1:1">
      <c r="A6788" s="1" t="s">
        <v>2479</v>
      </c>
    </row>
    <row r="6789" spans="1:1">
      <c r="A6789" s="1" t="s">
        <v>2480</v>
      </c>
    </row>
    <row r="6790" spans="1:1">
      <c r="A6790" s="1" t="s">
        <v>2481</v>
      </c>
    </row>
    <row r="6791" spans="1:1">
      <c r="A6791" s="1" t="s">
        <v>2482</v>
      </c>
    </row>
    <row r="6792" spans="1:1">
      <c r="A6792" s="1" t="s">
        <v>2483</v>
      </c>
    </row>
    <row r="6793" spans="1:1">
      <c r="A6793" s="1" t="s">
        <v>2484</v>
      </c>
    </row>
    <row r="6794" spans="1:1">
      <c r="A6794" s="1" t="s">
        <v>2485</v>
      </c>
    </row>
    <row r="6795" spans="1:1">
      <c r="A6795" s="1" t="s">
        <v>2479</v>
      </c>
    </row>
    <row r="6796" spans="1:1">
      <c r="A6796" s="1" t="s">
        <v>2479</v>
      </c>
    </row>
    <row r="6797" spans="1:1">
      <c r="A6797" s="1" t="s">
        <v>2479</v>
      </c>
    </row>
    <row r="6798" spans="1:1">
      <c r="A6798" s="1" t="s">
        <v>2480</v>
      </c>
    </row>
    <row r="6799" spans="1:1">
      <c r="A6799" s="1" t="s">
        <v>2481</v>
      </c>
    </row>
    <row r="6800" spans="1:1">
      <c r="A6800" s="1" t="s">
        <v>2482</v>
      </c>
    </row>
    <row r="6801" spans="1:1">
      <c r="A6801" s="1" t="s">
        <v>2483</v>
      </c>
    </row>
    <row r="6802" spans="1:1">
      <c r="A6802" s="1" t="s">
        <v>2484</v>
      </c>
    </row>
    <row r="6803" spans="1:1">
      <c r="A6803" s="1" t="s">
        <v>2485</v>
      </c>
    </row>
    <row r="6804" spans="1:1">
      <c r="A6804" s="1" t="s">
        <v>2479</v>
      </c>
    </row>
    <row r="6805" spans="1:1">
      <c r="A6805" s="1" t="s">
        <v>2479</v>
      </c>
    </row>
    <row r="6806" spans="1:1">
      <c r="A6806" s="1" t="s">
        <v>2479</v>
      </c>
    </row>
    <row r="6807" spans="1:1">
      <c r="A6807" s="1" t="s">
        <v>2480</v>
      </c>
    </row>
    <row r="6808" spans="1:1">
      <c r="A6808" s="1" t="s">
        <v>2481</v>
      </c>
    </row>
    <row r="6809" spans="1:1">
      <c r="A6809" s="1" t="s">
        <v>2482</v>
      </c>
    </row>
    <row r="6810" spans="1:1">
      <c r="A6810" s="1" t="s">
        <v>2483</v>
      </c>
    </row>
    <row r="6811" spans="1:1">
      <c r="A6811" s="1" t="s">
        <v>2484</v>
      </c>
    </row>
    <row r="6812" spans="1:1">
      <c r="A6812" s="1" t="s">
        <v>2485</v>
      </c>
    </row>
    <row r="6813" spans="1:1">
      <c r="A6813" s="1" t="s">
        <v>2479</v>
      </c>
    </row>
    <row r="6814" spans="1:1">
      <c r="A6814" s="1" t="s">
        <v>2479</v>
      </c>
    </row>
    <row r="6815" spans="1:1">
      <c r="A6815" s="1" t="s">
        <v>2479</v>
      </c>
    </row>
    <row r="6816" spans="1:1">
      <c r="A6816" s="1" t="s">
        <v>2480</v>
      </c>
    </row>
    <row r="6817" spans="1:1">
      <c r="A6817" s="1" t="s">
        <v>2481</v>
      </c>
    </row>
    <row r="6818" spans="1:1">
      <c r="A6818" s="1" t="s">
        <v>2482</v>
      </c>
    </row>
    <row r="6819" spans="1:1">
      <c r="A6819" s="1" t="s">
        <v>2483</v>
      </c>
    </row>
    <row r="6820" spans="1:1">
      <c r="A6820" s="1" t="s">
        <v>2484</v>
      </c>
    </row>
    <row r="6821" spans="1:1">
      <c r="A6821" s="1" t="s">
        <v>2485</v>
      </c>
    </row>
    <row r="6822" spans="1:1">
      <c r="A6822" s="1" t="s">
        <v>2479</v>
      </c>
    </row>
    <row r="6823" spans="1:1">
      <c r="A6823" s="1" t="s">
        <v>2486</v>
      </c>
    </row>
    <row r="6824" spans="1:1">
      <c r="A6824" s="1" t="s">
        <v>2486</v>
      </c>
    </row>
    <row r="6825" spans="1:1">
      <c r="A6825" s="1" t="s">
        <v>2487</v>
      </c>
    </row>
    <row r="6826" spans="1:1">
      <c r="A6826" s="1" t="s">
        <v>2488</v>
      </c>
    </row>
    <row r="6827" spans="1:1">
      <c r="A6827" s="1" t="s">
        <v>2488</v>
      </c>
    </row>
    <row r="6828" spans="1:1">
      <c r="A6828" s="1" t="s">
        <v>2489</v>
      </c>
    </row>
    <row r="6829" spans="1:1">
      <c r="A6829" s="1" t="s">
        <v>2490</v>
      </c>
    </row>
    <row r="6830" spans="1:1">
      <c r="A6830" s="1" t="s">
        <v>2491</v>
      </c>
    </row>
    <row r="6831" spans="1:1">
      <c r="A6831" s="1" t="s">
        <v>2492</v>
      </c>
    </row>
    <row r="6832" spans="1:1">
      <c r="A6832" s="1" t="s">
        <v>2493</v>
      </c>
    </row>
    <row r="6833" spans="1:1">
      <c r="A6833" s="1" t="s">
        <v>2494</v>
      </c>
    </row>
    <row r="6834" spans="1:1">
      <c r="A6834" s="1" t="s">
        <v>2488</v>
      </c>
    </row>
    <row r="6835" spans="1:1">
      <c r="A6835" s="1" t="s">
        <v>2488</v>
      </c>
    </row>
    <row r="6836" spans="1:1">
      <c r="A6836" s="1" t="s">
        <v>2488</v>
      </c>
    </row>
    <row r="6837" spans="1:1">
      <c r="A6837" s="1" t="s">
        <v>2489</v>
      </c>
    </row>
    <row r="6838" spans="1:1">
      <c r="A6838" s="1" t="s">
        <v>2490</v>
      </c>
    </row>
    <row r="6839" spans="1:1">
      <c r="A6839" s="1" t="s">
        <v>2491</v>
      </c>
    </row>
    <row r="6840" spans="1:1">
      <c r="A6840" s="1" t="s">
        <v>2492</v>
      </c>
    </row>
    <row r="6841" spans="1:1">
      <c r="A6841" s="1" t="s">
        <v>2493</v>
      </c>
    </row>
    <row r="6842" spans="1:1">
      <c r="A6842" s="1" t="s">
        <v>2494</v>
      </c>
    </row>
    <row r="6843" spans="1:1">
      <c r="A6843" s="1" t="s">
        <v>2488</v>
      </c>
    </row>
    <row r="6844" spans="1:1">
      <c r="A6844" s="1" t="s">
        <v>2488</v>
      </c>
    </row>
    <row r="6845" spans="1:1">
      <c r="A6845" s="1" t="s">
        <v>2488</v>
      </c>
    </row>
    <row r="6846" spans="1:1">
      <c r="A6846" s="1" t="s">
        <v>2489</v>
      </c>
    </row>
    <row r="6847" spans="1:1">
      <c r="A6847" s="1" t="s">
        <v>2490</v>
      </c>
    </row>
    <row r="6848" spans="1:1">
      <c r="A6848" s="1" t="s">
        <v>2491</v>
      </c>
    </row>
    <row r="6849" spans="1:1">
      <c r="A6849" s="1" t="s">
        <v>2492</v>
      </c>
    </row>
    <row r="6850" spans="1:1">
      <c r="A6850" s="1" t="s">
        <v>2493</v>
      </c>
    </row>
    <row r="6851" spans="1:1">
      <c r="A6851" s="1" t="s">
        <v>2494</v>
      </c>
    </row>
    <row r="6852" spans="1:1">
      <c r="A6852" s="1" t="s">
        <v>2488</v>
      </c>
    </row>
    <row r="6853" spans="1:1">
      <c r="A6853" s="1" t="s">
        <v>2488</v>
      </c>
    </row>
    <row r="6854" spans="1:1">
      <c r="A6854" s="1" t="s">
        <v>2488</v>
      </c>
    </row>
    <row r="6855" spans="1:1">
      <c r="A6855" s="1" t="s">
        <v>2489</v>
      </c>
    </row>
    <row r="6856" spans="1:1">
      <c r="A6856" s="1" t="s">
        <v>2490</v>
      </c>
    </row>
    <row r="6857" spans="1:1">
      <c r="A6857" s="1" t="s">
        <v>2491</v>
      </c>
    </row>
    <row r="6858" spans="1:1">
      <c r="A6858" s="1" t="s">
        <v>2492</v>
      </c>
    </row>
    <row r="6859" spans="1:1">
      <c r="A6859" s="1" t="s">
        <v>2493</v>
      </c>
    </row>
    <row r="6860" spans="1:1">
      <c r="A6860" s="1" t="s">
        <v>2494</v>
      </c>
    </row>
    <row r="6861" spans="1:1">
      <c r="A6861" s="1" t="s">
        <v>2488</v>
      </c>
    </row>
    <row r="6862" spans="1:1">
      <c r="A6862" s="1" t="s">
        <v>2488</v>
      </c>
    </row>
    <row r="6863" spans="1:1">
      <c r="A6863" s="1" t="s">
        <v>2488</v>
      </c>
    </row>
    <row r="6864" spans="1:1">
      <c r="A6864" s="1" t="s">
        <v>2489</v>
      </c>
    </row>
    <row r="6865" spans="1:1">
      <c r="A6865" s="1" t="s">
        <v>2490</v>
      </c>
    </row>
    <row r="6866" spans="1:1">
      <c r="A6866" s="1" t="s">
        <v>2491</v>
      </c>
    </row>
    <row r="6867" spans="1:1">
      <c r="A6867" s="1" t="s">
        <v>2492</v>
      </c>
    </row>
    <row r="6868" spans="1:1">
      <c r="A6868" s="1" t="s">
        <v>2493</v>
      </c>
    </row>
    <row r="6869" spans="1:1">
      <c r="A6869" s="1" t="s">
        <v>2494</v>
      </c>
    </row>
    <row r="6870" spans="1:1">
      <c r="A6870" s="1" t="s">
        <v>2488</v>
      </c>
    </row>
    <row r="6871" spans="1:1">
      <c r="A6871" s="1" t="s">
        <v>2488</v>
      </c>
    </row>
    <row r="6872" spans="1:1">
      <c r="A6872" s="1" t="s">
        <v>2488</v>
      </c>
    </row>
    <row r="6873" spans="1:1">
      <c r="A6873" s="1" t="s">
        <v>2489</v>
      </c>
    </row>
    <row r="6874" spans="1:1">
      <c r="A6874" s="1" t="s">
        <v>2490</v>
      </c>
    </row>
    <row r="6875" spans="1:1">
      <c r="A6875" s="1" t="s">
        <v>2491</v>
      </c>
    </row>
    <row r="6876" spans="1:1">
      <c r="A6876" s="1" t="s">
        <v>2492</v>
      </c>
    </row>
    <row r="6877" spans="1:1">
      <c r="A6877" s="1" t="s">
        <v>2493</v>
      </c>
    </row>
    <row r="6878" spans="1:1">
      <c r="A6878" s="1" t="s">
        <v>2494</v>
      </c>
    </row>
    <row r="6879" spans="1:1">
      <c r="A6879" s="1" t="s">
        <v>2488</v>
      </c>
    </row>
    <row r="6880" spans="1:1">
      <c r="A6880" s="1" t="s">
        <v>2495</v>
      </c>
    </row>
    <row r="6881" spans="1:1">
      <c r="A6881" s="1" t="s">
        <v>2495</v>
      </c>
    </row>
    <row r="6882" spans="1:1">
      <c r="A6882" s="1" t="s">
        <v>2496</v>
      </c>
    </row>
    <row r="6883" spans="1:1">
      <c r="A6883" s="1" t="s">
        <v>2497</v>
      </c>
    </row>
    <row r="6884" spans="1:1">
      <c r="A6884" s="1" t="s">
        <v>2498</v>
      </c>
    </row>
    <row r="6885" spans="1:1">
      <c r="A6885" s="1" t="s">
        <v>2499</v>
      </c>
    </row>
    <row r="6886" spans="1:1">
      <c r="A6886" s="1" t="s">
        <v>2500</v>
      </c>
    </row>
    <row r="6887" spans="1:1">
      <c r="A6887" s="1" t="s">
        <v>2501</v>
      </c>
    </row>
    <row r="6888" spans="1:1">
      <c r="A6888" s="1" t="s">
        <v>2495</v>
      </c>
    </row>
    <row r="6889" spans="1:1">
      <c r="A6889" s="1" t="s">
        <v>2495</v>
      </c>
    </row>
    <row r="6890" spans="1:1">
      <c r="A6890" s="1" t="s">
        <v>2495</v>
      </c>
    </row>
    <row r="6891" spans="1:1">
      <c r="A6891" s="1" t="s">
        <v>2496</v>
      </c>
    </row>
    <row r="6892" spans="1:1">
      <c r="A6892" s="1" t="s">
        <v>2497</v>
      </c>
    </row>
    <row r="6893" spans="1:1">
      <c r="A6893" s="1" t="s">
        <v>2498</v>
      </c>
    </row>
    <row r="6894" spans="1:1">
      <c r="A6894" s="1" t="s">
        <v>2499</v>
      </c>
    </row>
    <row r="6895" spans="1:1">
      <c r="A6895" s="1" t="s">
        <v>2500</v>
      </c>
    </row>
    <row r="6896" spans="1:1">
      <c r="A6896" s="1" t="s">
        <v>2501</v>
      </c>
    </row>
    <row r="6897" spans="1:1">
      <c r="A6897" s="1" t="s">
        <v>2495</v>
      </c>
    </row>
    <row r="6898" spans="1:1">
      <c r="A6898" s="1" t="s">
        <v>2495</v>
      </c>
    </row>
    <row r="6899" spans="1:1">
      <c r="A6899" s="1" t="s">
        <v>2495</v>
      </c>
    </row>
    <row r="6900" spans="1:1">
      <c r="A6900" s="1" t="s">
        <v>2496</v>
      </c>
    </row>
    <row r="6901" spans="1:1">
      <c r="A6901" s="1" t="s">
        <v>2497</v>
      </c>
    </row>
    <row r="6902" spans="1:1">
      <c r="A6902" s="1" t="s">
        <v>2498</v>
      </c>
    </row>
    <row r="6903" spans="1:1">
      <c r="A6903" s="1" t="s">
        <v>2499</v>
      </c>
    </row>
    <row r="6904" spans="1:1">
      <c r="A6904" s="1" t="s">
        <v>2500</v>
      </c>
    </row>
    <row r="6905" spans="1:1">
      <c r="A6905" s="1" t="s">
        <v>2501</v>
      </c>
    </row>
    <row r="6906" spans="1:1">
      <c r="A6906" s="1" t="s">
        <v>2495</v>
      </c>
    </row>
    <row r="6907" spans="1:1">
      <c r="A6907" s="1" t="s">
        <v>2495</v>
      </c>
    </row>
    <row r="6908" spans="1:1">
      <c r="A6908" s="1" t="s">
        <v>2495</v>
      </c>
    </row>
    <row r="6909" spans="1:1">
      <c r="A6909" s="1" t="s">
        <v>2496</v>
      </c>
    </row>
    <row r="6910" spans="1:1">
      <c r="A6910" s="1" t="s">
        <v>2497</v>
      </c>
    </row>
    <row r="6911" spans="1:1">
      <c r="A6911" s="1" t="s">
        <v>2498</v>
      </c>
    </row>
    <row r="6912" spans="1:1">
      <c r="A6912" s="1" t="s">
        <v>2499</v>
      </c>
    </row>
    <row r="6913" spans="1:1">
      <c r="A6913" s="1" t="s">
        <v>2500</v>
      </c>
    </row>
    <row r="6914" spans="1:1">
      <c r="A6914" s="1" t="s">
        <v>2501</v>
      </c>
    </row>
    <row r="6915" spans="1:1">
      <c r="A6915" s="1" t="s">
        <v>2495</v>
      </c>
    </row>
    <row r="6916" spans="1:1">
      <c r="A6916" s="1" t="s">
        <v>2495</v>
      </c>
    </row>
    <row r="6917" spans="1:1">
      <c r="A6917" s="1" t="s">
        <v>2495</v>
      </c>
    </row>
    <row r="6918" spans="1:1">
      <c r="A6918" s="1" t="s">
        <v>2496</v>
      </c>
    </row>
    <row r="6919" spans="1:1">
      <c r="A6919" s="1" t="s">
        <v>2497</v>
      </c>
    </row>
    <row r="6920" spans="1:1">
      <c r="A6920" s="1" t="s">
        <v>2498</v>
      </c>
    </row>
    <row r="6921" spans="1:1">
      <c r="A6921" s="1" t="s">
        <v>2499</v>
      </c>
    </row>
    <row r="6922" spans="1:1">
      <c r="A6922" s="1" t="s">
        <v>2500</v>
      </c>
    </row>
    <row r="6923" spans="1:1">
      <c r="A6923" s="1" t="s">
        <v>2501</v>
      </c>
    </row>
    <row r="6924" spans="1:1">
      <c r="A6924" s="1" t="s">
        <v>2495</v>
      </c>
    </row>
    <row r="6925" spans="1:1">
      <c r="A6925" s="1" t="s">
        <v>2495</v>
      </c>
    </row>
    <row r="6926" spans="1:1">
      <c r="A6926" s="1" t="s">
        <v>2495</v>
      </c>
    </row>
    <row r="6927" spans="1:1">
      <c r="A6927" s="1" t="s">
        <v>2496</v>
      </c>
    </row>
    <row r="6928" spans="1:1">
      <c r="A6928" s="1" t="s">
        <v>2497</v>
      </c>
    </row>
    <row r="6929" spans="1:1">
      <c r="A6929" s="1" t="s">
        <v>2498</v>
      </c>
    </row>
    <row r="6930" spans="1:1">
      <c r="A6930" s="1" t="s">
        <v>2499</v>
      </c>
    </row>
    <row r="6931" spans="1:1">
      <c r="A6931" s="1" t="s">
        <v>2500</v>
      </c>
    </row>
    <row r="6932" spans="1:1">
      <c r="A6932" s="1" t="s">
        <v>2501</v>
      </c>
    </row>
    <row r="6933" spans="1:1">
      <c r="A6933" s="1" t="s">
        <v>2495</v>
      </c>
    </row>
    <row r="6934" spans="1:1">
      <c r="A6934" s="1" t="s">
        <v>2502</v>
      </c>
    </row>
    <row r="6935" spans="1:1">
      <c r="A6935" s="1" t="s">
        <v>2502</v>
      </c>
    </row>
    <row r="6936" spans="1:1">
      <c r="A6936" s="1" t="s">
        <v>2503</v>
      </c>
    </row>
    <row r="6937" spans="1:1">
      <c r="A6937" s="1" t="s">
        <v>2504</v>
      </c>
    </row>
    <row r="6938" spans="1:1">
      <c r="A6938" s="1" t="s">
        <v>2505</v>
      </c>
    </row>
    <row r="6939" spans="1:1">
      <c r="A6939" s="1" t="s">
        <v>2506</v>
      </c>
    </row>
    <row r="6940" spans="1:1">
      <c r="A6940" s="1" t="s">
        <v>2507</v>
      </c>
    </row>
    <row r="6941" spans="1:1">
      <c r="A6941" s="1" t="s">
        <v>2508</v>
      </c>
    </row>
    <row r="6942" spans="1:1">
      <c r="A6942" s="1" t="s">
        <v>2502</v>
      </c>
    </row>
    <row r="6943" spans="1:1">
      <c r="A6943" s="1" t="s">
        <v>2502</v>
      </c>
    </row>
    <row r="6944" spans="1:1">
      <c r="A6944" s="1" t="s">
        <v>2502</v>
      </c>
    </row>
    <row r="6945" spans="1:1">
      <c r="A6945" s="1" t="s">
        <v>2509</v>
      </c>
    </row>
    <row r="6946" spans="1:1">
      <c r="A6946" s="1" t="s">
        <v>2510</v>
      </c>
    </row>
    <row r="6947" spans="1:1">
      <c r="A6947" s="1" t="s">
        <v>2511</v>
      </c>
    </row>
    <row r="6948" spans="1:1">
      <c r="A6948" s="1" t="s">
        <v>2512</v>
      </c>
    </row>
    <row r="6949" spans="1:1">
      <c r="A6949" s="1" t="s">
        <v>2513</v>
      </c>
    </row>
    <row r="6950" spans="1:1">
      <c r="A6950" s="1" t="s">
        <v>2514</v>
      </c>
    </row>
    <row r="6951" spans="1:1">
      <c r="A6951" s="1" t="s">
        <v>2515</v>
      </c>
    </row>
    <row r="6952" spans="1:1">
      <c r="A6952" s="1" t="s">
        <v>2516</v>
      </c>
    </row>
    <row r="6953" spans="1:1">
      <c r="A6953" s="1" t="s">
        <v>2517</v>
      </c>
    </row>
    <row r="6954" spans="1:1">
      <c r="A6954" s="1" t="s">
        <v>2518</v>
      </c>
    </row>
    <row r="6955" spans="1:1">
      <c r="A6955" s="1" t="s">
        <v>2519</v>
      </c>
    </row>
    <row r="6956" spans="1:1">
      <c r="A6956" s="1" t="s">
        <v>2520</v>
      </c>
    </row>
    <row r="6957" spans="1:1">
      <c r="A6957" s="1" t="s">
        <v>2521</v>
      </c>
    </row>
    <row r="6958" spans="1:1">
      <c r="A6958" s="1" t="s">
        <v>2522</v>
      </c>
    </row>
    <row r="6959" spans="1:1">
      <c r="A6959" s="1" t="s">
        <v>2523</v>
      </c>
    </row>
    <row r="6960" spans="1:1">
      <c r="A6960" s="1" t="s">
        <v>2524</v>
      </c>
    </row>
    <row r="6961" spans="1:1">
      <c r="A6961" s="1" t="s">
        <v>2525</v>
      </c>
    </row>
    <row r="6962" spans="1:1">
      <c r="A6962" s="1" t="s">
        <v>2526</v>
      </c>
    </row>
    <row r="6963" spans="1:1">
      <c r="A6963" s="1" t="s">
        <v>2527</v>
      </c>
    </row>
    <row r="6964" spans="1:1">
      <c r="A6964" s="1" t="s">
        <v>2528</v>
      </c>
    </row>
    <row r="6965" spans="1:1">
      <c r="A6965" s="1" t="s">
        <v>2529</v>
      </c>
    </row>
    <row r="6966" spans="1:1">
      <c r="A6966" s="1" t="s">
        <v>2530</v>
      </c>
    </row>
    <row r="6967" spans="1:1">
      <c r="A6967" s="1" t="s">
        <v>2531</v>
      </c>
    </row>
    <row r="6968" spans="1:1">
      <c r="A6968" s="1" t="s">
        <v>2532</v>
      </c>
    </row>
    <row r="6969" spans="1:1">
      <c r="A6969" s="1" t="s">
        <v>2533</v>
      </c>
    </row>
    <row r="6970" spans="1:1">
      <c r="A6970" s="1" t="s">
        <v>2534</v>
      </c>
    </row>
    <row r="6971" spans="1:1">
      <c r="A6971" s="1" t="s">
        <v>2535</v>
      </c>
    </row>
    <row r="6972" spans="1:1">
      <c r="A6972" s="1" t="s">
        <v>2536</v>
      </c>
    </row>
    <row r="6973" spans="1:1">
      <c r="A6973" s="1" t="s">
        <v>2537</v>
      </c>
    </row>
    <row r="6974" spans="1:1">
      <c r="A6974" s="1" t="s">
        <v>2538</v>
      </c>
    </row>
    <row r="6975" spans="1:1">
      <c r="A6975" s="1" t="s">
        <v>2539</v>
      </c>
    </row>
    <row r="6976" spans="1:1">
      <c r="A6976" s="1" t="s">
        <v>2540</v>
      </c>
    </row>
    <row r="6977" spans="1:1">
      <c r="A6977" s="1" t="s">
        <v>2541</v>
      </c>
    </row>
    <row r="6978" spans="1:1">
      <c r="A6978" s="1" t="s">
        <v>2542</v>
      </c>
    </row>
    <row r="6979" spans="1:1">
      <c r="A6979" s="1" t="s">
        <v>2543</v>
      </c>
    </row>
    <row r="6980" spans="1:1">
      <c r="A6980" s="1" t="s">
        <v>2544</v>
      </c>
    </row>
    <row r="6981" spans="1:1">
      <c r="A6981" s="1" t="s">
        <v>2545</v>
      </c>
    </row>
    <row r="6982" spans="1:1">
      <c r="A6982" s="1" t="s">
        <v>2546</v>
      </c>
    </row>
    <row r="6983" spans="1:1">
      <c r="A6983" s="1" t="s">
        <v>2547</v>
      </c>
    </row>
    <row r="6984" spans="1:1">
      <c r="A6984" s="1" t="s">
        <v>2548</v>
      </c>
    </row>
    <row r="6985" spans="1:1">
      <c r="A6985" s="1" t="s">
        <v>2549</v>
      </c>
    </row>
    <row r="6986" spans="1:1">
      <c r="A6986" s="1" t="s">
        <v>2550</v>
      </c>
    </row>
    <row r="6987" spans="1:1">
      <c r="A6987" s="1" t="s">
        <v>2551</v>
      </c>
    </row>
    <row r="6988" spans="1:1">
      <c r="A6988" s="1" t="s">
        <v>2552</v>
      </c>
    </row>
    <row r="6989" spans="1:1">
      <c r="A6989" s="1" t="s">
        <v>2553</v>
      </c>
    </row>
    <row r="6990" spans="1:1">
      <c r="A6990" s="1" t="s">
        <v>2554</v>
      </c>
    </row>
    <row r="6991" spans="1:1">
      <c r="A6991" s="1" t="s">
        <v>2555</v>
      </c>
    </row>
    <row r="6992" spans="1:1">
      <c r="A6992" s="1" t="s">
        <v>2556</v>
      </c>
    </row>
    <row r="6993" spans="1:1">
      <c r="A6993" s="1" t="s">
        <v>2557</v>
      </c>
    </row>
    <row r="6994" spans="1:1">
      <c r="A6994" s="1" t="s">
        <v>2558</v>
      </c>
    </row>
    <row r="6995" spans="1:1">
      <c r="A6995" s="1" t="s">
        <v>2559</v>
      </c>
    </row>
    <row r="6996" spans="1:1">
      <c r="A6996" s="1" t="s">
        <v>2560</v>
      </c>
    </row>
    <row r="6997" spans="1:1">
      <c r="A6997" s="1" t="s">
        <v>2560</v>
      </c>
    </row>
    <row r="6998" spans="1:1">
      <c r="A6998" s="1" t="s">
        <v>2561</v>
      </c>
    </row>
    <row r="6999" spans="1:1">
      <c r="A6999" s="1" t="s">
        <v>2562</v>
      </c>
    </row>
    <row r="7000" spans="1:1">
      <c r="A7000" s="1" t="s">
        <v>2563</v>
      </c>
    </row>
    <row r="7001" spans="1:1">
      <c r="A7001" s="1" t="s">
        <v>2564</v>
      </c>
    </row>
    <row r="7002" spans="1:1">
      <c r="A7002" s="1" t="s">
        <v>2565</v>
      </c>
    </row>
    <row r="7003" spans="1:1">
      <c r="A7003" s="1" t="s">
        <v>2566</v>
      </c>
    </row>
    <row r="7004" spans="1:1">
      <c r="A7004" s="1" t="s">
        <v>2560</v>
      </c>
    </row>
    <row r="7005" spans="1:1">
      <c r="A7005" s="1" t="s">
        <v>2560</v>
      </c>
    </row>
    <row r="7006" spans="1:1">
      <c r="A7006" s="1" t="s">
        <v>2560</v>
      </c>
    </row>
    <row r="7007" spans="1:1">
      <c r="A7007" s="1" t="s">
        <v>2561</v>
      </c>
    </row>
    <row r="7008" spans="1:1">
      <c r="A7008" s="1" t="s">
        <v>2562</v>
      </c>
    </row>
    <row r="7009" spans="1:1">
      <c r="A7009" s="1" t="s">
        <v>2563</v>
      </c>
    </row>
    <row r="7010" spans="1:1">
      <c r="A7010" s="1" t="s">
        <v>2564</v>
      </c>
    </row>
    <row r="7011" spans="1:1">
      <c r="A7011" s="1" t="s">
        <v>2565</v>
      </c>
    </row>
    <row r="7012" spans="1:1">
      <c r="A7012" s="1" t="s">
        <v>2567</v>
      </c>
    </row>
    <row r="7013" spans="1:1">
      <c r="A7013" s="1" t="s">
        <v>2568</v>
      </c>
    </row>
    <row r="7014" spans="1:1">
      <c r="A7014" s="1" t="s">
        <v>2568</v>
      </c>
    </row>
    <row r="7015" spans="1:1">
      <c r="A7015" s="1" t="s">
        <v>2568</v>
      </c>
    </row>
    <row r="7016" spans="1:1">
      <c r="A7016" s="1" t="s">
        <v>2569</v>
      </c>
    </row>
    <row r="7017" spans="1:1">
      <c r="A7017" s="1" t="s">
        <v>2570</v>
      </c>
    </row>
    <row r="7018" spans="1:1">
      <c r="A7018" s="1" t="s">
        <v>2571</v>
      </c>
    </row>
    <row r="7019" spans="1:1">
      <c r="A7019" s="1" t="s">
        <v>2572</v>
      </c>
    </row>
    <row r="7020" spans="1:1">
      <c r="A7020" s="1" t="s">
        <v>2573</v>
      </c>
    </row>
    <row r="7021" spans="1:1">
      <c r="A7021" s="1" t="s">
        <v>2574</v>
      </c>
    </row>
    <row r="7022" spans="1:1">
      <c r="A7022" s="1" t="s">
        <v>2575</v>
      </c>
    </row>
    <row r="7023" spans="1:1">
      <c r="A7023" s="1" t="s">
        <v>2575</v>
      </c>
    </row>
    <row r="7024" spans="1:1">
      <c r="A7024" s="1" t="s">
        <v>2575</v>
      </c>
    </row>
    <row r="7025" spans="1:1">
      <c r="A7025" s="1" t="s">
        <v>2576</v>
      </c>
    </row>
    <row r="7026" spans="1:1">
      <c r="A7026" s="1" t="s">
        <v>2577</v>
      </c>
    </row>
    <row r="7027" spans="1:1">
      <c r="A7027" s="1" t="s">
        <v>2578</v>
      </c>
    </row>
    <row r="7028" spans="1:1">
      <c r="A7028" s="1" t="s">
        <v>2579</v>
      </c>
    </row>
    <row r="7029" spans="1:1">
      <c r="A7029" s="1" t="s">
        <v>2580</v>
      </c>
    </row>
    <row r="7030" spans="1:1">
      <c r="A7030" s="1" t="s">
        <v>2581</v>
      </c>
    </row>
    <row r="7031" spans="1:1">
      <c r="A7031" s="1" t="s">
        <v>2582</v>
      </c>
    </row>
    <row r="7032" spans="1:1">
      <c r="A7032" s="1" t="s">
        <v>2582</v>
      </c>
    </row>
    <row r="7033" spans="1:1">
      <c r="A7033" s="1" t="s">
        <v>2582</v>
      </c>
    </row>
    <row r="7034" spans="1:1">
      <c r="A7034" s="1" t="s">
        <v>2583</v>
      </c>
    </row>
    <row r="7035" spans="1:1">
      <c r="A7035" s="1" t="s">
        <v>2584</v>
      </c>
    </row>
    <row r="7036" spans="1:1">
      <c r="A7036" s="1" t="s">
        <v>2578</v>
      </c>
    </row>
    <row r="7037" spans="1:1">
      <c r="A7037" s="1" t="s">
        <v>2579</v>
      </c>
    </row>
    <row r="7038" spans="1:1">
      <c r="A7038" s="1" t="s">
        <v>2580</v>
      </c>
    </row>
    <row r="7039" spans="1:1">
      <c r="A7039" s="1" t="s">
        <v>2581</v>
      </c>
    </row>
    <row r="7040" spans="1:1">
      <c r="A7040" s="1" t="s">
        <v>2582</v>
      </c>
    </row>
    <row r="7041" spans="1:1">
      <c r="A7041" s="1" t="s">
        <v>2582</v>
      </c>
    </row>
    <row r="7042" spans="1:1">
      <c r="A7042" s="1" t="s">
        <v>2582</v>
      </c>
    </row>
    <row r="7043" spans="1:1">
      <c r="A7043" s="1" t="s">
        <v>2583</v>
      </c>
    </row>
    <row r="7044" spans="1:1">
      <c r="A7044" s="1" t="s">
        <v>2584</v>
      </c>
    </row>
    <row r="7045" spans="1:1">
      <c r="A7045" s="1" t="s">
        <v>2578</v>
      </c>
    </row>
    <row r="7046" spans="1:1">
      <c r="A7046" s="1" t="s">
        <v>2579</v>
      </c>
    </row>
    <row r="7047" spans="1:1">
      <c r="A7047" s="1" t="s">
        <v>2580</v>
      </c>
    </row>
    <row r="7048" spans="1:1">
      <c r="A7048" s="1" t="s">
        <v>2581</v>
      </c>
    </row>
    <row r="7049" spans="1:1">
      <c r="A7049" s="1" t="s">
        <v>2582</v>
      </c>
    </row>
    <row r="7050" spans="1:1">
      <c r="A7050" s="1" t="s">
        <v>2585</v>
      </c>
    </row>
    <row r="7051" spans="1:1">
      <c r="A7051" s="1" t="s">
        <v>2586</v>
      </c>
    </row>
    <row r="7052" spans="1:1">
      <c r="A7052" s="1" t="s">
        <v>2587</v>
      </c>
    </row>
    <row r="7053" spans="1:1">
      <c r="A7053" s="1" t="s">
        <v>2588</v>
      </c>
    </row>
    <row r="7054" spans="1:1">
      <c r="A7054" s="1" t="s">
        <v>2589</v>
      </c>
    </row>
    <row r="7055" spans="1:1">
      <c r="A7055" s="1" t="s">
        <v>2590</v>
      </c>
    </row>
    <row r="7056" spans="1:1">
      <c r="A7056" s="1" t="s">
        <v>2591</v>
      </c>
    </row>
    <row r="7057" spans="1:1">
      <c r="A7057" s="1" t="s">
        <v>2592</v>
      </c>
    </row>
    <row r="7058" spans="1:1">
      <c r="A7058" s="1" t="s">
        <v>2593</v>
      </c>
    </row>
    <row r="7059" spans="1:1">
      <c r="A7059" s="1" t="s">
        <v>2594</v>
      </c>
    </row>
    <row r="7060" spans="1:1">
      <c r="A7060" s="1" t="s">
        <v>2595</v>
      </c>
    </row>
    <row r="7061" spans="1:1">
      <c r="A7061" s="1" t="s">
        <v>2596</v>
      </c>
    </row>
    <row r="7062" spans="1:1">
      <c r="A7062" s="1" t="s">
        <v>2596</v>
      </c>
    </row>
    <row r="7063" spans="1:1">
      <c r="A7063" s="1" t="s">
        <v>2597</v>
      </c>
    </row>
    <row r="7064" spans="1:1">
      <c r="A7064" s="1" t="s">
        <v>2598</v>
      </c>
    </row>
    <row r="7065" spans="1:1">
      <c r="A7065" s="1" t="s">
        <v>2599</v>
      </c>
    </row>
    <row r="7066" spans="1:1">
      <c r="A7066" s="1" t="s">
        <v>2600</v>
      </c>
    </row>
    <row r="7067" spans="1:1">
      <c r="A7067" s="1" t="s">
        <v>2601</v>
      </c>
    </row>
    <row r="7068" spans="1:1">
      <c r="A7068" s="1" t="s">
        <v>2602</v>
      </c>
    </row>
    <row r="7069" spans="1:1">
      <c r="A7069" s="1" t="s">
        <v>2596</v>
      </c>
    </row>
    <row r="7070" spans="1:1">
      <c r="A7070" s="1" t="s">
        <v>2596</v>
      </c>
    </row>
    <row r="7071" spans="1:1">
      <c r="A7071" s="1" t="s">
        <v>2596</v>
      </c>
    </row>
    <row r="7072" spans="1:1">
      <c r="A7072" s="1" t="s">
        <v>2597</v>
      </c>
    </row>
    <row r="7073" spans="1:1">
      <c r="A7073" s="1" t="s">
        <v>2598</v>
      </c>
    </row>
    <row r="7074" spans="1:1">
      <c r="A7074" s="1" t="s">
        <v>2599</v>
      </c>
    </row>
    <row r="7075" spans="1:1">
      <c r="A7075" s="1" t="s">
        <v>2600</v>
      </c>
    </row>
    <row r="7076" spans="1:1">
      <c r="A7076" s="1" t="s">
        <v>2601</v>
      </c>
    </row>
    <row r="7077" spans="1:1">
      <c r="A7077" s="1" t="s">
        <v>2603</v>
      </c>
    </row>
    <row r="7078" spans="1:1">
      <c r="A7078" s="1" t="s">
        <v>2604</v>
      </c>
    </row>
    <row r="7079" spans="1:1">
      <c r="A7079" s="1" t="s">
        <v>2605</v>
      </c>
    </row>
    <row r="7080" spans="1:1">
      <c r="A7080" s="1" t="s">
        <v>2605</v>
      </c>
    </row>
    <row r="7081" spans="1:1">
      <c r="A7081" s="1" t="s">
        <v>2606</v>
      </c>
    </row>
    <row r="7082" spans="1:1">
      <c r="A7082" s="1" t="s">
        <v>2607</v>
      </c>
    </row>
    <row r="7083" spans="1:1">
      <c r="A7083" s="1" t="s">
        <v>2608</v>
      </c>
    </row>
    <row r="7084" spans="1:1">
      <c r="A7084" s="1" t="s">
        <v>2609</v>
      </c>
    </row>
    <row r="7085" spans="1:1">
      <c r="A7085" s="1" t="s">
        <v>2610</v>
      </c>
    </row>
    <row r="7086" spans="1:1">
      <c r="A7086" s="1" t="s">
        <v>2611</v>
      </c>
    </row>
    <row r="7087" spans="1:1">
      <c r="A7087" s="1" t="s">
        <v>2612</v>
      </c>
    </row>
    <row r="7088" spans="1:1">
      <c r="A7088" s="1" t="s">
        <v>2612</v>
      </c>
    </row>
    <row r="7089" spans="1:1">
      <c r="A7089" s="1" t="s">
        <v>2612</v>
      </c>
    </row>
    <row r="7090" spans="1:1">
      <c r="A7090" s="1" t="s">
        <v>2613</v>
      </c>
    </row>
    <row r="7091" spans="1:1">
      <c r="A7091" s="1" t="s">
        <v>2614</v>
      </c>
    </row>
    <row r="7092" spans="1:1">
      <c r="A7092" s="1" t="s">
        <v>2615</v>
      </c>
    </row>
    <row r="7093" spans="1:1">
      <c r="A7093" s="1" t="s">
        <v>2616</v>
      </c>
    </row>
    <row r="7094" spans="1:1">
      <c r="A7094" s="1" t="s">
        <v>2617</v>
      </c>
    </row>
    <row r="7095" spans="1:1">
      <c r="A7095" s="1" t="s">
        <v>2618</v>
      </c>
    </row>
    <row r="7096" spans="1:1">
      <c r="A7096" s="1" t="s">
        <v>2619</v>
      </c>
    </row>
    <row r="7097" spans="1:1">
      <c r="A7097" s="1" t="s">
        <v>2620</v>
      </c>
    </row>
    <row r="7098" spans="1:1">
      <c r="A7098" s="1" t="s">
        <v>2620</v>
      </c>
    </row>
    <row r="7099" spans="1:1">
      <c r="A7099" s="1" t="s">
        <v>2621</v>
      </c>
    </row>
    <row r="7100" spans="1:1">
      <c r="A7100" s="1" t="s">
        <v>2622</v>
      </c>
    </row>
    <row r="7101" spans="1:1">
      <c r="A7101" s="1" t="s">
        <v>2623</v>
      </c>
    </row>
    <row r="7102" spans="1:1">
      <c r="A7102" s="1" t="s">
        <v>2624</v>
      </c>
    </row>
    <row r="7103" spans="1:1">
      <c r="A7103" s="1" t="s">
        <v>2625</v>
      </c>
    </row>
    <row r="7104" spans="1:1">
      <c r="A7104" s="1" t="s">
        <v>2626</v>
      </c>
    </row>
    <row r="7105" spans="1:1">
      <c r="A7105" s="1" t="s">
        <v>2620</v>
      </c>
    </row>
    <row r="7106" spans="1:1">
      <c r="A7106" s="1" t="s">
        <v>2620</v>
      </c>
    </row>
    <row r="7107" spans="1:1">
      <c r="A7107" s="1" t="s">
        <v>2620</v>
      </c>
    </row>
    <row r="7108" spans="1:1">
      <c r="A7108" s="1" t="s">
        <v>2621</v>
      </c>
    </row>
    <row r="7109" spans="1:1">
      <c r="A7109" s="1" t="s">
        <v>2622</v>
      </c>
    </row>
    <row r="7110" spans="1:1">
      <c r="A7110" s="1" t="s">
        <v>2623</v>
      </c>
    </row>
    <row r="7111" spans="1:1">
      <c r="A7111" s="1" t="s">
        <v>2624</v>
      </c>
    </row>
    <row r="7112" spans="1:1">
      <c r="A7112" s="1" t="s">
        <v>2625</v>
      </c>
    </row>
    <row r="7113" spans="1:1">
      <c r="A7113" s="1" t="s">
        <v>2626</v>
      </c>
    </row>
    <row r="7114" spans="1:1">
      <c r="A7114" s="1" t="s">
        <v>2620</v>
      </c>
    </row>
    <row r="7115" spans="1:1">
      <c r="A7115" s="1" t="s">
        <v>2627</v>
      </c>
    </row>
    <row r="7116" spans="1:1">
      <c r="A7116" s="1" t="s">
        <v>2628</v>
      </c>
    </row>
    <row r="7117" spans="1:1">
      <c r="A7117" s="1" t="s">
        <v>2629</v>
      </c>
    </row>
    <row r="7118" spans="1:1">
      <c r="A7118" s="1" t="s">
        <v>2630</v>
      </c>
    </row>
    <row r="7119" spans="1:1">
      <c r="A7119" s="1" t="s">
        <v>2631</v>
      </c>
    </row>
    <row r="7120" spans="1:1">
      <c r="A7120" s="1" t="s">
        <v>2632</v>
      </c>
    </row>
    <row r="7121" spans="1:1">
      <c r="A7121" s="1" t="s">
        <v>2631</v>
      </c>
    </row>
    <row r="7122" spans="1:1">
      <c r="A7122" s="1" t="s">
        <v>2632</v>
      </c>
    </row>
    <row r="7123" spans="1:1">
      <c r="A7123" s="1" t="s">
        <v>2633</v>
      </c>
    </row>
    <row r="7124" spans="1:1">
      <c r="A7124" s="1" t="s">
        <v>2634</v>
      </c>
    </row>
    <row r="7125" spans="1:1">
      <c r="A7125" s="1" t="s">
        <v>2635</v>
      </c>
    </row>
    <row r="7126" spans="1:1">
      <c r="A7126" s="1" t="s">
        <v>2636</v>
      </c>
    </row>
    <row r="7127" spans="1:1">
      <c r="A7127" s="1" t="s">
        <v>2637</v>
      </c>
    </row>
    <row r="7128" spans="1:1">
      <c r="A7128" s="1" t="s">
        <v>2638</v>
      </c>
    </row>
    <row r="7129" spans="1:1">
      <c r="A7129" s="1" t="s">
        <v>2639</v>
      </c>
    </row>
    <row r="7130" spans="1:1">
      <c r="A7130" s="1" t="s">
        <v>2640</v>
      </c>
    </row>
    <row r="7131" spans="1:1">
      <c r="A7131" s="1" t="s">
        <v>2641</v>
      </c>
    </row>
    <row r="7132" spans="1:1">
      <c r="A7132" s="1" t="s">
        <v>2642</v>
      </c>
    </row>
    <row r="7133" spans="1:1">
      <c r="A7133" s="1" t="s">
        <v>2641</v>
      </c>
    </row>
    <row r="7134" spans="1:1">
      <c r="A7134" s="1" t="s">
        <v>2642</v>
      </c>
    </row>
    <row r="7135" spans="1:1">
      <c r="A7135" s="1" t="s">
        <v>2643</v>
      </c>
    </row>
    <row r="7136" spans="1:1">
      <c r="A7136" s="1" t="s">
        <v>2644</v>
      </c>
    </row>
    <row r="7137" spans="1:1">
      <c r="A7137" s="1" t="s">
        <v>2645</v>
      </c>
    </row>
    <row r="7138" spans="1:1">
      <c r="A7138" s="1" t="s">
        <v>2646</v>
      </c>
    </row>
    <row r="7139" spans="1:1">
      <c r="A7139" s="1" t="s">
        <v>2647</v>
      </c>
    </row>
    <row r="7140" spans="1:1">
      <c r="A7140" s="1" t="s">
        <v>2648</v>
      </c>
    </row>
    <row r="7141" spans="1:1">
      <c r="A7141" s="1" t="s">
        <v>2649</v>
      </c>
    </row>
    <row r="7142" spans="1:1">
      <c r="A7142" s="1" t="s">
        <v>2650</v>
      </c>
    </row>
    <row r="7143" spans="1:1">
      <c r="A7143" s="1" t="s">
        <v>2651</v>
      </c>
    </row>
    <row r="7144" spans="1:1">
      <c r="A7144" s="1" t="s">
        <v>2652</v>
      </c>
    </row>
    <row r="7145" spans="1:1">
      <c r="A7145" s="1" t="s">
        <v>2653</v>
      </c>
    </row>
    <row r="7146" spans="1:1">
      <c r="A7146" s="1" t="s">
        <v>2654</v>
      </c>
    </row>
    <row r="7147" spans="1:1">
      <c r="A7147" s="1" t="s">
        <v>2655</v>
      </c>
    </row>
    <row r="7148" spans="1:1">
      <c r="A7148" s="1" t="s">
        <v>2656</v>
      </c>
    </row>
    <row r="7149" spans="1:1">
      <c r="A7149" s="1" t="s">
        <v>2657</v>
      </c>
    </row>
    <row r="7150" spans="1:1">
      <c r="A7150" s="1" t="s">
        <v>2658</v>
      </c>
    </row>
    <row r="7151" spans="1:1">
      <c r="A7151" s="1" t="s">
        <v>2659</v>
      </c>
    </row>
    <row r="7152" spans="1:1">
      <c r="A7152" s="1" t="s">
        <v>2660</v>
      </c>
    </row>
    <row r="7153" spans="1:1">
      <c r="A7153" s="1" t="s">
        <v>2661</v>
      </c>
    </row>
    <row r="7154" spans="1:1">
      <c r="A7154" s="1" t="s">
        <v>2662</v>
      </c>
    </row>
    <row r="7155" spans="1:1">
      <c r="A7155" s="1" t="s">
        <v>2663</v>
      </c>
    </row>
    <row r="7156" spans="1:1">
      <c r="A7156" s="1" t="s">
        <v>2664</v>
      </c>
    </row>
    <row r="7157" spans="1:1">
      <c r="A7157" s="1" t="s">
        <v>2665</v>
      </c>
    </row>
    <row r="7158" spans="1:1">
      <c r="A7158" s="1" t="s">
        <v>2666</v>
      </c>
    </row>
    <row r="7159" spans="1:1">
      <c r="A7159" s="1" t="s">
        <v>2667</v>
      </c>
    </row>
    <row r="7160" spans="1:1">
      <c r="A7160" s="1" t="s">
        <v>2668</v>
      </c>
    </row>
    <row r="7161" spans="1:1">
      <c r="A7161" s="1" t="s">
        <v>2669</v>
      </c>
    </row>
    <row r="7162" spans="1:1">
      <c r="A7162" s="1" t="s">
        <v>2670</v>
      </c>
    </row>
    <row r="7163" spans="1:1">
      <c r="A7163" s="1" t="s">
        <v>2671</v>
      </c>
    </row>
    <row r="7164" spans="1:1">
      <c r="A7164" s="1" t="s">
        <v>2672</v>
      </c>
    </row>
    <row r="7165" spans="1:1">
      <c r="A7165" s="1" t="s">
        <v>2673</v>
      </c>
    </row>
    <row r="7166" spans="1:1">
      <c r="A7166" s="1" t="s">
        <v>2674</v>
      </c>
    </row>
    <row r="7167" spans="1:1">
      <c r="A7167" s="1" t="s">
        <v>2675</v>
      </c>
    </row>
    <row r="7168" spans="1:1">
      <c r="A7168" s="1" t="s">
        <v>2676</v>
      </c>
    </row>
    <row r="7169" spans="1:1">
      <c r="A7169" s="1" t="s">
        <v>2677</v>
      </c>
    </row>
    <row r="7170" spans="1:1">
      <c r="A7170" s="1" t="s">
        <v>2678</v>
      </c>
    </row>
    <row r="7171" spans="1:1">
      <c r="A7171" s="1" t="s">
        <v>2679</v>
      </c>
    </row>
    <row r="7172" spans="1:1">
      <c r="A7172" s="1" t="s">
        <v>2680</v>
      </c>
    </row>
    <row r="7173" spans="1:1">
      <c r="A7173" s="1" t="s">
        <v>2681</v>
      </c>
    </row>
    <row r="7174" spans="1:1">
      <c r="A7174" s="1" t="s">
        <v>2682</v>
      </c>
    </row>
    <row r="7175" spans="1:1">
      <c r="A7175" s="1" t="s">
        <v>2683</v>
      </c>
    </row>
    <row r="7176" spans="1:1">
      <c r="A7176" s="1" t="s">
        <v>2684</v>
      </c>
    </row>
    <row r="7177" spans="1:1">
      <c r="A7177" s="1" t="s">
        <v>2685</v>
      </c>
    </row>
    <row r="7178" spans="1:1">
      <c r="A7178" s="1" t="s">
        <v>2686</v>
      </c>
    </row>
    <row r="7179" spans="1:1">
      <c r="A7179" s="1" t="s">
        <v>2687</v>
      </c>
    </row>
    <row r="7180" spans="1:1">
      <c r="A7180" s="1" t="s">
        <v>2688</v>
      </c>
    </row>
    <row r="7181" spans="1:1">
      <c r="A7181" s="1" t="s">
        <v>2689</v>
      </c>
    </row>
    <row r="7182" spans="1:1">
      <c r="A7182" s="1" t="s">
        <v>2690</v>
      </c>
    </row>
    <row r="7183" spans="1:1">
      <c r="A7183" s="1" t="s">
        <v>2691</v>
      </c>
    </row>
    <row r="7184" spans="1:1">
      <c r="A7184" s="1" t="s">
        <v>2692</v>
      </c>
    </row>
    <row r="7185" spans="1:1">
      <c r="A7185" s="1" t="s">
        <v>2693</v>
      </c>
    </row>
    <row r="7186" spans="1:1">
      <c r="A7186" s="1" t="s">
        <v>2694</v>
      </c>
    </row>
    <row r="7187" spans="1:1">
      <c r="A7187" s="1" t="s">
        <v>2695</v>
      </c>
    </row>
    <row r="7188" spans="1:1">
      <c r="A7188" s="1" t="s">
        <v>2696</v>
      </c>
    </row>
    <row r="7189" spans="1:1">
      <c r="A7189" s="1" t="s">
        <v>2697</v>
      </c>
    </row>
    <row r="7190" spans="1:1">
      <c r="A7190" s="1" t="s">
        <v>2698</v>
      </c>
    </row>
    <row r="7191" spans="1:1">
      <c r="A7191" s="1" t="s">
        <v>2699</v>
      </c>
    </row>
    <row r="7192" spans="1:1">
      <c r="A7192" s="1" t="s">
        <v>2700</v>
      </c>
    </row>
    <row r="7193" spans="1:1">
      <c r="A7193" s="1" t="s">
        <v>2701</v>
      </c>
    </row>
    <row r="7194" spans="1:1">
      <c r="A7194" s="1" t="s">
        <v>2702</v>
      </c>
    </row>
    <row r="7195" spans="1:1">
      <c r="A7195" s="1" t="s">
        <v>2703</v>
      </c>
    </row>
    <row r="7196" spans="1:1">
      <c r="A7196" s="1" t="s">
        <v>2704</v>
      </c>
    </row>
    <row r="7197" spans="1:1">
      <c r="A7197" s="1" t="s">
        <v>2708</v>
      </c>
    </row>
    <row r="7198" spans="1:1">
      <c r="A7198" s="1" t="s">
        <v>2709</v>
      </c>
    </row>
    <row r="7199" spans="1:1">
      <c r="A7199" s="1" t="s">
        <v>2710</v>
      </c>
    </row>
    <row r="7200" spans="1:1">
      <c r="A7200" s="1" t="s">
        <v>2711</v>
      </c>
    </row>
    <row r="7201" spans="1:1">
      <c r="A7201" s="1" t="s">
        <v>2710</v>
      </c>
    </row>
    <row r="7202" spans="1:1">
      <c r="A7202" s="1" t="s">
        <v>2711</v>
      </c>
    </row>
    <row r="7203" spans="1:1">
      <c r="A7203" s="1" t="s">
        <v>2712</v>
      </c>
    </row>
    <row r="7204" spans="1:1">
      <c r="A7204" s="1" t="s">
        <v>2713</v>
      </c>
    </row>
    <row r="7205" spans="1:1">
      <c r="A7205" s="1" t="s">
        <v>2712</v>
      </c>
    </row>
    <row r="7206" spans="1:1">
      <c r="A7206" s="1" t="s">
        <v>2713</v>
      </c>
    </row>
    <row r="7207" spans="1:1">
      <c r="A7207" s="1" t="s">
        <v>2714</v>
      </c>
    </row>
    <row r="7208" spans="1:1">
      <c r="A7208" s="1" t="s">
        <v>2715</v>
      </c>
    </row>
    <row r="7209" spans="1:1">
      <c r="A7209" s="1" t="s">
        <v>2716</v>
      </c>
    </row>
    <row r="7210" spans="1:1">
      <c r="A7210" s="1" t="s">
        <v>2717</v>
      </c>
    </row>
    <row r="7211" spans="1:1">
      <c r="A7211" s="1" t="s">
        <v>2718</v>
      </c>
    </row>
    <row r="7212" spans="1:1">
      <c r="A7212" s="1" t="s">
        <v>2719</v>
      </c>
    </row>
    <row r="7213" spans="1:1">
      <c r="A7213" s="1" t="s">
        <v>2720</v>
      </c>
    </row>
    <row r="7214" spans="1:1">
      <c r="A7214" s="1" t="s">
        <v>2721</v>
      </c>
    </row>
    <row r="7215" spans="1:1">
      <c r="A7215" s="1" t="s">
        <v>2720</v>
      </c>
    </row>
    <row r="7216" spans="1:1">
      <c r="A7216" s="1" t="s">
        <v>2721</v>
      </c>
    </row>
    <row r="7217" spans="1:1">
      <c r="A7217" s="1" t="s">
        <v>2722</v>
      </c>
    </row>
    <row r="7218" spans="1:1">
      <c r="A7218" s="1" t="s">
        <v>2723</v>
      </c>
    </row>
    <row r="7219" spans="1:1">
      <c r="A7219" s="1" t="s">
        <v>2724</v>
      </c>
    </row>
    <row r="7220" spans="1:1">
      <c r="A7220" s="1" t="s">
        <v>2725</v>
      </c>
    </row>
    <row r="7221" spans="1:1">
      <c r="A7221" s="1" t="s">
        <v>2726</v>
      </c>
    </row>
    <row r="7222" spans="1:1">
      <c r="A7222" s="1" t="s">
        <v>2727</v>
      </c>
    </row>
    <row r="7223" spans="1:1">
      <c r="A7223" s="1" t="s">
        <v>2728</v>
      </c>
    </row>
    <row r="7224" spans="1:1">
      <c r="A7224" s="1" t="s">
        <v>2729</v>
      </c>
    </row>
    <row r="7225" spans="1:1">
      <c r="A7225" s="1" t="s">
        <v>2730</v>
      </c>
    </row>
    <row r="7226" spans="1:1">
      <c r="A7226" s="1" t="s">
        <v>2731</v>
      </c>
    </row>
    <row r="7227" spans="1:1">
      <c r="A7227" s="1" t="s">
        <v>2732</v>
      </c>
    </row>
    <row r="7228" spans="1:1">
      <c r="A7228" s="1" t="s">
        <v>2733</v>
      </c>
    </row>
    <row r="7229" spans="1:1">
      <c r="A7229" s="1" t="s">
        <v>2732</v>
      </c>
    </row>
    <row r="7230" spans="1:1">
      <c r="A7230" s="1" t="s">
        <v>2733</v>
      </c>
    </row>
    <row r="7231" spans="1:1">
      <c r="A7231" s="1" t="s">
        <v>2734</v>
      </c>
    </row>
    <row r="7232" spans="1:1">
      <c r="A7232" s="1" t="s">
        <v>2735</v>
      </c>
    </row>
    <row r="7233" spans="1:1">
      <c r="A7233" s="1" t="s">
        <v>2736</v>
      </c>
    </row>
    <row r="7234" spans="1:1">
      <c r="A7234" s="1" t="s">
        <v>2737</v>
      </c>
    </row>
    <row r="7235" spans="1:1">
      <c r="A7235" s="1" t="s">
        <v>2738</v>
      </c>
    </row>
    <row r="7236" spans="1:1">
      <c r="A7236" s="1" t="s">
        <v>2739</v>
      </c>
    </row>
    <row r="7237" spans="1:1">
      <c r="A7237" s="1" t="s">
        <v>2744</v>
      </c>
    </row>
    <row r="7238" spans="1:1">
      <c r="A7238" s="1" t="s">
        <v>2745</v>
      </c>
    </row>
    <row r="7239" spans="1:1">
      <c r="A7239" s="1" t="s">
        <v>2746</v>
      </c>
    </row>
    <row r="7240" spans="1:1">
      <c r="A7240" s="1" t="s">
        <v>2747</v>
      </c>
    </row>
    <row r="7241" spans="1:1">
      <c r="A7241" s="1" t="s">
        <v>2748</v>
      </c>
    </row>
    <row r="7242" spans="1:1">
      <c r="A7242" s="1" t="s">
        <v>2749</v>
      </c>
    </row>
    <row r="7243" spans="1:1">
      <c r="A7243" s="1" t="s">
        <v>2750</v>
      </c>
    </row>
    <row r="7244" spans="1:1">
      <c r="A7244" s="1" t="s">
        <v>2751</v>
      </c>
    </row>
    <row r="7245" spans="1:1">
      <c r="A7245" s="1" t="s">
        <v>2752</v>
      </c>
    </row>
    <row r="7246" spans="1:1">
      <c r="A7246" s="1" t="s">
        <v>2753</v>
      </c>
    </row>
    <row r="7247" spans="1:1">
      <c r="A7247" s="1" t="s">
        <v>2754</v>
      </c>
    </row>
    <row r="7248" spans="1:1">
      <c r="A7248" s="1" t="s">
        <v>2755</v>
      </c>
    </row>
    <row r="7249" spans="1:1">
      <c r="A7249" s="1" t="s">
        <v>2756</v>
      </c>
    </row>
    <row r="7250" spans="1:1">
      <c r="A7250" s="1" t="s">
        <v>2757</v>
      </c>
    </row>
    <row r="7251" spans="1:1">
      <c r="A7251" s="1" t="s">
        <v>2758</v>
      </c>
    </row>
    <row r="7252" spans="1:1">
      <c r="A7252" s="1" t="s">
        <v>2759</v>
      </c>
    </row>
    <row r="7253" spans="1:1">
      <c r="A7253" s="1" t="s">
        <v>2760</v>
      </c>
    </row>
    <row r="7254" spans="1:1">
      <c r="A7254" s="1" t="s">
        <v>2761</v>
      </c>
    </row>
    <row r="7255" spans="1:1">
      <c r="A7255" s="1" t="s">
        <v>2762</v>
      </c>
    </row>
    <row r="7256" spans="1:1">
      <c r="A7256" s="1" t="s">
        <v>2763</v>
      </c>
    </row>
    <row r="7257" spans="1:1">
      <c r="A7257" s="1" t="s">
        <v>2764</v>
      </c>
    </row>
    <row r="7258" spans="1:1">
      <c r="A7258" s="1" t="s">
        <v>2765</v>
      </c>
    </row>
    <row r="7259" spans="1:1">
      <c r="A7259" s="1" t="s">
        <v>2766</v>
      </c>
    </row>
    <row r="7260" spans="1:1">
      <c r="A7260" s="1" t="s">
        <v>2767</v>
      </c>
    </row>
    <row r="7261" spans="1:1">
      <c r="A7261" s="1" t="s">
        <v>2766</v>
      </c>
    </row>
    <row r="7262" spans="1:1">
      <c r="A7262" s="1" t="s">
        <v>2767</v>
      </c>
    </row>
    <row r="7263" spans="1:1">
      <c r="A7263" s="1" t="s">
        <v>2768</v>
      </c>
    </row>
    <row r="7264" spans="1:1">
      <c r="A7264" s="1" t="s">
        <v>2769</v>
      </c>
    </row>
    <row r="7265" spans="1:1">
      <c r="A7265" s="1" t="s">
        <v>2770</v>
      </c>
    </row>
    <row r="7266" spans="1:1">
      <c r="A7266" s="1" t="s">
        <v>2771</v>
      </c>
    </row>
    <row r="7267" spans="1:1">
      <c r="A7267" s="1" t="s">
        <v>2772</v>
      </c>
    </row>
    <row r="7268" spans="1:1">
      <c r="A7268" s="1" t="s">
        <v>2773</v>
      </c>
    </row>
    <row r="7269" spans="1:1">
      <c r="A7269" s="1" t="s">
        <v>2774</v>
      </c>
    </row>
    <row r="7270" spans="1:1">
      <c r="A7270" s="1" t="s">
        <v>2775</v>
      </c>
    </row>
    <row r="7271" spans="1:1">
      <c r="A7271" s="1" t="s">
        <v>2776</v>
      </c>
    </row>
    <row r="7272" spans="1:1">
      <c r="A7272" s="1" t="s">
        <v>2777</v>
      </c>
    </row>
    <row r="7273" spans="1:1">
      <c r="A7273" s="1" t="s">
        <v>2778</v>
      </c>
    </row>
    <row r="7274" spans="1:1">
      <c r="A7274" s="1" t="s">
        <v>2779</v>
      </c>
    </row>
    <row r="7275" spans="1:1">
      <c r="A7275" s="1" t="s">
        <v>2778</v>
      </c>
    </row>
    <row r="7276" spans="1:1">
      <c r="A7276" s="1" t="s">
        <v>2779</v>
      </c>
    </row>
    <row r="7277" spans="1:1">
      <c r="A7277" s="1" t="s">
        <v>2780</v>
      </c>
    </row>
    <row r="7278" spans="1:1">
      <c r="A7278" s="1" t="s">
        <v>2781</v>
      </c>
    </row>
    <row r="7279" spans="1:1">
      <c r="A7279" s="1" t="s">
        <v>2782</v>
      </c>
    </row>
    <row r="7280" spans="1:1">
      <c r="A7280" s="1" t="s">
        <v>2783</v>
      </c>
    </row>
    <row r="7281" spans="1:1">
      <c r="A7281" s="1" t="s">
        <v>2784</v>
      </c>
    </row>
    <row r="7282" spans="1:1">
      <c r="A7282" s="1" t="s">
        <v>2785</v>
      </c>
    </row>
    <row r="7283" spans="1:1">
      <c r="A7283" s="1" t="s">
        <v>2786</v>
      </c>
    </row>
    <row r="7284" spans="1:1">
      <c r="A7284" s="1" t="s">
        <v>2787</v>
      </c>
    </row>
    <row r="7285" spans="1:1">
      <c r="A7285" s="1" t="s">
        <v>2788</v>
      </c>
    </row>
    <row r="7286" spans="1:1">
      <c r="A7286" s="1" t="s">
        <v>2789</v>
      </c>
    </row>
    <row r="7287" spans="1:1">
      <c r="A7287" s="1" t="s">
        <v>2788</v>
      </c>
    </row>
    <row r="7288" spans="1:1">
      <c r="A7288" s="1" t="s">
        <v>2789</v>
      </c>
    </row>
    <row r="7289" spans="1:1">
      <c r="A7289" s="1" t="s">
        <v>2790</v>
      </c>
    </row>
    <row r="7290" spans="1:1">
      <c r="A7290" s="1" t="s">
        <v>2791</v>
      </c>
    </row>
    <row r="7291" spans="1:1">
      <c r="A7291" s="1" t="s">
        <v>2792</v>
      </c>
    </row>
    <row r="7292" spans="1:1">
      <c r="A7292" s="1" t="s">
        <v>2793</v>
      </c>
    </row>
    <row r="7293" spans="1:1">
      <c r="A7293" s="1" t="s">
        <v>2792</v>
      </c>
    </row>
    <row r="7294" spans="1:1">
      <c r="A7294" s="1" t="s">
        <v>2793</v>
      </c>
    </row>
    <row r="7295" spans="1:1">
      <c r="A7295" s="1" t="s">
        <v>2794</v>
      </c>
    </row>
    <row r="7296" spans="1:1">
      <c r="A7296" s="1" t="s">
        <v>2795</v>
      </c>
    </row>
    <row r="7297" spans="1:1">
      <c r="A7297" s="1" t="s">
        <v>2796</v>
      </c>
    </row>
    <row r="7298" spans="1:1">
      <c r="A7298" s="1" t="s">
        <v>2797</v>
      </c>
    </row>
    <row r="7299" spans="1:1">
      <c r="A7299" s="1" t="s">
        <v>2798</v>
      </c>
    </row>
    <row r="7300" spans="1:1">
      <c r="A7300" s="1" t="s">
        <v>2799</v>
      </c>
    </row>
    <row r="7301" spans="1:1">
      <c r="A7301" s="1" t="s">
        <v>2800</v>
      </c>
    </row>
    <row r="7302" spans="1:1">
      <c r="A7302" s="1" t="s">
        <v>2801</v>
      </c>
    </row>
    <row r="7303" spans="1:1">
      <c r="A7303" s="1" t="s">
        <v>2802</v>
      </c>
    </row>
    <row r="7304" spans="1:1">
      <c r="A7304" s="1" t="s">
        <v>2803</v>
      </c>
    </row>
    <row r="7305" spans="1:1">
      <c r="A7305" s="1" t="s">
        <v>2804</v>
      </c>
    </row>
    <row r="7306" spans="1:1">
      <c r="A7306" s="1" t="s">
        <v>2805</v>
      </c>
    </row>
    <row r="7307" spans="1:1">
      <c r="A7307" s="1" t="s">
        <v>2806</v>
      </c>
    </row>
    <row r="7308" spans="1:1">
      <c r="A7308" s="1" t="s">
        <v>2807</v>
      </c>
    </row>
    <row r="7309" spans="1:1">
      <c r="A7309" s="1" t="s">
        <v>2808</v>
      </c>
    </row>
    <row r="7310" spans="1:1">
      <c r="A7310" s="1" t="s">
        <v>2809</v>
      </c>
    </row>
    <row r="7311" spans="1:1">
      <c r="A7311" s="1" t="s">
        <v>2808</v>
      </c>
    </row>
    <row r="7312" spans="1:1">
      <c r="A7312" s="1" t="s">
        <v>2809</v>
      </c>
    </row>
    <row r="7313" spans="1:1">
      <c r="A7313" s="1" t="s">
        <v>2810</v>
      </c>
    </row>
    <row r="7314" spans="1:1">
      <c r="A7314" s="1" t="s">
        <v>2811</v>
      </c>
    </row>
    <row r="7315" spans="1:1">
      <c r="A7315" s="1" t="s">
        <v>2812</v>
      </c>
    </row>
    <row r="7316" spans="1:1">
      <c r="A7316" s="1" t="s">
        <v>2813</v>
      </c>
    </row>
    <row r="7317" spans="1:1">
      <c r="A7317" s="1" t="s">
        <v>2814</v>
      </c>
    </row>
    <row r="7318" spans="1:1">
      <c r="A7318" s="1" t="s">
        <v>2815</v>
      </c>
    </row>
    <row r="7319" spans="1:1">
      <c r="A7319" s="1" t="s">
        <v>2816</v>
      </c>
    </row>
    <row r="7320" spans="1:1">
      <c r="A7320" s="1" t="s">
        <v>2817</v>
      </c>
    </row>
    <row r="7321" spans="1:1">
      <c r="A7321" s="1" t="s">
        <v>2818</v>
      </c>
    </row>
    <row r="7322" spans="1:1">
      <c r="A7322" s="1" t="s">
        <v>2819</v>
      </c>
    </row>
    <row r="7323" spans="1:1">
      <c r="A7323" s="1" t="s">
        <v>2820</v>
      </c>
    </row>
    <row r="7324" spans="1:1">
      <c r="A7324" s="1" t="s">
        <v>2821</v>
      </c>
    </row>
    <row r="7325" spans="1:1">
      <c r="A7325" s="1" t="s">
        <v>2822</v>
      </c>
    </row>
    <row r="7326" spans="1:1">
      <c r="A7326" s="1" t="s">
        <v>2823</v>
      </c>
    </row>
    <row r="7327" spans="1:1">
      <c r="A7327" s="1" t="s">
        <v>2824</v>
      </c>
    </row>
    <row r="7328" spans="1:1">
      <c r="A7328" s="1" t="s">
        <v>2825</v>
      </c>
    </row>
    <row r="7329" spans="1:1">
      <c r="A7329" s="1" t="s">
        <v>2826</v>
      </c>
    </row>
    <row r="7330" spans="1:1">
      <c r="A7330" s="1" t="s">
        <v>2827</v>
      </c>
    </row>
    <row r="7331" spans="1:1">
      <c r="A7331" s="1" t="s">
        <v>2828</v>
      </c>
    </row>
    <row r="7332" spans="1:1">
      <c r="A7332" s="1" t="s">
        <v>2829</v>
      </c>
    </row>
    <row r="7333" spans="1:1">
      <c r="A7333" s="1" t="s">
        <v>2830</v>
      </c>
    </row>
    <row r="7334" spans="1:1">
      <c r="A7334" s="1" t="s">
        <v>2831</v>
      </c>
    </row>
    <row r="7335" spans="1:1">
      <c r="A7335" s="1" t="s">
        <v>2832</v>
      </c>
    </row>
    <row r="7336" spans="1:1">
      <c r="A7336" s="1" t="s">
        <v>2833</v>
      </c>
    </row>
    <row r="7337" spans="1:1">
      <c r="A7337" s="1" t="s">
        <v>2834</v>
      </c>
    </row>
    <row r="7338" spans="1:1">
      <c r="A7338" s="1" t="s">
        <v>2835</v>
      </c>
    </row>
    <row r="7339" spans="1:1">
      <c r="A7339" s="1" t="s">
        <v>2836</v>
      </c>
    </row>
    <row r="7340" spans="1:1">
      <c r="A7340" s="1" t="s">
        <v>2837</v>
      </c>
    </row>
    <row r="7341" spans="1:1">
      <c r="A7341" s="1" t="s">
        <v>2838</v>
      </c>
    </row>
    <row r="7342" spans="1:1">
      <c r="A7342" s="1" t="s">
        <v>2839</v>
      </c>
    </row>
    <row r="7343" spans="1:1">
      <c r="A7343" s="1" t="s">
        <v>2840</v>
      </c>
    </row>
    <row r="7344" spans="1:1">
      <c r="A7344" s="1" t="s">
        <v>2841</v>
      </c>
    </row>
    <row r="7345" spans="1:1">
      <c r="A7345" s="1" t="s">
        <v>2842</v>
      </c>
    </row>
    <row r="7346" spans="1:1">
      <c r="A7346" s="1" t="s">
        <v>2843</v>
      </c>
    </row>
    <row r="7347" spans="1:1">
      <c r="A7347" s="1" t="s">
        <v>2844</v>
      </c>
    </row>
    <row r="7348" spans="1:1">
      <c r="A7348" s="1" t="s">
        <v>2845</v>
      </c>
    </row>
    <row r="7349" spans="1:1">
      <c r="A7349" s="1" t="s">
        <v>2846</v>
      </c>
    </row>
    <row r="7350" spans="1:1">
      <c r="A7350" s="1" t="s">
        <v>2847</v>
      </c>
    </row>
    <row r="7351" spans="1:1">
      <c r="A7351" s="1" t="s">
        <v>2848</v>
      </c>
    </row>
    <row r="7352" spans="1:1">
      <c r="A7352" s="1" t="s">
        <v>2849</v>
      </c>
    </row>
    <row r="7353" spans="1:1">
      <c r="A7353" s="1" t="s">
        <v>2850</v>
      </c>
    </row>
    <row r="7354" spans="1:1">
      <c r="A7354" s="1" t="s">
        <v>2851</v>
      </c>
    </row>
    <row r="7355" spans="1:1">
      <c r="A7355" s="1" t="s">
        <v>2852</v>
      </c>
    </row>
    <row r="7356" spans="1:1">
      <c r="A7356" s="1" t="s">
        <v>2853</v>
      </c>
    </row>
    <row r="7357" spans="1:1">
      <c r="A7357" s="1" t="s">
        <v>2854</v>
      </c>
    </row>
    <row r="7358" spans="1:1">
      <c r="A7358" s="1" t="s">
        <v>2855</v>
      </c>
    </row>
    <row r="7359" spans="1:1">
      <c r="A7359" s="1" t="s">
        <v>2856</v>
      </c>
    </row>
    <row r="7360" spans="1:1">
      <c r="A7360" s="1" t="s">
        <v>2857</v>
      </c>
    </row>
    <row r="7361" spans="1:1">
      <c r="A7361" s="1" t="s">
        <v>2858</v>
      </c>
    </row>
    <row r="7362" spans="1:1">
      <c r="A7362" s="1" t="s">
        <v>2859</v>
      </c>
    </row>
    <row r="7363" spans="1:1">
      <c r="A7363" s="1" t="s">
        <v>2860</v>
      </c>
    </row>
    <row r="7364" spans="1:1">
      <c r="A7364" s="1" t="s">
        <v>2861</v>
      </c>
    </row>
    <row r="7365" spans="1:1">
      <c r="A7365" s="1" t="s">
        <v>2862</v>
      </c>
    </row>
    <row r="7366" spans="1:1">
      <c r="A7366" s="1" t="s">
        <v>2863</v>
      </c>
    </row>
    <row r="7367" spans="1:1">
      <c r="A7367" s="1" t="s">
        <v>2864</v>
      </c>
    </row>
    <row r="7368" spans="1:1">
      <c r="A7368" s="1" t="s">
        <v>2887</v>
      </c>
    </row>
    <row r="7369" spans="1:1">
      <c r="A7369" s="1" t="s">
        <v>2888</v>
      </c>
    </row>
    <row r="7370" spans="1:1">
      <c r="A7370" s="1" t="s">
        <v>2889</v>
      </c>
    </row>
    <row r="7371" spans="1:1">
      <c r="A7371" s="1" t="s">
        <v>2890</v>
      </c>
    </row>
    <row r="7372" spans="1:1">
      <c r="A7372" s="1" t="s">
        <v>2897</v>
      </c>
    </row>
    <row r="7373" spans="1:1">
      <c r="A7373" s="1" t="s">
        <v>2898</v>
      </c>
    </row>
    <row r="7374" spans="1:1">
      <c r="A7374" s="1" t="s">
        <v>2899</v>
      </c>
    </row>
    <row r="7375" spans="1:1">
      <c r="A7375" s="1" t="s">
        <v>2900</v>
      </c>
    </row>
    <row r="7376" spans="1:1">
      <c r="A7376" s="1" t="s">
        <v>2901</v>
      </c>
    </row>
    <row r="7377" spans="1:1">
      <c r="A7377" s="1" t="s">
        <v>2902</v>
      </c>
    </row>
    <row r="7378" spans="1:1">
      <c r="A7378" s="1" t="s">
        <v>2903</v>
      </c>
    </row>
    <row r="7379" spans="1:1">
      <c r="A7379" s="1" t="s">
        <v>2903</v>
      </c>
    </row>
    <row r="7380" spans="1:1">
      <c r="A7380" s="1" t="s">
        <v>2904</v>
      </c>
    </row>
    <row r="7381" spans="1:1">
      <c r="A7381" s="1" t="s">
        <v>2905</v>
      </c>
    </row>
    <row r="7382" spans="1:1">
      <c r="A7382" s="1" t="s">
        <v>2906</v>
      </c>
    </row>
    <row r="7383" spans="1:1">
      <c r="A7383" s="1" t="s">
        <v>2907</v>
      </c>
    </row>
    <row r="7384" spans="1:1">
      <c r="A7384" s="1" t="s">
        <v>2908</v>
      </c>
    </row>
    <row r="7385" spans="1:1">
      <c r="A7385" s="1" t="s">
        <v>2909</v>
      </c>
    </row>
    <row r="7386" spans="1:1">
      <c r="A7386" s="1" t="s">
        <v>2910</v>
      </c>
    </row>
    <row r="7387" spans="1:1">
      <c r="A7387" s="1" t="s">
        <v>2909</v>
      </c>
    </row>
    <row r="7388" spans="1:1">
      <c r="A7388" s="1" t="s">
        <v>2910</v>
      </c>
    </row>
    <row r="7389" spans="1:1">
      <c r="A7389" s="1" t="s">
        <v>2911</v>
      </c>
    </row>
    <row r="7390" spans="1:1">
      <c r="A7390" s="1" t="s">
        <v>2912</v>
      </c>
    </row>
    <row r="7391" spans="1:1">
      <c r="A7391" s="1" t="s">
        <v>2913</v>
      </c>
    </row>
    <row r="7392" spans="1:1">
      <c r="A7392" s="1" t="s">
        <v>2914</v>
      </c>
    </row>
    <row r="7393" spans="1:1">
      <c r="A7393" s="1" t="s">
        <v>2915</v>
      </c>
    </row>
    <row r="7394" spans="1:1">
      <c r="A7394" s="1" t="s">
        <v>2919</v>
      </c>
    </row>
    <row r="7395" spans="1:1">
      <c r="A7395" s="1" t="s">
        <v>2920</v>
      </c>
    </row>
    <row r="7396" spans="1:1">
      <c r="A7396" s="1" t="s">
        <v>2921</v>
      </c>
    </row>
    <row r="7397" spans="1:1">
      <c r="A7397" s="1" t="s">
        <v>2922</v>
      </c>
    </row>
    <row r="7398" spans="1:1">
      <c r="A7398" s="1" t="s">
        <v>2923</v>
      </c>
    </row>
    <row r="7399" spans="1:1">
      <c r="A7399" s="1" t="s">
        <v>2923</v>
      </c>
    </row>
    <row r="7400" spans="1:1">
      <c r="A7400" s="1" t="s">
        <v>2924</v>
      </c>
    </row>
    <row r="7401" spans="1:1">
      <c r="A7401" s="1" t="s">
        <v>2925</v>
      </c>
    </row>
    <row r="7402" spans="1:1">
      <c r="A7402" s="1" t="s">
        <v>2925</v>
      </c>
    </row>
    <row r="7403" spans="1:1">
      <c r="A7403" s="1" t="s">
        <v>2926</v>
      </c>
    </row>
    <row r="7404" spans="1:1">
      <c r="A7404" s="1" t="s">
        <v>2927</v>
      </c>
    </row>
    <row r="7405" spans="1:1">
      <c r="A7405" s="1" t="s">
        <v>2928</v>
      </c>
    </row>
    <row r="7406" spans="1:1">
      <c r="A7406" s="1" t="s">
        <v>2929</v>
      </c>
    </row>
    <row r="7407" spans="1:1">
      <c r="A7407" s="1" t="s">
        <v>2930</v>
      </c>
    </row>
    <row r="7408" spans="1:1">
      <c r="A7408" s="1" t="s">
        <v>2930</v>
      </c>
    </row>
    <row r="7409" spans="1:1">
      <c r="A7409" s="1" t="s">
        <v>2931</v>
      </c>
    </row>
    <row r="7410" spans="1:1">
      <c r="A7410" s="1" t="s">
        <v>2932</v>
      </c>
    </row>
    <row r="7411" spans="1:1">
      <c r="A7411" s="1" t="s">
        <v>2932</v>
      </c>
    </row>
    <row r="7412" spans="1:1">
      <c r="A7412" s="1" t="s">
        <v>2933</v>
      </c>
    </row>
    <row r="7413" spans="1:1">
      <c r="A7413" s="1" t="s">
        <v>2933</v>
      </c>
    </row>
    <row r="7414" spans="1:1">
      <c r="A7414" s="1" t="s">
        <v>2932</v>
      </c>
    </row>
    <row r="7415" spans="1:1">
      <c r="A7415" s="1" t="s">
        <v>2934</v>
      </c>
    </row>
    <row r="7416" spans="1:1">
      <c r="A7416" s="1" t="s">
        <v>2934</v>
      </c>
    </row>
    <row r="7417" spans="1:1">
      <c r="A7417" s="1" t="s">
        <v>2935</v>
      </c>
    </row>
    <row r="7418" spans="1:1">
      <c r="A7418" s="1" t="s">
        <v>2935</v>
      </c>
    </row>
    <row r="7419" spans="1:1">
      <c r="A7419" s="1" t="s">
        <v>2934</v>
      </c>
    </row>
    <row r="7420" spans="1:1">
      <c r="A7420" s="1" t="s">
        <v>2936</v>
      </c>
    </row>
    <row r="7421" spans="1:1">
      <c r="A7421" s="1" t="s">
        <v>2937</v>
      </c>
    </row>
    <row r="7422" spans="1:1">
      <c r="A7422" s="1" t="s">
        <v>2938</v>
      </c>
    </row>
    <row r="7423" spans="1:1">
      <c r="A7423" s="1" t="s">
        <v>2939</v>
      </c>
    </row>
    <row r="7424" spans="1:1">
      <c r="A7424" s="1" t="s">
        <v>2940</v>
      </c>
    </row>
    <row r="7425" spans="1:1">
      <c r="A7425" s="1" t="s">
        <v>2941</v>
      </c>
    </row>
    <row r="7426" spans="1:1">
      <c r="A7426" s="1" t="s">
        <v>2942</v>
      </c>
    </row>
    <row r="7427" spans="1:1">
      <c r="A7427" s="1" t="s">
        <v>2943</v>
      </c>
    </row>
    <row r="7428" spans="1:1">
      <c r="A7428" s="1" t="s">
        <v>2944</v>
      </c>
    </row>
    <row r="7429" spans="1:1">
      <c r="A7429" s="1" t="s">
        <v>2945</v>
      </c>
    </row>
    <row r="7430" spans="1:1">
      <c r="A7430" s="1" t="s">
        <v>2946</v>
      </c>
    </row>
    <row r="7431" spans="1:1">
      <c r="A7431" s="1" t="s">
        <v>2947</v>
      </c>
    </row>
    <row r="7432" spans="1:1">
      <c r="A7432" s="1" t="s">
        <v>2948</v>
      </c>
    </row>
    <row r="7433" spans="1:1">
      <c r="A7433" s="1" t="s">
        <v>2949</v>
      </c>
    </row>
    <row r="7434" spans="1:1">
      <c r="A7434" s="1" t="s">
        <v>2950</v>
      </c>
    </row>
    <row r="7435" spans="1:1">
      <c r="A7435" s="1" t="s">
        <v>2951</v>
      </c>
    </row>
    <row r="7436" spans="1:1">
      <c r="A7436" s="1" t="s">
        <v>2952</v>
      </c>
    </row>
    <row r="7437" spans="1:1">
      <c r="A7437" s="1" t="s">
        <v>2953</v>
      </c>
    </row>
    <row r="7438" spans="1:1">
      <c r="A7438" s="1" t="s">
        <v>2954</v>
      </c>
    </row>
    <row r="7439" spans="1:1">
      <c r="A7439" s="1" t="s">
        <v>2955</v>
      </c>
    </row>
    <row r="7440" spans="1:1">
      <c r="A7440" s="1" t="s">
        <v>2956</v>
      </c>
    </row>
    <row r="7441" spans="1:1">
      <c r="A7441" s="1" t="s">
        <v>2957</v>
      </c>
    </row>
    <row r="7442" spans="1:1">
      <c r="A7442" s="1" t="s">
        <v>2958</v>
      </c>
    </row>
    <row r="7443" spans="1:1">
      <c r="A7443" s="1" t="s">
        <v>2958</v>
      </c>
    </row>
    <row r="7444" spans="1:1">
      <c r="A7444" s="1" t="s">
        <v>2959</v>
      </c>
    </row>
    <row r="7445" spans="1:1">
      <c r="A7445" s="1" t="s">
        <v>2959</v>
      </c>
    </row>
    <row r="7446" spans="1:1">
      <c r="A7446" s="1" t="s">
        <v>2958</v>
      </c>
    </row>
    <row r="7447" spans="1:1">
      <c r="A7447" s="1" t="s">
        <v>2960</v>
      </c>
    </row>
    <row r="7448" spans="1:1">
      <c r="A7448" s="1" t="s">
        <v>2960</v>
      </c>
    </row>
    <row r="7449" spans="1:1">
      <c r="A7449" s="1" t="s">
        <v>2961</v>
      </c>
    </row>
    <row r="7450" spans="1:1">
      <c r="A7450" s="1" t="s">
        <v>2961</v>
      </c>
    </row>
    <row r="7451" spans="1:1">
      <c r="A7451" s="1" t="s">
        <v>2960</v>
      </c>
    </row>
    <row r="7452" spans="1:1">
      <c r="A7452" s="1" t="s">
        <v>2962</v>
      </c>
    </row>
    <row r="7453" spans="1:1">
      <c r="A7453" s="1" t="s">
        <v>2963</v>
      </c>
    </row>
    <row r="7454" spans="1:1">
      <c r="A7454" s="1" t="s">
        <v>2964</v>
      </c>
    </row>
    <row r="7455" spans="1:1">
      <c r="A7455" s="1" t="s">
        <v>2965</v>
      </c>
    </row>
    <row r="7456" spans="1:1">
      <c r="A7456" s="1" t="s">
        <v>2966</v>
      </c>
    </row>
    <row r="7457" spans="1:1">
      <c r="A7457" s="1" t="s">
        <v>2967</v>
      </c>
    </row>
    <row r="7458" spans="1:1">
      <c r="A7458" s="1" t="s">
        <v>2968</v>
      </c>
    </row>
    <row r="7459" spans="1:1">
      <c r="A7459" s="1" t="s">
        <v>2969</v>
      </c>
    </row>
    <row r="7460" spans="1:1">
      <c r="A7460" s="1" t="s">
        <v>2970</v>
      </c>
    </row>
    <row r="7461" spans="1:1">
      <c r="A7461" s="1" t="s">
        <v>2971</v>
      </c>
    </row>
    <row r="7462" spans="1:1">
      <c r="A7462" s="1" t="s">
        <v>2972</v>
      </c>
    </row>
    <row r="7463" spans="1:1">
      <c r="A7463" s="1" t="s">
        <v>2964</v>
      </c>
    </row>
    <row r="7464" spans="1:1">
      <c r="A7464" s="1" t="s">
        <v>2964</v>
      </c>
    </row>
    <row r="7465" spans="1:1">
      <c r="A7465" s="1" t="s">
        <v>2973</v>
      </c>
    </row>
    <row r="7466" spans="1:1">
      <c r="A7466" s="1" t="s">
        <v>2973</v>
      </c>
    </row>
    <row r="7467" spans="1:1">
      <c r="A7467" s="1" t="s">
        <v>2964</v>
      </c>
    </row>
    <row r="7468" spans="1:1">
      <c r="A7468" s="1" t="s">
        <v>2974</v>
      </c>
    </row>
    <row r="7469" spans="1:1">
      <c r="A7469" s="1" t="s">
        <v>2974</v>
      </c>
    </row>
    <row r="7470" spans="1:1">
      <c r="A7470" s="1" t="s">
        <v>2975</v>
      </c>
    </row>
    <row r="7471" spans="1:1">
      <c r="A7471" s="1" t="s">
        <v>2975</v>
      </c>
    </row>
    <row r="7472" spans="1:1">
      <c r="A7472" s="1" t="s">
        <v>2974</v>
      </c>
    </row>
    <row r="7473" spans="1:1">
      <c r="A7473" s="1" t="s">
        <v>2976</v>
      </c>
    </row>
    <row r="7474" spans="1:1">
      <c r="A7474" s="1" t="s">
        <v>2977</v>
      </c>
    </row>
    <row r="7475" spans="1:1">
      <c r="A7475" s="1" t="s">
        <v>2978</v>
      </c>
    </row>
    <row r="7476" spans="1:1">
      <c r="A7476" s="1" t="s">
        <v>2979</v>
      </c>
    </row>
    <row r="7477" spans="1:1">
      <c r="A7477" s="1" t="s">
        <v>2980</v>
      </c>
    </row>
    <row r="7478" spans="1:1">
      <c r="A7478" s="1" t="s">
        <v>2981</v>
      </c>
    </row>
    <row r="7479" spans="1:1">
      <c r="A7479" s="1" t="s">
        <v>2982</v>
      </c>
    </row>
    <row r="7480" spans="1:1">
      <c r="A7480" s="1" t="s">
        <v>2983</v>
      </c>
    </row>
    <row r="7481" spans="1:1">
      <c r="A7481" s="1" t="s">
        <v>2984</v>
      </c>
    </row>
    <row r="7482" spans="1:1">
      <c r="A7482" s="1" t="s">
        <v>2985</v>
      </c>
    </row>
    <row r="7483" spans="1:1">
      <c r="A7483" s="1" t="s">
        <v>2986</v>
      </c>
    </row>
    <row r="7484" spans="1:1">
      <c r="A7484" s="1" t="s">
        <v>2987</v>
      </c>
    </row>
    <row r="7485" spans="1:1">
      <c r="A7485" s="1" t="s">
        <v>2988</v>
      </c>
    </row>
    <row r="7486" spans="1:1">
      <c r="A7486" s="1" t="s">
        <v>2989</v>
      </c>
    </row>
    <row r="7487" spans="1:1">
      <c r="A7487" s="1" t="s">
        <v>2990</v>
      </c>
    </row>
    <row r="7488" spans="1:1">
      <c r="A7488" s="1" t="s">
        <v>2991</v>
      </c>
    </row>
    <row r="7489" spans="1:1">
      <c r="A7489" s="1" t="s">
        <v>2992</v>
      </c>
    </row>
    <row r="7490" spans="1:1">
      <c r="A7490" s="1" t="s">
        <v>2993</v>
      </c>
    </row>
    <row r="7491" spans="1:1">
      <c r="A7491" s="1" t="s">
        <v>2994</v>
      </c>
    </row>
    <row r="7492" spans="1:1">
      <c r="A7492" s="1" t="s">
        <v>2993</v>
      </c>
    </row>
    <row r="7493" spans="1:1">
      <c r="A7493" s="1" t="s">
        <v>2994</v>
      </c>
    </row>
    <row r="7494" spans="1:1">
      <c r="A7494" s="1" t="s">
        <v>2995</v>
      </c>
    </row>
    <row r="7495" spans="1:1">
      <c r="A7495" s="1" t="s">
        <v>2996</v>
      </c>
    </row>
    <row r="7496" spans="1:1">
      <c r="A7496" s="1" t="s">
        <v>2997</v>
      </c>
    </row>
    <row r="7497" spans="1:1">
      <c r="A7497" s="1" t="s">
        <v>2998</v>
      </c>
    </row>
    <row r="7498" spans="1:1">
      <c r="A7498" s="1" t="s">
        <v>2999</v>
      </c>
    </row>
    <row r="7499" spans="1:1">
      <c r="A7499" s="1" t="s">
        <v>3000</v>
      </c>
    </row>
    <row r="7500" spans="1:1">
      <c r="A7500" s="1" t="s">
        <v>3001</v>
      </c>
    </row>
    <row r="7501" spans="1:1">
      <c r="A7501" s="1" t="s">
        <v>3002</v>
      </c>
    </row>
    <row r="7502" spans="1:1">
      <c r="A7502" s="1" t="s">
        <v>3003</v>
      </c>
    </row>
    <row r="7503" spans="1:1">
      <c r="A7503" s="1" t="s">
        <v>3004</v>
      </c>
    </row>
    <row r="7504" spans="1:1">
      <c r="A7504" s="1" t="s">
        <v>3005</v>
      </c>
    </row>
    <row r="7505" spans="1:1">
      <c r="A7505" s="1" t="s">
        <v>3006</v>
      </c>
    </row>
    <row r="7506" spans="1:1">
      <c r="A7506" s="1" t="s">
        <v>3006</v>
      </c>
    </row>
    <row r="7507" spans="1:1">
      <c r="A7507" s="1" t="s">
        <v>3007</v>
      </c>
    </row>
    <row r="7508" spans="1:1">
      <c r="A7508" s="1" t="s">
        <v>3007</v>
      </c>
    </row>
    <row r="7509" spans="1:1">
      <c r="A7509" s="1" t="s">
        <v>3006</v>
      </c>
    </row>
    <row r="7510" spans="1:1">
      <c r="A7510" s="1" t="s">
        <v>3008</v>
      </c>
    </row>
    <row r="7511" spans="1:1">
      <c r="A7511" s="1" t="s">
        <v>3008</v>
      </c>
    </row>
    <row r="7512" spans="1:1">
      <c r="A7512" s="1" t="s">
        <v>3009</v>
      </c>
    </row>
    <row r="7513" spans="1:1">
      <c r="A7513" s="1" t="s">
        <v>3009</v>
      </c>
    </row>
    <row r="7514" spans="1:1">
      <c r="A7514" s="1" t="s">
        <v>3008</v>
      </c>
    </row>
    <row r="7515" spans="1:1">
      <c r="A7515" s="1" t="s">
        <v>3010</v>
      </c>
    </row>
    <row r="7516" spans="1:1">
      <c r="A7516" s="1" t="s">
        <v>3010</v>
      </c>
    </row>
    <row r="7517" spans="1:1">
      <c r="A7517" s="1" t="s">
        <v>3011</v>
      </c>
    </row>
    <row r="7518" spans="1:1">
      <c r="A7518" s="1" t="s">
        <v>3011</v>
      </c>
    </row>
    <row r="7519" spans="1:1">
      <c r="A7519" s="1" t="s">
        <v>3010</v>
      </c>
    </row>
    <row r="7520" spans="1:1">
      <c r="A7520" s="1" t="s">
        <v>3010</v>
      </c>
    </row>
    <row r="7521" spans="1:1">
      <c r="A7521" s="1" t="s">
        <v>3010</v>
      </c>
    </row>
    <row r="7522" spans="1:1">
      <c r="A7522" s="1" t="s">
        <v>3011</v>
      </c>
    </row>
    <row r="7523" spans="1:1">
      <c r="A7523" s="1" t="s">
        <v>3011</v>
      </c>
    </row>
    <row r="7524" spans="1:1">
      <c r="A7524" s="1" t="s">
        <v>3010</v>
      </c>
    </row>
    <row r="7525" spans="1:1">
      <c r="A7525" s="1" t="s">
        <v>3010</v>
      </c>
    </row>
    <row r="7526" spans="1:1">
      <c r="A7526" s="1" t="s">
        <v>3010</v>
      </c>
    </row>
    <row r="7527" spans="1:1">
      <c r="A7527" s="1" t="s">
        <v>3011</v>
      </c>
    </row>
    <row r="7528" spans="1:1">
      <c r="A7528" s="1" t="s">
        <v>3011</v>
      </c>
    </row>
    <row r="7529" spans="1:1">
      <c r="A7529" s="1" t="s">
        <v>3010</v>
      </c>
    </row>
    <row r="7530" spans="1:1">
      <c r="A7530" s="1" t="s">
        <v>3012</v>
      </c>
    </row>
    <row r="7531" spans="1:1">
      <c r="A7531" s="1" t="s">
        <v>3012</v>
      </c>
    </row>
    <row r="7532" spans="1:1">
      <c r="A7532" s="1" t="s">
        <v>3013</v>
      </c>
    </row>
    <row r="7533" spans="1:1">
      <c r="A7533" s="1" t="s">
        <v>3013</v>
      </c>
    </row>
    <row r="7534" spans="1:1">
      <c r="A7534" s="1" t="s">
        <v>3012</v>
      </c>
    </row>
    <row r="7535" spans="1:1">
      <c r="A7535" s="1" t="s">
        <v>3014</v>
      </c>
    </row>
    <row r="7536" spans="1:1">
      <c r="A7536" s="1" t="s">
        <v>3015</v>
      </c>
    </row>
    <row r="7537" spans="1:1">
      <c r="A7537" s="1" t="s">
        <v>3016</v>
      </c>
    </row>
    <row r="7538" spans="1:1">
      <c r="A7538" s="1" t="s">
        <v>3017</v>
      </c>
    </row>
    <row r="7539" spans="1:1">
      <c r="A7539" s="1" t="s">
        <v>3018</v>
      </c>
    </row>
    <row r="7540" spans="1:1">
      <c r="A7540" s="1" t="s">
        <v>3019</v>
      </c>
    </row>
    <row r="7541" spans="1:1">
      <c r="A7541" s="1" t="s">
        <v>3020</v>
      </c>
    </row>
    <row r="7542" spans="1:1">
      <c r="A7542" s="1" t="s">
        <v>3021</v>
      </c>
    </row>
    <row r="7543" spans="1:1">
      <c r="A7543" s="1" t="s">
        <v>3022</v>
      </c>
    </row>
    <row r="7544" spans="1:1">
      <c r="A7544" s="1" t="s">
        <v>3023</v>
      </c>
    </row>
    <row r="7545" spans="1:1">
      <c r="A7545" s="1" t="s">
        <v>3024</v>
      </c>
    </row>
    <row r="7546" spans="1:1">
      <c r="A7546" s="1" t="s">
        <v>3025</v>
      </c>
    </row>
    <row r="7547" spans="1:1">
      <c r="A7547" s="1" t="s">
        <v>3025</v>
      </c>
    </row>
    <row r="7548" spans="1:1">
      <c r="A7548" s="1" t="s">
        <v>3026</v>
      </c>
    </row>
    <row r="7549" spans="1:1">
      <c r="A7549" s="1" t="s">
        <v>3026</v>
      </c>
    </row>
    <row r="7550" spans="1:1">
      <c r="A7550" s="1" t="s">
        <v>3025</v>
      </c>
    </row>
    <row r="7551" spans="1:1">
      <c r="A7551" s="1" t="s">
        <v>3027</v>
      </c>
    </row>
    <row r="7552" spans="1:1">
      <c r="A7552" s="1" t="s">
        <v>3028</v>
      </c>
    </row>
    <row r="7553" spans="1:1">
      <c r="A7553" s="1" t="s">
        <v>3029</v>
      </c>
    </row>
    <row r="7554" spans="1:1">
      <c r="A7554" s="1" t="s">
        <v>3030</v>
      </c>
    </row>
    <row r="7555" spans="1:1">
      <c r="A7555" s="1" t="s">
        <v>3031</v>
      </c>
    </row>
    <row r="7556" spans="1:1">
      <c r="A7556" s="1" t="s">
        <v>3032</v>
      </c>
    </row>
    <row r="7557" spans="1:1">
      <c r="A7557" s="1" t="s">
        <v>3033</v>
      </c>
    </row>
    <row r="7558" spans="1:1">
      <c r="A7558" s="1" t="s">
        <v>3034</v>
      </c>
    </row>
    <row r="7559" spans="1:1">
      <c r="A7559" s="1" t="s">
        <v>3035</v>
      </c>
    </row>
    <row r="7560" spans="1:1">
      <c r="A7560" s="1" t="s">
        <v>3036</v>
      </c>
    </row>
    <row r="7561" spans="1:1">
      <c r="A7561" s="1" t="s">
        <v>3037</v>
      </c>
    </row>
    <row r="7562" spans="1:1">
      <c r="A7562" s="1" t="s">
        <v>3038</v>
      </c>
    </row>
    <row r="7563" spans="1:1">
      <c r="A7563" s="1" t="s">
        <v>3039</v>
      </c>
    </row>
    <row r="7564" spans="1:1">
      <c r="A7564" s="1" t="s">
        <v>3040</v>
      </c>
    </row>
    <row r="7565" spans="1:1">
      <c r="A7565" s="1" t="s">
        <v>3041</v>
      </c>
    </row>
    <row r="7566" spans="1:1">
      <c r="A7566" s="1" t="s">
        <v>3040</v>
      </c>
    </row>
    <row r="7567" spans="1:1">
      <c r="A7567" s="1" t="s">
        <v>3041</v>
      </c>
    </row>
    <row r="7568" spans="1:1">
      <c r="A7568" s="1" t="s">
        <v>3042</v>
      </c>
    </row>
    <row r="7569" spans="1:1">
      <c r="A7569" s="1" t="s">
        <v>3043</v>
      </c>
    </row>
    <row r="7570" spans="1:1">
      <c r="A7570" s="1" t="s">
        <v>3044</v>
      </c>
    </row>
    <row r="7571" spans="1:1">
      <c r="A7571" s="1" t="s">
        <v>3045</v>
      </c>
    </row>
    <row r="7572" spans="1:1">
      <c r="A7572" s="1" t="s">
        <v>3046</v>
      </c>
    </row>
    <row r="7573" spans="1:1">
      <c r="A7573" s="1" t="s">
        <v>3047</v>
      </c>
    </row>
    <row r="7574" spans="1:1">
      <c r="A7574" s="1" t="s">
        <v>3048</v>
      </c>
    </row>
    <row r="7575" spans="1:1">
      <c r="A7575" s="1" t="s">
        <v>3049</v>
      </c>
    </row>
    <row r="7576" spans="1:1">
      <c r="A7576" s="1" t="s">
        <v>3050</v>
      </c>
    </row>
    <row r="7577" spans="1:1">
      <c r="A7577" s="1" t="s">
        <v>3051</v>
      </c>
    </row>
    <row r="7578" spans="1:1">
      <c r="A7578" s="1" t="s">
        <v>3052</v>
      </c>
    </row>
    <row r="7579" spans="1:1">
      <c r="A7579" s="1" t="s">
        <v>3053</v>
      </c>
    </row>
    <row r="7580" spans="1:1">
      <c r="A7580" s="1" t="s">
        <v>3054</v>
      </c>
    </row>
    <row r="7581" spans="1:1">
      <c r="A7581" s="1" t="s">
        <v>3055</v>
      </c>
    </row>
    <row r="7582" spans="1:1">
      <c r="A7582" s="1" t="s">
        <v>3056</v>
      </c>
    </row>
    <row r="7583" spans="1:1">
      <c r="A7583" s="1" t="s">
        <v>3057</v>
      </c>
    </row>
    <row r="7584" spans="1:1">
      <c r="A7584" s="1" t="s">
        <v>3058</v>
      </c>
    </row>
    <row r="7585" spans="1:1">
      <c r="A7585" s="1" t="s">
        <v>3059</v>
      </c>
    </row>
    <row r="7586" spans="1:1">
      <c r="A7586" s="1" t="s">
        <v>3060</v>
      </c>
    </row>
    <row r="7587" spans="1:1">
      <c r="A7587" s="1" t="s">
        <v>3061</v>
      </c>
    </row>
    <row r="7588" spans="1:1">
      <c r="A7588" s="1" t="s">
        <v>3062</v>
      </c>
    </row>
    <row r="7589" spans="1:1">
      <c r="A7589" s="1" t="s">
        <v>3063</v>
      </c>
    </row>
    <row r="7590" spans="1:1">
      <c r="A7590" s="1" t="s">
        <v>3064</v>
      </c>
    </row>
    <row r="7591" spans="1:1">
      <c r="A7591" s="1" t="s">
        <v>3065</v>
      </c>
    </row>
    <row r="7592" spans="1:1">
      <c r="A7592" s="1" t="s">
        <v>3066</v>
      </c>
    </row>
    <row r="7593" spans="1:1">
      <c r="A7593" s="1" t="s">
        <v>3067</v>
      </c>
    </row>
    <row r="7594" spans="1:1">
      <c r="A7594" s="1" t="s">
        <v>3068</v>
      </c>
    </row>
    <row r="7595" spans="1:1">
      <c r="A7595" s="1" t="s">
        <v>3069</v>
      </c>
    </row>
    <row r="7596" spans="1:1">
      <c r="A7596" s="1" t="s">
        <v>3070</v>
      </c>
    </row>
    <row r="7597" spans="1:1">
      <c r="A7597" s="1" t="s">
        <v>3071</v>
      </c>
    </row>
    <row r="7598" spans="1:1">
      <c r="A7598" s="1" t="s">
        <v>3072</v>
      </c>
    </row>
    <row r="7599" spans="1:1">
      <c r="A7599" s="1" t="s">
        <v>3073</v>
      </c>
    </row>
    <row r="7600" spans="1:1">
      <c r="A7600" s="1" t="s">
        <v>3064</v>
      </c>
    </row>
    <row r="7601" spans="1:1">
      <c r="A7601" s="1" t="s">
        <v>3065</v>
      </c>
    </row>
    <row r="7602" spans="1:1">
      <c r="A7602" s="1" t="s">
        <v>3066</v>
      </c>
    </row>
    <row r="7603" spans="1:1">
      <c r="A7603" s="1" t="s">
        <v>3067</v>
      </c>
    </row>
    <row r="7604" spans="1:1">
      <c r="A7604" s="1" t="s">
        <v>3068</v>
      </c>
    </row>
    <row r="7605" spans="1:1">
      <c r="A7605" s="1" t="s">
        <v>3074</v>
      </c>
    </row>
    <row r="7606" spans="1:1">
      <c r="A7606" s="1" t="s">
        <v>3070</v>
      </c>
    </row>
    <row r="7607" spans="1:1">
      <c r="A7607" s="1" t="s">
        <v>3071</v>
      </c>
    </row>
    <row r="7608" spans="1:1">
      <c r="A7608" s="1" t="s">
        <v>3072</v>
      </c>
    </row>
    <row r="7609" spans="1:1">
      <c r="A7609" s="1" t="s">
        <v>3073</v>
      </c>
    </row>
    <row r="7610" spans="1:1">
      <c r="A7610" s="1" t="s">
        <v>3075</v>
      </c>
    </row>
    <row r="7611" spans="1:1">
      <c r="A7611" s="1" t="s">
        <v>3076</v>
      </c>
    </row>
    <row r="7612" spans="1:1">
      <c r="A7612" s="1" t="s">
        <v>3077</v>
      </c>
    </row>
    <row r="7613" spans="1:1">
      <c r="A7613" s="1" t="s">
        <v>3078</v>
      </c>
    </row>
    <row r="7614" spans="1:1">
      <c r="A7614" s="1" t="s">
        <v>3079</v>
      </c>
    </row>
    <row r="7615" spans="1:1">
      <c r="A7615" s="1" t="s">
        <v>3080</v>
      </c>
    </row>
    <row r="7616" spans="1:1">
      <c r="A7616" s="1" t="s">
        <v>3081</v>
      </c>
    </row>
    <row r="7617" spans="1:1">
      <c r="A7617" s="1" t="s">
        <v>3082</v>
      </c>
    </row>
    <row r="7618" spans="1:1">
      <c r="A7618" s="1" t="s">
        <v>3083</v>
      </c>
    </row>
    <row r="7619" spans="1:1">
      <c r="A7619" s="1" t="s">
        <v>3084</v>
      </c>
    </row>
    <row r="7620" spans="1:1">
      <c r="A7620" s="1" t="s">
        <v>3085</v>
      </c>
    </row>
    <row r="7621" spans="1:1">
      <c r="A7621" s="1" t="s">
        <v>3086</v>
      </c>
    </row>
    <row r="7622" spans="1:1">
      <c r="A7622" s="1" t="s">
        <v>3087</v>
      </c>
    </row>
    <row r="7623" spans="1:1">
      <c r="A7623" s="1" t="s">
        <v>3088</v>
      </c>
    </row>
    <row r="7624" spans="1:1">
      <c r="A7624" s="1" t="s">
        <v>3089</v>
      </c>
    </row>
    <row r="7625" spans="1:1">
      <c r="A7625" s="1" t="s">
        <v>3090</v>
      </c>
    </row>
    <row r="7626" spans="1:1">
      <c r="A7626" s="1" t="s">
        <v>3091</v>
      </c>
    </row>
    <row r="7627" spans="1:1">
      <c r="A7627" s="1" t="s">
        <v>3092</v>
      </c>
    </row>
    <row r="7628" spans="1:1">
      <c r="A7628" s="1" t="s">
        <v>3093</v>
      </c>
    </row>
    <row r="7629" spans="1:1">
      <c r="A7629" s="1" t="s">
        <v>3094</v>
      </c>
    </row>
    <row r="7630" spans="1:1">
      <c r="A7630" s="1" t="s">
        <v>3095</v>
      </c>
    </row>
    <row r="7631" spans="1:1">
      <c r="A7631" s="1" t="s">
        <v>3096</v>
      </c>
    </row>
    <row r="7632" spans="1:1">
      <c r="A7632" s="1" t="s">
        <v>3097</v>
      </c>
    </row>
    <row r="7633" spans="1:1">
      <c r="A7633" s="1" t="s">
        <v>3098</v>
      </c>
    </row>
    <row r="7634" spans="1:1">
      <c r="A7634" s="1" t="s">
        <v>3099</v>
      </c>
    </row>
    <row r="7635" spans="1:1">
      <c r="A7635" s="1" t="s">
        <v>3100</v>
      </c>
    </row>
    <row r="7636" spans="1:1">
      <c r="A7636" s="1" t="s">
        <v>3101</v>
      </c>
    </row>
    <row r="7637" spans="1:1">
      <c r="A7637" s="1" t="s">
        <v>3102</v>
      </c>
    </row>
    <row r="7638" spans="1:1">
      <c r="A7638" s="1" t="s">
        <v>3103</v>
      </c>
    </row>
    <row r="7639" spans="1:1">
      <c r="A7639" s="1" t="s">
        <v>3104</v>
      </c>
    </row>
    <row r="7640" spans="1:1">
      <c r="A7640" s="1" t="s">
        <v>3105</v>
      </c>
    </row>
    <row r="7641" spans="1:1">
      <c r="A7641" s="1" t="s">
        <v>3106</v>
      </c>
    </row>
    <row r="7642" spans="1:1">
      <c r="A7642" s="1" t="s">
        <v>3107</v>
      </c>
    </row>
    <row r="7643" spans="1:1">
      <c r="A7643" s="1" t="s">
        <v>3108</v>
      </c>
    </row>
    <row r="7644" spans="1:1">
      <c r="A7644" s="1" t="s">
        <v>3109</v>
      </c>
    </row>
    <row r="7645" spans="1:1">
      <c r="A7645" s="1" t="s">
        <v>3110</v>
      </c>
    </row>
    <row r="7646" spans="1:1">
      <c r="A7646" s="1" t="s">
        <v>3111</v>
      </c>
    </row>
    <row r="7647" spans="1:1">
      <c r="A7647" s="1" t="s">
        <v>3112</v>
      </c>
    </row>
    <row r="7648" spans="1:1">
      <c r="A7648" s="1" t="s">
        <v>3113</v>
      </c>
    </row>
    <row r="7649" spans="1:1">
      <c r="A7649" s="1" t="s">
        <v>3114</v>
      </c>
    </row>
    <row r="7650" spans="1:1">
      <c r="A7650" s="1" t="s">
        <v>3115</v>
      </c>
    </row>
    <row r="7651" spans="1:1">
      <c r="A7651" s="1" t="s">
        <v>3116</v>
      </c>
    </row>
    <row r="7652" spans="1:1">
      <c r="A7652" s="1" t="s">
        <v>3117</v>
      </c>
    </row>
    <row r="7653" spans="1:1">
      <c r="A7653" s="1" t="s">
        <v>3118</v>
      </c>
    </row>
    <row r="7654" spans="1:1">
      <c r="A7654" s="1" t="s">
        <v>3119</v>
      </c>
    </row>
    <row r="7655" spans="1:1">
      <c r="A7655" s="1" t="s">
        <v>3176</v>
      </c>
    </row>
    <row r="7656" spans="1:1">
      <c r="A7656" s="1" t="s">
        <v>3177</v>
      </c>
    </row>
    <row r="7657" spans="1:1">
      <c r="A7657" s="1" t="s">
        <v>3178</v>
      </c>
    </row>
    <row r="7658" spans="1:1">
      <c r="A7658" s="1" t="s">
        <v>3179</v>
      </c>
    </row>
    <row r="7659" spans="1:1">
      <c r="A7659" s="1" t="s">
        <v>3180</v>
      </c>
    </row>
    <row r="7660" spans="1:1">
      <c r="A7660" s="1" t="s">
        <v>3181</v>
      </c>
    </row>
    <row r="7661" spans="1:1">
      <c r="A7661" s="1" t="s">
        <v>3182</v>
      </c>
    </row>
    <row r="7662" spans="1:1">
      <c r="A7662" s="1" t="s">
        <v>3183</v>
      </c>
    </row>
    <row r="7663" spans="1:1">
      <c r="A7663" s="1" t="s">
        <v>3184</v>
      </c>
    </row>
    <row r="7664" spans="1:1">
      <c r="A7664" s="1" t="s">
        <v>3185</v>
      </c>
    </row>
    <row r="7665" spans="1:1">
      <c r="A7665" s="1" t="s">
        <v>3176</v>
      </c>
    </row>
    <row r="7666" spans="1:1">
      <c r="A7666" s="1" t="s">
        <v>3186</v>
      </c>
    </row>
    <row r="7667" spans="1:1">
      <c r="A7667" s="1" t="s">
        <v>3185</v>
      </c>
    </row>
    <row r="7668" spans="1:1">
      <c r="A7668" s="1" t="s">
        <v>3187</v>
      </c>
    </row>
    <row r="7669" spans="1:1">
      <c r="A7669" s="1" t="s">
        <v>3187</v>
      </c>
    </row>
    <row r="7670" spans="1:1">
      <c r="A7670" s="1" t="s">
        <v>3197</v>
      </c>
    </row>
    <row r="7671" spans="1:1">
      <c r="A7671" s="1" t="s">
        <v>3197</v>
      </c>
    </row>
    <row r="7672" spans="1:1">
      <c r="A7672" s="1" t="s">
        <v>3225</v>
      </c>
    </row>
    <row r="7673" spans="1:1">
      <c r="A7673" s="1" t="s">
        <v>3226</v>
      </c>
    </row>
    <row r="7674" spans="1:1">
      <c r="A7674" s="1" t="s">
        <v>3227</v>
      </c>
    </row>
    <row r="7675" spans="1:1">
      <c r="A7675" s="1" t="s">
        <v>3228</v>
      </c>
    </row>
    <row r="7676" spans="1:1">
      <c r="A7676" s="1" t="s">
        <v>3229</v>
      </c>
    </row>
    <row r="7677" spans="1:1">
      <c r="A7677" s="1" t="s">
        <v>3230</v>
      </c>
    </row>
    <row r="7678" spans="1:1">
      <c r="A7678" s="1" t="s">
        <v>3231</v>
      </c>
    </row>
    <row r="7679" spans="1:1">
      <c r="A7679" s="1" t="s">
        <v>3232</v>
      </c>
    </row>
    <row r="7680" spans="1:1">
      <c r="A7680" s="1" t="s">
        <v>3233</v>
      </c>
    </row>
    <row r="7681" spans="1:1">
      <c r="A7681" s="1" t="s">
        <v>3234</v>
      </c>
    </row>
    <row r="7682" spans="1:1">
      <c r="A7682" s="1" t="s">
        <v>3235</v>
      </c>
    </row>
    <row r="7683" spans="1:1">
      <c r="A7683" s="1" t="s">
        <v>3235</v>
      </c>
    </row>
    <row r="7684" spans="1:1">
      <c r="A7684" s="1" t="s">
        <v>3236</v>
      </c>
    </row>
    <row r="7685" spans="1:1">
      <c r="A7685" s="1" t="s">
        <v>3237</v>
      </c>
    </row>
    <row r="7686" spans="1:1">
      <c r="A7686" s="1" t="s">
        <v>3238</v>
      </c>
    </row>
    <row r="7687" spans="1:1">
      <c r="A7687" s="1" t="s">
        <v>3239</v>
      </c>
    </row>
    <row r="7688" spans="1:1">
      <c r="A7688" s="1" t="s">
        <v>3240</v>
      </c>
    </row>
    <row r="7689" spans="1:1">
      <c r="A7689" s="1" t="s">
        <v>3241</v>
      </c>
    </row>
    <row r="7690" spans="1:1">
      <c r="A7690" s="1" t="s">
        <v>3242</v>
      </c>
    </row>
    <row r="7691" spans="1:1">
      <c r="A7691" s="1" t="s">
        <v>3243</v>
      </c>
    </row>
    <row r="7692" spans="1:1">
      <c r="A7692" s="1" t="s">
        <v>3244</v>
      </c>
    </row>
    <row r="7693" spans="1:1">
      <c r="A7693" s="1" t="s">
        <v>3245</v>
      </c>
    </row>
    <row r="7694" spans="1:1">
      <c r="A7694" s="1" t="s">
        <v>3260</v>
      </c>
    </row>
    <row r="7695" spans="1:1">
      <c r="A7695" s="1" t="s">
        <v>3260</v>
      </c>
    </row>
    <row r="7696" spans="1:1">
      <c r="A7696" s="1" t="s">
        <v>3261</v>
      </c>
    </row>
    <row r="7697" spans="1:1">
      <c r="A7697" s="1" t="s">
        <v>3260</v>
      </c>
    </row>
    <row r="7698" spans="1:1">
      <c r="A7698" s="1" t="s">
        <v>3260</v>
      </c>
    </row>
    <row r="7699" spans="1:1">
      <c r="A7699" s="1" t="s">
        <v>3260</v>
      </c>
    </row>
    <row r="7700" spans="1:1">
      <c r="A7700" s="1" t="s">
        <v>3261</v>
      </c>
    </row>
    <row r="7701" spans="1:1">
      <c r="A7701" s="1" t="s">
        <v>3260</v>
      </c>
    </row>
    <row r="7702" spans="1:1">
      <c r="A7702" s="1" t="s">
        <v>3262</v>
      </c>
    </row>
    <row r="7703" spans="1:1">
      <c r="A7703" s="1" t="s">
        <v>3262</v>
      </c>
    </row>
    <row r="7704" spans="1:1">
      <c r="A7704" s="1" t="s">
        <v>3263</v>
      </c>
    </row>
    <row r="7705" spans="1:1">
      <c r="A7705" s="1" t="s">
        <v>3263</v>
      </c>
    </row>
    <row r="7706" spans="1:1">
      <c r="A7706" s="1" t="s">
        <v>3264</v>
      </c>
    </row>
    <row r="7707" spans="1:1">
      <c r="A7707" s="1" t="s">
        <v>3264</v>
      </c>
    </row>
    <row r="7708" spans="1:1">
      <c r="A7708" s="1" t="s">
        <v>3265</v>
      </c>
    </row>
    <row r="7709" spans="1:1">
      <c r="A7709" s="1" t="s">
        <v>3265</v>
      </c>
    </row>
    <row r="7710" spans="1:1">
      <c r="A7710" s="1" t="s">
        <v>3266</v>
      </c>
    </row>
    <row r="7711" spans="1:1">
      <c r="A7711" s="1" t="s">
        <v>3266</v>
      </c>
    </row>
    <row r="7712" spans="1:1">
      <c r="A7712" s="1" t="s">
        <v>3267</v>
      </c>
    </row>
    <row r="7713" spans="1:1">
      <c r="A7713" s="1" t="s">
        <v>3267</v>
      </c>
    </row>
    <row r="7714" spans="1:1">
      <c r="A7714" s="1" t="s">
        <v>3266</v>
      </c>
    </row>
    <row r="7715" spans="1:1">
      <c r="A7715" s="1" t="s">
        <v>3269</v>
      </c>
    </row>
    <row r="7716" spans="1:1">
      <c r="A7716" s="1" t="s">
        <v>3269</v>
      </c>
    </row>
    <row r="7717" spans="1:1">
      <c r="A7717" s="1" t="s">
        <v>3270</v>
      </c>
    </row>
    <row r="7718" spans="1:1">
      <c r="A7718" s="1" t="s">
        <v>3270</v>
      </c>
    </row>
    <row r="7719" spans="1:1">
      <c r="A7719" s="1" t="s">
        <v>3269</v>
      </c>
    </row>
    <row r="7720" spans="1:1">
      <c r="A7720" s="1" t="s">
        <v>3269</v>
      </c>
    </row>
    <row r="7721" spans="1:1">
      <c r="A7721" s="1" t="s">
        <v>3269</v>
      </c>
    </row>
    <row r="7722" spans="1:1">
      <c r="A7722" s="1" t="s">
        <v>3270</v>
      </c>
    </row>
    <row r="7723" spans="1:1">
      <c r="A7723" s="1" t="s">
        <v>3270</v>
      </c>
    </row>
    <row r="7724" spans="1:1">
      <c r="A7724" s="1" t="s">
        <v>3269</v>
      </c>
    </row>
    <row r="7725" spans="1:1">
      <c r="A7725" s="1" t="s">
        <v>3271</v>
      </c>
    </row>
    <row r="7726" spans="1:1">
      <c r="A7726" s="1" t="s">
        <v>3271</v>
      </c>
    </row>
    <row r="7727" spans="1:1">
      <c r="A7727" s="1" t="s">
        <v>3272</v>
      </c>
    </row>
    <row r="7728" spans="1:1">
      <c r="A7728" s="1" t="s">
        <v>3272</v>
      </c>
    </row>
    <row r="7729" spans="1:1">
      <c r="A7729" s="1" t="s">
        <v>3271</v>
      </c>
    </row>
    <row r="7730" spans="1:1">
      <c r="A7730" s="1" t="s">
        <v>3271</v>
      </c>
    </row>
    <row r="7731" spans="1:1">
      <c r="A7731" s="1" t="s">
        <v>3271</v>
      </c>
    </row>
    <row r="7732" spans="1:1">
      <c r="A7732" s="1" t="s">
        <v>3272</v>
      </c>
    </row>
    <row r="7733" spans="1:1">
      <c r="A7733" s="1" t="s">
        <v>3272</v>
      </c>
    </row>
    <row r="7734" spans="1:1">
      <c r="A7734" s="1" t="s">
        <v>3271</v>
      </c>
    </row>
    <row r="7735" spans="1:1">
      <c r="A7735" s="1" t="s">
        <v>3273</v>
      </c>
    </row>
    <row r="7736" spans="1:1">
      <c r="A7736" s="1" t="s">
        <v>3273</v>
      </c>
    </row>
    <row r="7737" spans="1:1">
      <c r="A7737" s="1" t="s">
        <v>3274</v>
      </c>
    </row>
    <row r="7738" spans="1:1">
      <c r="A7738" s="1" t="s">
        <v>3273</v>
      </c>
    </row>
    <row r="7739" spans="1:1">
      <c r="A7739" s="1" t="s">
        <v>3273</v>
      </c>
    </row>
    <row r="7740" spans="1:1">
      <c r="A7740" s="1" t="s">
        <v>3273</v>
      </c>
    </row>
    <row r="7741" spans="1:1">
      <c r="A7741" s="1" t="s">
        <v>3274</v>
      </c>
    </row>
    <row r="7742" spans="1:1">
      <c r="A7742" s="1" t="s">
        <v>3273</v>
      </c>
    </row>
    <row r="7743" spans="1:1">
      <c r="A7743" s="1" t="s">
        <v>3275</v>
      </c>
    </row>
    <row r="7744" spans="1:1">
      <c r="A7744" s="1" t="s">
        <v>3275</v>
      </c>
    </row>
    <row r="7745" spans="1:1">
      <c r="A7745" s="1" t="s">
        <v>3276</v>
      </c>
    </row>
    <row r="7746" spans="1:1">
      <c r="A7746" s="1" t="s">
        <v>3276</v>
      </c>
    </row>
    <row r="7747" spans="1:1">
      <c r="A7747" s="1" t="s">
        <v>3275</v>
      </c>
    </row>
    <row r="7748" spans="1:1">
      <c r="A7748" s="1" t="s">
        <v>3277</v>
      </c>
    </row>
    <row r="7749" spans="1:1">
      <c r="A7749" s="1" t="s">
        <v>3277</v>
      </c>
    </row>
    <row r="7750" spans="1:1">
      <c r="A7750" s="1" t="s">
        <v>3278</v>
      </c>
    </row>
    <row r="7751" spans="1:1">
      <c r="A7751" s="1" t="s">
        <v>3277</v>
      </c>
    </row>
    <row r="7752" spans="1:1">
      <c r="A7752" s="1" t="s">
        <v>3277</v>
      </c>
    </row>
    <row r="7753" spans="1:1">
      <c r="A7753" s="1" t="s">
        <v>3277</v>
      </c>
    </row>
    <row r="7754" spans="1:1">
      <c r="A7754" s="1" t="s">
        <v>3278</v>
      </c>
    </row>
    <row r="7755" spans="1:1">
      <c r="A7755" s="1" t="s">
        <v>3277</v>
      </c>
    </row>
    <row r="7756" spans="1:1">
      <c r="A7756" s="1" t="s">
        <v>3279</v>
      </c>
    </row>
    <row r="7757" spans="1:1">
      <c r="A7757" s="1" t="s">
        <v>3280</v>
      </c>
    </row>
    <row r="7758" spans="1:1">
      <c r="A7758" s="1" t="s">
        <v>3281</v>
      </c>
    </row>
    <row r="7759" spans="1:1">
      <c r="A7759" s="1" t="s">
        <v>3282</v>
      </c>
    </row>
    <row r="7760" spans="1:1">
      <c r="A7760" s="1" t="s">
        <v>3282</v>
      </c>
    </row>
    <row r="7761" spans="1:1">
      <c r="A7761" s="1" t="s">
        <v>3283</v>
      </c>
    </row>
    <row r="7762" spans="1:1">
      <c r="A7762" s="1" t="s">
        <v>3282</v>
      </c>
    </row>
    <row r="7763" spans="1:1">
      <c r="A7763" s="1" t="s">
        <v>3284</v>
      </c>
    </row>
    <row r="7764" spans="1:1">
      <c r="A7764" s="1" t="s">
        <v>3284</v>
      </c>
    </row>
    <row r="7765" spans="1:1">
      <c r="A7765" s="1" t="s">
        <v>3285</v>
      </c>
    </row>
    <row r="7766" spans="1:1">
      <c r="A7766" s="1" t="s">
        <v>3284</v>
      </c>
    </row>
    <row r="7767" spans="1:1">
      <c r="A7767" s="1" t="s">
        <v>3290</v>
      </c>
    </row>
    <row r="7768" spans="1:1">
      <c r="A7768" s="1" t="s">
        <v>3290</v>
      </c>
    </row>
    <row r="7769" spans="1:1">
      <c r="A7769" s="1" t="s">
        <v>3291</v>
      </c>
    </row>
    <row r="7770" spans="1:1">
      <c r="A7770" s="1" t="s">
        <v>3291</v>
      </c>
    </row>
    <row r="7771" spans="1:1">
      <c r="A7771" s="1" t="s">
        <v>3290</v>
      </c>
    </row>
    <row r="7772" spans="1:1">
      <c r="A7772" s="1" t="s">
        <v>3290</v>
      </c>
    </row>
    <row r="7773" spans="1:1">
      <c r="A7773" s="1" t="s">
        <v>3290</v>
      </c>
    </row>
    <row r="7774" spans="1:1">
      <c r="A7774" s="1" t="s">
        <v>3291</v>
      </c>
    </row>
    <row r="7775" spans="1:1">
      <c r="A7775" s="1" t="s">
        <v>3291</v>
      </c>
    </row>
    <row r="7776" spans="1:1">
      <c r="A7776" s="1" t="s">
        <v>3290</v>
      </c>
    </row>
    <row r="7777" spans="1:1">
      <c r="A7777" s="1" t="s">
        <v>3294</v>
      </c>
    </row>
    <row r="7778" spans="1:1">
      <c r="A7778" s="1" t="s">
        <v>3294</v>
      </c>
    </row>
    <row r="7779" spans="1:1">
      <c r="A7779" s="1" t="s">
        <v>3295</v>
      </c>
    </row>
    <row r="7780" spans="1:1">
      <c r="A7780" s="1" t="s">
        <v>3295</v>
      </c>
    </row>
    <row r="7781" spans="1:1">
      <c r="A7781" s="1" t="s">
        <v>3294</v>
      </c>
    </row>
    <row r="7782" spans="1:1">
      <c r="A7782" s="1" t="s">
        <v>3294</v>
      </c>
    </row>
    <row r="7783" spans="1:1">
      <c r="A7783" s="1" t="s">
        <v>3294</v>
      </c>
    </row>
    <row r="7784" spans="1:1">
      <c r="A7784" s="1" t="s">
        <v>3295</v>
      </c>
    </row>
    <row r="7785" spans="1:1">
      <c r="A7785" s="1" t="s">
        <v>3295</v>
      </c>
    </row>
    <row r="7786" spans="1:1">
      <c r="A7786" s="1" t="s">
        <v>3294</v>
      </c>
    </row>
    <row r="7787" spans="1:1">
      <c r="A7787" s="1" t="s">
        <v>3294</v>
      </c>
    </row>
    <row r="7788" spans="1:1">
      <c r="A7788" s="1" t="s">
        <v>3294</v>
      </c>
    </row>
    <row r="7789" spans="1:1">
      <c r="A7789" s="1" t="s">
        <v>3295</v>
      </c>
    </row>
    <row r="7790" spans="1:1">
      <c r="A7790" s="1" t="s">
        <v>3295</v>
      </c>
    </row>
    <row r="7791" spans="1:1">
      <c r="A7791" s="1" t="s">
        <v>3294</v>
      </c>
    </row>
    <row r="7792" spans="1:1">
      <c r="A7792" s="1" t="s">
        <v>3294</v>
      </c>
    </row>
    <row r="7793" spans="1:1">
      <c r="A7793" s="1" t="s">
        <v>3294</v>
      </c>
    </row>
    <row r="7794" spans="1:1">
      <c r="A7794" s="1" t="s">
        <v>3295</v>
      </c>
    </row>
    <row r="7795" spans="1:1">
      <c r="A7795" s="1" t="s">
        <v>3295</v>
      </c>
    </row>
    <row r="7796" spans="1:1">
      <c r="A7796" s="1" t="s">
        <v>3294</v>
      </c>
    </row>
    <row r="7797" spans="1:1">
      <c r="A7797" s="1" t="s">
        <v>3296</v>
      </c>
    </row>
    <row r="7798" spans="1:1">
      <c r="A7798" s="1" t="s">
        <v>3296</v>
      </c>
    </row>
    <row r="7799" spans="1:1">
      <c r="A7799" s="1" t="s">
        <v>3297</v>
      </c>
    </row>
    <row r="7800" spans="1:1">
      <c r="A7800" s="1" t="s">
        <v>3297</v>
      </c>
    </row>
    <row r="7801" spans="1:1">
      <c r="A7801" s="1" t="s">
        <v>3296</v>
      </c>
    </row>
    <row r="7802" spans="1:1">
      <c r="A7802" s="1" t="s">
        <v>3296</v>
      </c>
    </row>
    <row r="7803" spans="1:1">
      <c r="A7803" s="1" t="s">
        <v>3296</v>
      </c>
    </row>
    <row r="7804" spans="1:1">
      <c r="A7804" s="1" t="s">
        <v>3297</v>
      </c>
    </row>
    <row r="7805" spans="1:1">
      <c r="A7805" s="1" t="s">
        <v>3297</v>
      </c>
    </row>
    <row r="7806" spans="1:1">
      <c r="A7806" s="1" t="s">
        <v>3296</v>
      </c>
    </row>
    <row r="7807" spans="1:1">
      <c r="A7807" s="1" t="s">
        <v>3300</v>
      </c>
    </row>
    <row r="7808" spans="1:1">
      <c r="A7808" s="1" t="s">
        <v>3301</v>
      </c>
    </row>
    <row r="7809" spans="1:1">
      <c r="A7809" s="1" t="s">
        <v>3302</v>
      </c>
    </row>
    <row r="7810" spans="1:1">
      <c r="A7810" s="1" t="s">
        <v>3303</v>
      </c>
    </row>
    <row r="7811" spans="1:1">
      <c r="A7811" s="1" t="s">
        <v>3304</v>
      </c>
    </row>
    <row r="7812" spans="1:1">
      <c r="A7812" s="1" t="s">
        <v>3305</v>
      </c>
    </row>
    <row r="7813" spans="1:1">
      <c r="A7813" s="1" t="s">
        <v>3304</v>
      </c>
    </row>
    <row r="7814" spans="1:1">
      <c r="A7814" s="1" t="s">
        <v>3306</v>
      </c>
    </row>
    <row r="7815" spans="1:1">
      <c r="A7815" s="1" t="s">
        <v>3307</v>
      </c>
    </row>
    <row r="7816" spans="1:1">
      <c r="A7816" s="1" t="s">
        <v>3308</v>
      </c>
    </row>
    <row r="7817" spans="1:1">
      <c r="A7817" s="1" t="s">
        <v>3309</v>
      </c>
    </row>
    <row r="7818" spans="1:1">
      <c r="A7818" s="1" t="s">
        <v>3310</v>
      </c>
    </row>
    <row r="7819" spans="1:1">
      <c r="A7819" s="1" t="s">
        <v>3309</v>
      </c>
    </row>
    <row r="7820" spans="1:1">
      <c r="A7820" s="1" t="s">
        <v>3311</v>
      </c>
    </row>
    <row r="7821" spans="1:1">
      <c r="A7821" s="1" t="s">
        <v>3312</v>
      </c>
    </row>
    <row r="7822" spans="1:1">
      <c r="A7822" s="1" t="s">
        <v>3313</v>
      </c>
    </row>
    <row r="7823" spans="1:1">
      <c r="A7823" s="1" t="s">
        <v>3312</v>
      </c>
    </row>
    <row r="7824" spans="1:1">
      <c r="A7824" s="1" t="s">
        <v>3314</v>
      </c>
    </row>
    <row r="7825" spans="1:1">
      <c r="A7825" s="1" t="s">
        <v>3315</v>
      </c>
    </row>
    <row r="7826" spans="1:1">
      <c r="A7826" s="1" t="s">
        <v>3316</v>
      </c>
    </row>
    <row r="7827" spans="1:1">
      <c r="A7827" s="1" t="s">
        <v>3315</v>
      </c>
    </row>
    <row r="7828" spans="1:1">
      <c r="A7828" s="1" t="s">
        <v>3317</v>
      </c>
    </row>
    <row r="7829" spans="1:1">
      <c r="A7829" s="1" t="s">
        <v>3318</v>
      </c>
    </row>
    <row r="7830" spans="1:1">
      <c r="A7830" s="1" t="s">
        <v>3319</v>
      </c>
    </row>
    <row r="7831" spans="1:1">
      <c r="A7831" s="1" t="s">
        <v>3320</v>
      </c>
    </row>
    <row r="7832" spans="1:1">
      <c r="A7832" s="1" t="s">
        <v>3321</v>
      </c>
    </row>
    <row r="7833" spans="1:1">
      <c r="A7833" s="1" t="s">
        <v>3322</v>
      </c>
    </row>
    <row r="7834" spans="1:1">
      <c r="A7834" s="1" t="s">
        <v>3323</v>
      </c>
    </row>
    <row r="7835" spans="1:1">
      <c r="A7835" s="1" t="s">
        <v>3324</v>
      </c>
    </row>
    <row r="7836" spans="1:1">
      <c r="A7836" s="1" t="s">
        <v>3325</v>
      </c>
    </row>
    <row r="7837" spans="1:1">
      <c r="A7837" s="1" t="s">
        <v>3326</v>
      </c>
    </row>
    <row r="7838" spans="1:1">
      <c r="A7838" s="1" t="s">
        <v>3327</v>
      </c>
    </row>
    <row r="7839" spans="1:1">
      <c r="A7839" s="1" t="s">
        <v>3328</v>
      </c>
    </row>
    <row r="7840" spans="1:1">
      <c r="A7840" s="1" t="s">
        <v>3329</v>
      </c>
    </row>
    <row r="7841" spans="1:1">
      <c r="A7841" s="1" t="s">
        <v>3330</v>
      </c>
    </row>
    <row r="7842" spans="1:1">
      <c r="A7842" s="1" t="s">
        <v>3331</v>
      </c>
    </row>
    <row r="7843" spans="1:1">
      <c r="A7843" s="1" t="s">
        <v>3332</v>
      </c>
    </row>
    <row r="7844" spans="1:1">
      <c r="A7844" s="1" t="s">
        <v>3333</v>
      </c>
    </row>
    <row r="7845" spans="1:1">
      <c r="A7845" s="1" t="s">
        <v>3334</v>
      </c>
    </row>
    <row r="7846" spans="1:1">
      <c r="A7846" s="1" t="s">
        <v>3335</v>
      </c>
    </row>
    <row r="7847" spans="1:1">
      <c r="A7847" s="1" t="s">
        <v>3336</v>
      </c>
    </row>
    <row r="7848" spans="1:1">
      <c r="A7848" s="1" t="s">
        <v>3337</v>
      </c>
    </row>
    <row r="7849" spans="1:1">
      <c r="A7849" s="1" t="s">
        <v>3338</v>
      </c>
    </row>
    <row r="7850" spans="1:1">
      <c r="A7850" s="1" t="s">
        <v>3339</v>
      </c>
    </row>
    <row r="7851" spans="1:1">
      <c r="A7851" s="1" t="s">
        <v>3340</v>
      </c>
    </row>
    <row r="7852" spans="1:1">
      <c r="A7852" s="1" t="s">
        <v>3341</v>
      </c>
    </row>
    <row r="7853" spans="1:1">
      <c r="A7853" s="1" t="s">
        <v>3342</v>
      </c>
    </row>
    <row r="7854" spans="1:1">
      <c r="A7854" s="1" t="s">
        <v>3343</v>
      </c>
    </row>
    <row r="7855" spans="1:1">
      <c r="A7855" s="1" t="s">
        <v>3342</v>
      </c>
    </row>
    <row r="7856" spans="1:1">
      <c r="A7856" s="1" t="s">
        <v>3344</v>
      </c>
    </row>
    <row r="7857" spans="1:1">
      <c r="A7857" s="1" t="s">
        <v>3345</v>
      </c>
    </row>
    <row r="7858" spans="1:1">
      <c r="A7858" s="1" t="s">
        <v>3346</v>
      </c>
    </row>
    <row r="7859" spans="1:1">
      <c r="A7859" s="1" t="s">
        <v>3347</v>
      </c>
    </row>
    <row r="7860" spans="1:1">
      <c r="A7860" s="1" t="s">
        <v>3348</v>
      </c>
    </row>
    <row r="7861" spans="1:1">
      <c r="A7861" s="1" t="s">
        <v>3350</v>
      </c>
    </row>
    <row r="7862" spans="1:1">
      <c r="A7862" s="1" t="s">
        <v>3351</v>
      </c>
    </row>
    <row r="7863" spans="1:1">
      <c r="A7863" s="1" t="s">
        <v>3352</v>
      </c>
    </row>
    <row r="7864" spans="1:1">
      <c r="A7864" s="1" t="s">
        <v>3353</v>
      </c>
    </row>
    <row r="7865" spans="1:1">
      <c r="A7865" s="1" t="s">
        <v>3354</v>
      </c>
    </row>
    <row r="7866" spans="1:1">
      <c r="A7866" s="1" t="s">
        <v>3355</v>
      </c>
    </row>
    <row r="7867" spans="1:1">
      <c r="A7867" s="1" t="s">
        <v>3356</v>
      </c>
    </row>
    <row r="7868" spans="1:1">
      <c r="A7868" s="1" t="s">
        <v>3357</v>
      </c>
    </row>
    <row r="7869" spans="1:1">
      <c r="A7869" s="1" t="s">
        <v>3356</v>
      </c>
    </row>
    <row r="7870" spans="1:1">
      <c r="A7870" s="1" t="s">
        <v>3358</v>
      </c>
    </row>
    <row r="7871" spans="1:1">
      <c r="A7871" s="1" t="s">
        <v>3359</v>
      </c>
    </row>
    <row r="7872" spans="1:1">
      <c r="A7872" s="1" t="s">
        <v>3360</v>
      </c>
    </row>
    <row r="7873" spans="1:1">
      <c r="A7873" s="1" t="s">
        <v>3361</v>
      </c>
    </row>
    <row r="7874" spans="1:1">
      <c r="A7874" s="1" t="s">
        <v>3362</v>
      </c>
    </row>
    <row r="7875" spans="1:1">
      <c r="A7875" s="1" t="s">
        <v>3363</v>
      </c>
    </row>
    <row r="7876" spans="1:1">
      <c r="A7876" s="1" t="s">
        <v>3364</v>
      </c>
    </row>
    <row r="7877" spans="1:1">
      <c r="A7877" s="1" t="s">
        <v>3366</v>
      </c>
    </row>
    <row r="7878" spans="1:1">
      <c r="A7878" s="1" t="s">
        <v>3367</v>
      </c>
    </row>
    <row r="7879" spans="1:1">
      <c r="A7879" s="1" t="s">
        <v>3368</v>
      </c>
    </row>
    <row r="7880" spans="1:1">
      <c r="A7880" s="1" t="s">
        <v>3369</v>
      </c>
    </row>
    <row r="7881" spans="1:1">
      <c r="A7881" s="1" t="s">
        <v>3370</v>
      </c>
    </row>
    <row r="7882" spans="1:1">
      <c r="A7882" s="1" t="s">
        <v>3371</v>
      </c>
    </row>
    <row r="7883" spans="1:1">
      <c r="A7883" s="1" t="s">
        <v>3372</v>
      </c>
    </row>
    <row r="7884" spans="1:1">
      <c r="A7884" s="1" t="s">
        <v>3373</v>
      </c>
    </row>
    <row r="7885" spans="1:1">
      <c r="A7885" s="1" t="s">
        <v>3374</v>
      </c>
    </row>
    <row r="7886" spans="1:1">
      <c r="A7886" s="1" t="s">
        <v>3375</v>
      </c>
    </row>
    <row r="7887" spans="1:1">
      <c r="A7887" s="1" t="s">
        <v>3376</v>
      </c>
    </row>
    <row r="7888" spans="1:1">
      <c r="A7888" s="1" t="s">
        <v>3377</v>
      </c>
    </row>
    <row r="7889" spans="1:1">
      <c r="A7889" s="1" t="s">
        <v>3378</v>
      </c>
    </row>
    <row r="7890" spans="1:1">
      <c r="A7890" s="1" t="s">
        <v>3379</v>
      </c>
    </row>
    <row r="7891" spans="1:1">
      <c r="A7891" s="1" t="s">
        <v>3380</v>
      </c>
    </row>
    <row r="7892" spans="1:1">
      <c r="A7892" s="1" t="s">
        <v>3381</v>
      </c>
    </row>
    <row r="7893" spans="1:1">
      <c r="A7893" s="1" t="s">
        <v>3382</v>
      </c>
    </row>
    <row r="7894" spans="1:1">
      <c r="A7894" s="1" t="s">
        <v>3383</v>
      </c>
    </row>
    <row r="7895" spans="1:1">
      <c r="A7895" s="1" t="s">
        <v>3384</v>
      </c>
    </row>
    <row r="7896" spans="1:1">
      <c r="A7896" s="1" t="s">
        <v>3385</v>
      </c>
    </row>
    <row r="7897" spans="1:1">
      <c r="A7897" s="1" t="s">
        <v>3386</v>
      </c>
    </row>
    <row r="7898" spans="1:1">
      <c r="A7898" s="1" t="s">
        <v>3387</v>
      </c>
    </row>
    <row r="7899" spans="1:1">
      <c r="A7899" s="1" t="s">
        <v>3388</v>
      </c>
    </row>
    <row r="7900" spans="1:1">
      <c r="A7900" s="1" t="s">
        <v>3389</v>
      </c>
    </row>
    <row r="7901" spans="1:1">
      <c r="A7901" s="1" t="s">
        <v>3390</v>
      </c>
    </row>
    <row r="7902" spans="1:1">
      <c r="A7902" s="1" t="s">
        <v>3391</v>
      </c>
    </row>
    <row r="7903" spans="1:1">
      <c r="A7903" s="1" t="s">
        <v>3392</v>
      </c>
    </row>
    <row r="7904" spans="1:1">
      <c r="A7904" s="1" t="s">
        <v>3393</v>
      </c>
    </row>
    <row r="7905" spans="1:1">
      <c r="A7905" s="1" t="s">
        <v>3394</v>
      </c>
    </row>
    <row r="7906" spans="1:1">
      <c r="A7906" s="1" t="s">
        <v>3395</v>
      </c>
    </row>
    <row r="7907" spans="1:1">
      <c r="A7907" s="1" t="s">
        <v>3396</v>
      </c>
    </row>
    <row r="7908" spans="1:1">
      <c r="A7908" s="1" t="s">
        <v>3397</v>
      </c>
    </row>
    <row r="7909" spans="1:1">
      <c r="A7909" s="1" t="s">
        <v>3398</v>
      </c>
    </row>
    <row r="7910" spans="1:1">
      <c r="A7910" s="1" t="s">
        <v>3399</v>
      </c>
    </row>
    <row r="7911" spans="1:1">
      <c r="A7911" s="1" t="s">
        <v>3400</v>
      </c>
    </row>
    <row r="7912" spans="1:1">
      <c r="A7912" s="1" t="s">
        <v>3401</v>
      </c>
    </row>
    <row r="7913" spans="1:1">
      <c r="A7913" s="1" t="s">
        <v>3402</v>
      </c>
    </row>
    <row r="7914" spans="1:1">
      <c r="A7914" s="1" t="s">
        <v>3403</v>
      </c>
    </row>
    <row r="7915" spans="1:1">
      <c r="A7915" s="1" t="s">
        <v>3404</v>
      </c>
    </row>
    <row r="7916" spans="1:1">
      <c r="A7916" s="1" t="s">
        <v>3405</v>
      </c>
    </row>
    <row r="7917" spans="1:1">
      <c r="A7917" s="1" t="s">
        <v>3406</v>
      </c>
    </row>
    <row r="7918" spans="1:1">
      <c r="A7918" s="1" t="s">
        <v>3407</v>
      </c>
    </row>
    <row r="7919" spans="1:1">
      <c r="A7919" s="1" t="s">
        <v>3408</v>
      </c>
    </row>
    <row r="7920" spans="1:1">
      <c r="A7920" s="1" t="s">
        <v>3409</v>
      </c>
    </row>
    <row r="7921" spans="1:1">
      <c r="A7921" s="1" t="s">
        <v>3410</v>
      </c>
    </row>
    <row r="7922" spans="1:1">
      <c r="A7922" s="1" t="s">
        <v>3411</v>
      </c>
    </row>
    <row r="7923" spans="1:1">
      <c r="A7923" s="1" t="s">
        <v>3412</v>
      </c>
    </row>
    <row r="7924" spans="1:1">
      <c r="A7924" s="1" t="s">
        <v>3413</v>
      </c>
    </row>
    <row r="7925" spans="1:1">
      <c r="A7925" s="1" t="s">
        <v>3414</v>
      </c>
    </row>
    <row r="7926" spans="1:1">
      <c r="A7926" s="1" t="s">
        <v>3414</v>
      </c>
    </row>
    <row r="7927" spans="1:1">
      <c r="A7927" s="1" t="s">
        <v>3415</v>
      </c>
    </row>
    <row r="7928" spans="1:1">
      <c r="A7928" s="1" t="s">
        <v>3415</v>
      </c>
    </row>
    <row r="7929" spans="1:1">
      <c r="A7929" s="1" t="s">
        <v>3414</v>
      </c>
    </row>
    <row r="7930" spans="1:1">
      <c r="A7930" s="1" t="s">
        <v>3414</v>
      </c>
    </row>
    <row r="7931" spans="1:1">
      <c r="A7931" s="1" t="s">
        <v>3414</v>
      </c>
    </row>
    <row r="7932" spans="1:1">
      <c r="A7932" s="1" t="s">
        <v>3415</v>
      </c>
    </row>
    <row r="7933" spans="1:1">
      <c r="A7933" s="1" t="s">
        <v>3415</v>
      </c>
    </row>
    <row r="7934" spans="1:1">
      <c r="A7934" s="1" t="s">
        <v>3414</v>
      </c>
    </row>
    <row r="7935" spans="1:1">
      <c r="A7935" s="1" t="s">
        <v>3428</v>
      </c>
    </row>
    <row r="7936" spans="1:1">
      <c r="A7936" s="1" t="s">
        <v>3429</v>
      </c>
    </row>
    <row r="7937" spans="1:1">
      <c r="A7937" s="1" t="s">
        <v>3430</v>
      </c>
    </row>
    <row r="7938" spans="1:1">
      <c r="A7938" s="1" t="s">
        <v>3431</v>
      </c>
    </row>
    <row r="7939" spans="1:1">
      <c r="A7939" s="1" t="s">
        <v>3432</v>
      </c>
    </row>
    <row r="7940" spans="1:1">
      <c r="A7940" s="1" t="s">
        <v>3433</v>
      </c>
    </row>
    <row r="7941" spans="1:1">
      <c r="A7941" s="1" t="s">
        <v>3434</v>
      </c>
    </row>
    <row r="7942" spans="1:1">
      <c r="A7942" s="1" t="s">
        <v>3435</v>
      </c>
    </row>
    <row r="7943" spans="1:1">
      <c r="A7943" s="1" t="s">
        <v>3436</v>
      </c>
    </row>
    <row r="7944" spans="1:1">
      <c r="A7944" s="1" t="s">
        <v>3437</v>
      </c>
    </row>
    <row r="7945" spans="1:1">
      <c r="A7945" s="1" t="s">
        <v>3438</v>
      </c>
    </row>
    <row r="7946" spans="1:1">
      <c r="A7946" s="1" t="s">
        <v>3439</v>
      </c>
    </row>
    <row r="7947" spans="1:1">
      <c r="A7947" s="1" t="s">
        <v>3440</v>
      </c>
    </row>
    <row r="7948" spans="1:1">
      <c r="A7948" s="1" t="s">
        <v>3441</v>
      </c>
    </row>
    <row r="7949" spans="1:1">
      <c r="A7949" s="1" t="s">
        <v>3442</v>
      </c>
    </row>
    <row r="7950" spans="1:1">
      <c r="A7950" s="1" t="s">
        <v>3443</v>
      </c>
    </row>
    <row r="7951" spans="1:1">
      <c r="A7951" s="1" t="s">
        <v>3444</v>
      </c>
    </row>
    <row r="7952" spans="1:1">
      <c r="A7952" s="1" t="s">
        <v>3445</v>
      </c>
    </row>
    <row r="7953" spans="1:1">
      <c r="A7953" s="1" t="s">
        <v>3446</v>
      </c>
    </row>
    <row r="7954" spans="1:1">
      <c r="A7954" s="1" t="s">
        <v>3447</v>
      </c>
    </row>
    <row r="7955" spans="1:1">
      <c r="A7955" s="1" t="s">
        <v>3448</v>
      </c>
    </row>
    <row r="7956" spans="1:1">
      <c r="A7956" s="1" t="s">
        <v>3449</v>
      </c>
    </row>
    <row r="7957" spans="1:1">
      <c r="A7957" s="1" t="s">
        <v>3450</v>
      </c>
    </row>
    <row r="7958" spans="1:1">
      <c r="A7958" s="1" t="s">
        <v>3450</v>
      </c>
    </row>
    <row r="7959" spans="1:1">
      <c r="A7959" s="1" t="s">
        <v>3451</v>
      </c>
    </row>
    <row r="7960" spans="1:1">
      <c r="A7960" s="1" t="s">
        <v>3451</v>
      </c>
    </row>
    <row r="7961" spans="1:1">
      <c r="A7961" s="1" t="s">
        <v>3450</v>
      </c>
    </row>
    <row r="7962" spans="1:1">
      <c r="A7962" s="1" t="s">
        <v>3450</v>
      </c>
    </row>
    <row r="7963" spans="1:1">
      <c r="A7963" s="1" t="s">
        <v>3450</v>
      </c>
    </row>
    <row r="7964" spans="1:1">
      <c r="A7964" s="1" t="s">
        <v>3451</v>
      </c>
    </row>
    <row r="7965" spans="1:1">
      <c r="A7965" s="1" t="s">
        <v>3451</v>
      </c>
    </row>
    <row r="7966" spans="1:1">
      <c r="A7966" s="1" t="s">
        <v>3450</v>
      </c>
    </row>
    <row r="7967" spans="1:1">
      <c r="A7967" s="1" t="s">
        <v>3452</v>
      </c>
    </row>
    <row r="7968" spans="1:1">
      <c r="A7968" s="1" t="s">
        <v>3452</v>
      </c>
    </row>
    <row r="7969" spans="1:1">
      <c r="A7969" s="1" t="s">
        <v>3453</v>
      </c>
    </row>
    <row r="7970" spans="1:1">
      <c r="A7970" s="1" t="s">
        <v>3453</v>
      </c>
    </row>
    <row r="7971" spans="1:1">
      <c r="A7971" s="1" t="s">
        <v>3452</v>
      </c>
    </row>
    <row r="7972" spans="1:1">
      <c r="A7972" s="1" t="s">
        <v>3452</v>
      </c>
    </row>
    <row r="7973" spans="1:1">
      <c r="A7973" s="1" t="s">
        <v>3452</v>
      </c>
    </row>
    <row r="7974" spans="1:1">
      <c r="A7974" s="1" t="s">
        <v>3453</v>
      </c>
    </row>
    <row r="7975" spans="1:1">
      <c r="A7975" s="1" t="s">
        <v>3453</v>
      </c>
    </row>
    <row r="7976" spans="1:1">
      <c r="A7976" s="1" t="s">
        <v>3452</v>
      </c>
    </row>
    <row r="7977" spans="1:1">
      <c r="A7977" s="1" t="s">
        <v>3454</v>
      </c>
    </row>
    <row r="7978" spans="1:1">
      <c r="A7978" s="1" t="s">
        <v>3455</v>
      </c>
    </row>
    <row r="7979" spans="1:1">
      <c r="A7979" s="1" t="s">
        <v>3456</v>
      </c>
    </row>
    <row r="7980" spans="1:1">
      <c r="A7980" s="1" t="s">
        <v>3457</v>
      </c>
    </row>
    <row r="7981" spans="1:1">
      <c r="A7981" s="1" t="s">
        <v>3458</v>
      </c>
    </row>
    <row r="7982" spans="1:1">
      <c r="A7982" s="1" t="s">
        <v>3459</v>
      </c>
    </row>
    <row r="7983" spans="1:1">
      <c r="A7983" s="1" t="s">
        <v>3457</v>
      </c>
    </row>
    <row r="7984" spans="1:1">
      <c r="A7984" s="1" t="s">
        <v>3460</v>
      </c>
    </row>
    <row r="7985" spans="1:1">
      <c r="A7985" s="1" t="s">
        <v>3459</v>
      </c>
    </row>
    <row r="7986" spans="1:1">
      <c r="A7986" s="1" t="s">
        <v>3461</v>
      </c>
    </row>
    <row r="7987" spans="1:1">
      <c r="A7987" s="1" t="s">
        <v>3461</v>
      </c>
    </row>
    <row r="7988" spans="1:1">
      <c r="A7988" s="1" t="s">
        <v>3462</v>
      </c>
    </row>
    <row r="7989" spans="1:1">
      <c r="A7989" s="1" t="s">
        <v>3462</v>
      </c>
    </row>
    <row r="7990" spans="1:1">
      <c r="A7990" s="1" t="s">
        <v>3461</v>
      </c>
    </row>
    <row r="7991" spans="1:1">
      <c r="A7991" s="1" t="s">
        <v>3461</v>
      </c>
    </row>
    <row r="7992" spans="1:1">
      <c r="A7992" s="1" t="s">
        <v>3461</v>
      </c>
    </row>
    <row r="7993" spans="1:1">
      <c r="A7993" s="1" t="s">
        <v>3462</v>
      </c>
    </row>
    <row r="7994" spans="1:1">
      <c r="A7994" s="1" t="s">
        <v>3462</v>
      </c>
    </row>
    <row r="7995" spans="1:1">
      <c r="A7995" s="1" t="s">
        <v>3461</v>
      </c>
    </row>
    <row r="7996" spans="1:1">
      <c r="A7996" s="1" t="s">
        <v>3519</v>
      </c>
    </row>
    <row r="7997" spans="1:1">
      <c r="A7997" s="1" t="s">
        <v>3520</v>
      </c>
    </row>
    <row r="7998" spans="1:1">
      <c r="A7998" s="1" t="s">
        <v>3521</v>
      </c>
    </row>
    <row r="7999" spans="1:1">
      <c r="A7999" s="1" t="s">
        <v>3522</v>
      </c>
    </row>
    <row r="8000" spans="1:1">
      <c r="A8000" s="1" t="s">
        <v>3523</v>
      </c>
    </row>
    <row r="8001" spans="1:1">
      <c r="A8001" s="1" t="s">
        <v>3524</v>
      </c>
    </row>
    <row r="8002" spans="1:1">
      <c r="A8002" s="1" t="s">
        <v>3525</v>
      </c>
    </row>
    <row r="8003" spans="1:1">
      <c r="A8003" s="1" t="s">
        <v>3526</v>
      </c>
    </row>
    <row r="8004" spans="1:1">
      <c r="A8004" s="1" t="s">
        <v>3527</v>
      </c>
    </row>
    <row r="8005" spans="1:1">
      <c r="A8005" s="1" t="s">
        <v>3528</v>
      </c>
    </row>
    <row r="8006" spans="1:1">
      <c r="A8006" s="1" t="s">
        <v>3529</v>
      </c>
    </row>
    <row r="8007" spans="1:1">
      <c r="A8007" s="1" t="s">
        <v>3530</v>
      </c>
    </row>
    <row r="8008" spans="1:1">
      <c r="A8008" s="1" t="s">
        <v>3531</v>
      </c>
    </row>
    <row r="8009" spans="1:1">
      <c r="A8009" s="1" t="s">
        <v>3532</v>
      </c>
    </row>
    <row r="8010" spans="1:1">
      <c r="A8010" s="1" t="s">
        <v>3533</v>
      </c>
    </row>
    <row r="8011" spans="1:1">
      <c r="A8011" s="1" t="s">
        <v>3534</v>
      </c>
    </row>
    <row r="8012" spans="1:1">
      <c r="A8012" s="1" t="s">
        <v>3535</v>
      </c>
    </row>
    <row r="8013" spans="1:1">
      <c r="A8013" s="1" t="s">
        <v>3525</v>
      </c>
    </row>
    <row r="8014" spans="1:1">
      <c r="A8014" s="1" t="s">
        <v>3526</v>
      </c>
    </row>
    <row r="8015" spans="1:1">
      <c r="A8015" s="1" t="s">
        <v>3527</v>
      </c>
    </row>
    <row r="8016" spans="1:1">
      <c r="A8016" s="1" t="s">
        <v>3528</v>
      </c>
    </row>
    <row r="8017" spans="1:1">
      <c r="A8017" s="1" t="s">
        <v>3529</v>
      </c>
    </row>
    <row r="8018" spans="1:1">
      <c r="A8018" s="1" t="s">
        <v>3539</v>
      </c>
    </row>
    <row r="8019" spans="1:1">
      <c r="A8019" s="1" t="s">
        <v>3539</v>
      </c>
    </row>
    <row r="8020" spans="1:1">
      <c r="A8020" s="1" t="s">
        <v>3540</v>
      </c>
    </row>
    <row r="8021" spans="1:1">
      <c r="A8021" s="1" t="s">
        <v>3541</v>
      </c>
    </row>
    <row r="8022" spans="1:1">
      <c r="A8022" s="1" t="s">
        <v>3542</v>
      </c>
    </row>
    <row r="8023" spans="1:1">
      <c r="A8023" s="1" t="s">
        <v>3539</v>
      </c>
    </row>
    <row r="8024" spans="1:1">
      <c r="A8024" s="1" t="s">
        <v>3539</v>
      </c>
    </row>
    <row r="8025" spans="1:1">
      <c r="A8025" s="1" t="s">
        <v>3539</v>
      </c>
    </row>
    <row r="8026" spans="1:1">
      <c r="A8026" s="1" t="s">
        <v>3540</v>
      </c>
    </row>
    <row r="8027" spans="1:1">
      <c r="A8027" s="1" t="s">
        <v>3541</v>
      </c>
    </row>
    <row r="8028" spans="1:1">
      <c r="A8028" s="1" t="s">
        <v>3542</v>
      </c>
    </row>
    <row r="8029" spans="1:1">
      <c r="A8029" s="1" t="s">
        <v>3539</v>
      </c>
    </row>
    <row r="8030" spans="1:1">
      <c r="A8030" s="1" t="s">
        <v>3562</v>
      </c>
    </row>
    <row r="8031" spans="1:1">
      <c r="A8031" s="1" t="s">
        <v>3563</v>
      </c>
    </row>
    <row r="8032" spans="1:1">
      <c r="A8032" s="1" t="s">
        <v>3564</v>
      </c>
    </row>
    <row r="8033" spans="1:1">
      <c r="A8033" s="1" t="s">
        <v>3565</v>
      </c>
    </row>
    <row r="8034" spans="1:1">
      <c r="A8034" s="1" t="s">
        <v>3566</v>
      </c>
    </row>
    <row r="8035" spans="1:1">
      <c r="A8035" s="1" t="s">
        <v>3567</v>
      </c>
    </row>
    <row r="8036" spans="1:1">
      <c r="A8036" s="1" t="s">
        <v>3568</v>
      </c>
    </row>
    <row r="8037" spans="1:1">
      <c r="A8037" s="1" t="s">
        <v>3568</v>
      </c>
    </row>
    <row r="8038" spans="1:1">
      <c r="A8038" s="1" t="s">
        <v>3569</v>
      </c>
    </row>
    <row r="8039" spans="1:1">
      <c r="A8039" s="1" t="s">
        <v>3570</v>
      </c>
    </row>
    <row r="8040" spans="1:1">
      <c r="A8040" s="1" t="s">
        <v>3571</v>
      </c>
    </row>
    <row r="8041" spans="1:1">
      <c r="A8041" s="1" t="s">
        <v>3568</v>
      </c>
    </row>
    <row r="8042" spans="1:1">
      <c r="A8042" s="1" t="s">
        <v>3568</v>
      </c>
    </row>
    <row r="8043" spans="1:1">
      <c r="A8043" s="1" t="s">
        <v>3568</v>
      </c>
    </row>
    <row r="8044" spans="1:1">
      <c r="A8044" s="1" t="s">
        <v>3569</v>
      </c>
    </row>
    <row r="8045" spans="1:1">
      <c r="A8045" s="1" t="s">
        <v>3570</v>
      </c>
    </row>
    <row r="8046" spans="1:1">
      <c r="A8046" s="1" t="s">
        <v>3571</v>
      </c>
    </row>
    <row r="8047" spans="1:1">
      <c r="A8047" s="1" t="s">
        <v>3568</v>
      </c>
    </row>
    <row r="8048" spans="1:1">
      <c r="A8048" s="1" t="s">
        <v>3568</v>
      </c>
    </row>
    <row r="8049" spans="1:1">
      <c r="A8049" s="1" t="s">
        <v>3568</v>
      </c>
    </row>
    <row r="8050" spans="1:1">
      <c r="A8050" s="1" t="s">
        <v>3569</v>
      </c>
    </row>
    <row r="8051" spans="1:1">
      <c r="A8051" s="1" t="s">
        <v>3570</v>
      </c>
    </row>
    <row r="8052" spans="1:1">
      <c r="A8052" s="1" t="s">
        <v>3571</v>
      </c>
    </row>
    <row r="8053" spans="1:1">
      <c r="A8053" s="1" t="s">
        <v>3568</v>
      </c>
    </row>
    <row r="8054" spans="1:1">
      <c r="A8054" s="1" t="s">
        <v>3572</v>
      </c>
    </row>
    <row r="8055" spans="1:1">
      <c r="A8055" s="1" t="s">
        <v>3573</v>
      </c>
    </row>
    <row r="8056" spans="1:1">
      <c r="A8056" s="1" t="s">
        <v>3574</v>
      </c>
    </row>
    <row r="8057" spans="1:1">
      <c r="A8057" s="1" t="s">
        <v>3575</v>
      </c>
    </row>
    <row r="8058" spans="1:1">
      <c r="A8058" s="1" t="s">
        <v>3576</v>
      </c>
    </row>
    <row r="8059" spans="1:1">
      <c r="A8059" s="1" t="s">
        <v>3577</v>
      </c>
    </row>
    <row r="8060" spans="1:1">
      <c r="A8060" s="1" t="s">
        <v>3578</v>
      </c>
    </row>
    <row r="8061" spans="1:1">
      <c r="A8061" s="1" t="s">
        <v>3579</v>
      </c>
    </row>
    <row r="8062" spans="1:1">
      <c r="A8062" s="1" t="s">
        <v>3580</v>
      </c>
    </row>
    <row r="8063" spans="1:1">
      <c r="A8063" s="1" t="s">
        <v>3577</v>
      </c>
    </row>
    <row r="8064" spans="1:1">
      <c r="A8064" s="1" t="s">
        <v>3577</v>
      </c>
    </row>
    <row r="8065" spans="1:1">
      <c r="A8065" s="1" t="s">
        <v>3577</v>
      </c>
    </row>
    <row r="8066" spans="1:1">
      <c r="A8066" s="1" t="s">
        <v>3578</v>
      </c>
    </row>
    <row r="8067" spans="1:1">
      <c r="A8067" s="1" t="s">
        <v>3579</v>
      </c>
    </row>
    <row r="8068" spans="1:1">
      <c r="A8068" s="1" t="s">
        <v>3580</v>
      </c>
    </row>
    <row r="8069" spans="1:1">
      <c r="A8069" s="1" t="s">
        <v>3577</v>
      </c>
    </row>
    <row r="8070" spans="1:1">
      <c r="A8070" s="1" t="s">
        <v>3577</v>
      </c>
    </row>
    <row r="8071" spans="1:1">
      <c r="A8071" s="1" t="s">
        <v>3577</v>
      </c>
    </row>
    <row r="8072" spans="1:1">
      <c r="A8072" s="1" t="s">
        <v>3578</v>
      </c>
    </row>
    <row r="8073" spans="1:1">
      <c r="A8073" s="1" t="s">
        <v>3579</v>
      </c>
    </row>
    <row r="8074" spans="1:1">
      <c r="A8074" s="1" t="s">
        <v>3580</v>
      </c>
    </row>
    <row r="8075" spans="1:1">
      <c r="A8075" s="1" t="s">
        <v>3577</v>
      </c>
    </row>
    <row r="8076" spans="1:1">
      <c r="A8076" s="1" t="s">
        <v>3581</v>
      </c>
    </row>
    <row r="8077" spans="1:1">
      <c r="A8077" s="1" t="s">
        <v>3582</v>
      </c>
    </row>
    <row r="8078" spans="1:1">
      <c r="A8078" s="1" t="s">
        <v>3583</v>
      </c>
    </row>
    <row r="8079" spans="1:1">
      <c r="A8079" s="1" t="s">
        <v>3581</v>
      </c>
    </row>
    <row r="8080" spans="1:1">
      <c r="A8080" s="1" t="s">
        <v>3584</v>
      </c>
    </row>
    <row r="8081" spans="1:1">
      <c r="A8081" s="1" t="s">
        <v>3585</v>
      </c>
    </row>
    <row r="8082" spans="1:1">
      <c r="A8082" s="1" t="s">
        <v>3586</v>
      </c>
    </row>
    <row r="8083" spans="1:1">
      <c r="A8083" s="1" t="s">
        <v>3587</v>
      </c>
    </row>
    <row r="8084" spans="1:1">
      <c r="A8084" s="1" t="s">
        <v>3588</v>
      </c>
    </row>
    <row r="8085" spans="1:1">
      <c r="A8085" s="1" t="s">
        <v>3589</v>
      </c>
    </row>
    <row r="8086" spans="1:1">
      <c r="A8086" s="1" t="s">
        <v>3590</v>
      </c>
    </row>
    <row r="8087" spans="1:1">
      <c r="A8087" s="1" t="s">
        <v>3591</v>
      </c>
    </row>
    <row r="8088" spans="1:1">
      <c r="A8088" s="1" t="s">
        <v>3592</v>
      </c>
    </row>
    <row r="8089" spans="1:1">
      <c r="A8089" s="1" t="s">
        <v>3583</v>
      </c>
    </row>
    <row r="8090" spans="1:1">
      <c r="A8090" s="1" t="s">
        <v>3581</v>
      </c>
    </row>
    <row r="8091" spans="1:1">
      <c r="A8091" s="1" t="s">
        <v>3593</v>
      </c>
    </row>
    <row r="8092" spans="1:1">
      <c r="A8092" s="1" t="s">
        <v>3585</v>
      </c>
    </row>
    <row r="8093" spans="1:1">
      <c r="A8093" s="1" t="s">
        <v>3586</v>
      </c>
    </row>
    <row r="8094" spans="1:1">
      <c r="A8094" s="1" t="s">
        <v>3587</v>
      </c>
    </row>
    <row r="8095" spans="1:1">
      <c r="A8095" s="1" t="s">
        <v>3594</v>
      </c>
    </row>
    <row r="8096" spans="1:1">
      <c r="A8096" s="1" t="s">
        <v>3589</v>
      </c>
    </row>
    <row r="8097" spans="1:1">
      <c r="A8097" s="1" t="s">
        <v>3590</v>
      </c>
    </row>
    <row r="8098" spans="1:1">
      <c r="A8098" s="1" t="s">
        <v>3591</v>
      </c>
    </row>
    <row r="8099" spans="1:1">
      <c r="A8099" s="1" t="s">
        <v>3592</v>
      </c>
    </row>
    <row r="8100" spans="1:1">
      <c r="A8100" s="1" t="s">
        <v>3583</v>
      </c>
    </row>
    <row r="8101" spans="1:1">
      <c r="A8101" s="1" t="s">
        <v>3581</v>
      </c>
    </row>
    <row r="8102" spans="1:1">
      <c r="A8102" s="1" t="s">
        <v>3595</v>
      </c>
    </row>
    <row r="8103" spans="1:1">
      <c r="A8103" s="1" t="s">
        <v>3596</v>
      </c>
    </row>
    <row r="8104" spans="1:1">
      <c r="A8104" s="1" t="s">
        <v>3597</v>
      </c>
    </row>
    <row r="8105" spans="1:1">
      <c r="A8105" s="1" t="s">
        <v>3598</v>
      </c>
    </row>
    <row r="8106" spans="1:1">
      <c r="A8106" s="1" t="s">
        <v>3599</v>
      </c>
    </row>
    <row r="8107" spans="1:1">
      <c r="A8107" s="1" t="s">
        <v>3600</v>
      </c>
    </row>
    <row r="8108" spans="1:1">
      <c r="A8108" s="1" t="s">
        <v>3601</v>
      </c>
    </row>
    <row r="8109" spans="1:1">
      <c r="A8109" s="1" t="s">
        <v>3602</v>
      </c>
    </row>
    <row r="8110" spans="1:1">
      <c r="A8110" s="1" t="s">
        <v>3603</v>
      </c>
    </row>
    <row r="8111" spans="1:1">
      <c r="A8111" s="1" t="s">
        <v>3604</v>
      </c>
    </row>
    <row r="8112" spans="1:1">
      <c r="A8112" s="1" t="s">
        <v>3605</v>
      </c>
    </row>
    <row r="8113" spans="1:1">
      <c r="A8113" s="1" t="s">
        <v>3606</v>
      </c>
    </row>
    <row r="8114" spans="1:1">
      <c r="A8114" s="1" t="s">
        <v>3607</v>
      </c>
    </row>
    <row r="8115" spans="1:1">
      <c r="A8115" s="1" t="s">
        <v>3608</v>
      </c>
    </row>
    <row r="8116" spans="1:1">
      <c r="A8116" s="1" t="s">
        <v>3609</v>
      </c>
    </row>
    <row r="8117" spans="1:1">
      <c r="A8117" s="1" t="s">
        <v>3610</v>
      </c>
    </row>
    <row r="8118" spans="1:1">
      <c r="A8118" s="1" t="s">
        <v>3611</v>
      </c>
    </row>
    <row r="8119" spans="1:1">
      <c r="A8119" s="1" t="s">
        <v>3612</v>
      </c>
    </row>
    <row r="8120" spans="1:1">
      <c r="A8120" s="1" t="s">
        <v>3613</v>
      </c>
    </row>
    <row r="8121" spans="1:1">
      <c r="A8121" s="1" t="s">
        <v>3614</v>
      </c>
    </row>
    <row r="8122" spans="1:1">
      <c r="A8122" s="1" t="s">
        <v>3615</v>
      </c>
    </row>
    <row r="8123" spans="1:1">
      <c r="A8123" s="1" t="s">
        <v>3605</v>
      </c>
    </row>
    <row r="8124" spans="1:1">
      <c r="A8124" s="1" t="s">
        <v>3616</v>
      </c>
    </row>
    <row r="8125" spans="1:1">
      <c r="A8125" s="1" t="s">
        <v>3607</v>
      </c>
    </row>
    <row r="8126" spans="1:1">
      <c r="A8126" s="1" t="s">
        <v>3608</v>
      </c>
    </row>
    <row r="8127" spans="1:1">
      <c r="A8127" s="1" t="s">
        <v>3609</v>
      </c>
    </row>
    <row r="8128" spans="1:1">
      <c r="A8128" s="1" t="s">
        <v>3617</v>
      </c>
    </row>
    <row r="8129" spans="1:1">
      <c r="A8129" s="1" t="s">
        <v>3611</v>
      </c>
    </row>
    <row r="8130" spans="1:1">
      <c r="A8130" s="1" t="s">
        <v>3612</v>
      </c>
    </row>
    <row r="8131" spans="1:1">
      <c r="A8131" s="1" t="s">
        <v>3613</v>
      </c>
    </row>
    <row r="8132" spans="1:1">
      <c r="A8132" s="1" t="s">
        <v>3614</v>
      </c>
    </row>
    <row r="8133" spans="1:1">
      <c r="A8133" s="1" t="s">
        <v>3615</v>
      </c>
    </row>
    <row r="8134" spans="1:1">
      <c r="A8134" s="1" t="s">
        <v>3618</v>
      </c>
    </row>
    <row r="8135" spans="1:1">
      <c r="A8135" s="1" t="s">
        <v>3619</v>
      </c>
    </row>
    <row r="8136" spans="1:1">
      <c r="A8136" s="1" t="s">
        <v>3620</v>
      </c>
    </row>
    <row r="8137" spans="1:1">
      <c r="A8137" s="1" t="s">
        <v>3621</v>
      </c>
    </row>
    <row r="8138" spans="1:1">
      <c r="A8138" s="1" t="s">
        <v>3622</v>
      </c>
    </row>
    <row r="8139" spans="1:1">
      <c r="A8139" s="1" t="s">
        <v>3623</v>
      </c>
    </row>
    <row r="8140" spans="1:1">
      <c r="A8140" s="1" t="s">
        <v>3624</v>
      </c>
    </row>
    <row r="8141" spans="1:1">
      <c r="A8141" s="1" t="s">
        <v>3625</v>
      </c>
    </row>
    <row r="8142" spans="1:1">
      <c r="A8142" s="1" t="s">
        <v>3626</v>
      </c>
    </row>
    <row r="8143" spans="1:1">
      <c r="A8143" s="1" t="s">
        <v>3627</v>
      </c>
    </row>
    <row r="8144" spans="1:1">
      <c r="A8144" s="1" t="s">
        <v>3628</v>
      </c>
    </row>
    <row r="8145" spans="1:1">
      <c r="A8145" s="1" t="s">
        <v>3618</v>
      </c>
    </row>
    <row r="8146" spans="1:1">
      <c r="A8146" s="1" t="s">
        <v>3629</v>
      </c>
    </row>
    <row r="8147" spans="1:1">
      <c r="A8147" s="1" t="s">
        <v>3620</v>
      </c>
    </row>
    <row r="8148" spans="1:1">
      <c r="A8148" s="1" t="s">
        <v>3621</v>
      </c>
    </row>
    <row r="8149" spans="1:1">
      <c r="A8149" s="1" t="s">
        <v>3622</v>
      </c>
    </row>
    <row r="8150" spans="1:1">
      <c r="A8150" s="1" t="s">
        <v>3630</v>
      </c>
    </row>
    <row r="8151" spans="1:1">
      <c r="A8151" s="1" t="s">
        <v>3624</v>
      </c>
    </row>
    <row r="8152" spans="1:1">
      <c r="A8152" s="1" t="s">
        <v>3625</v>
      </c>
    </row>
    <row r="8153" spans="1:1">
      <c r="A8153" s="1" t="s">
        <v>3626</v>
      </c>
    </row>
    <row r="8154" spans="1:1">
      <c r="A8154" s="1" t="s">
        <v>3627</v>
      </c>
    </row>
    <row r="8155" spans="1:1">
      <c r="A8155" s="1" t="s">
        <v>3628</v>
      </c>
    </row>
    <row r="8156" spans="1:1">
      <c r="A8156" s="1" t="s">
        <v>3632</v>
      </c>
    </row>
    <row r="8157" spans="1:1">
      <c r="A8157" s="1" t="s">
        <v>3632</v>
      </c>
    </row>
    <row r="8158" spans="1:1">
      <c r="A8158" s="1" t="s">
        <v>3633</v>
      </c>
    </row>
    <row r="8159" spans="1:1">
      <c r="A8159" s="1" t="s">
        <v>3634</v>
      </c>
    </row>
    <row r="8160" spans="1:1">
      <c r="A8160" s="1" t="s">
        <v>3635</v>
      </c>
    </row>
    <row r="8161" spans="1:1">
      <c r="A8161" s="1" t="s">
        <v>3632</v>
      </c>
    </row>
    <row r="8162" spans="1:1">
      <c r="A8162" s="1" t="s">
        <v>3632</v>
      </c>
    </row>
    <row r="8163" spans="1:1">
      <c r="A8163" s="1" t="s">
        <v>3632</v>
      </c>
    </row>
    <row r="8164" spans="1:1">
      <c r="A8164" s="1" t="s">
        <v>3633</v>
      </c>
    </row>
    <row r="8165" spans="1:1">
      <c r="A8165" s="1" t="s">
        <v>3634</v>
      </c>
    </row>
    <row r="8166" spans="1:1">
      <c r="A8166" s="1" t="s">
        <v>3635</v>
      </c>
    </row>
    <row r="8167" spans="1:1">
      <c r="A8167" s="1" t="s">
        <v>3632</v>
      </c>
    </row>
    <row r="8168" spans="1:1">
      <c r="A8168" s="1" t="s">
        <v>3632</v>
      </c>
    </row>
    <row r="8169" spans="1:1">
      <c r="A8169" s="1" t="s">
        <v>3632</v>
      </c>
    </row>
    <row r="8170" spans="1:1">
      <c r="A8170" s="1" t="s">
        <v>3633</v>
      </c>
    </row>
    <row r="8171" spans="1:1">
      <c r="A8171" s="1" t="s">
        <v>3634</v>
      </c>
    </row>
    <row r="8172" spans="1:1">
      <c r="A8172" s="1" t="s">
        <v>3635</v>
      </c>
    </row>
    <row r="8173" spans="1:1">
      <c r="A8173" s="1" t="s">
        <v>3632</v>
      </c>
    </row>
    <row r="8174" spans="1:1">
      <c r="A8174" s="1" t="s">
        <v>3636</v>
      </c>
    </row>
    <row r="8175" spans="1:1">
      <c r="A8175" s="1" t="s">
        <v>3637</v>
      </c>
    </row>
    <row r="8176" spans="1:1">
      <c r="A8176" s="1" t="s">
        <v>3638</v>
      </c>
    </row>
    <row r="8177" spans="1:1">
      <c r="A8177" s="1" t="s">
        <v>3639</v>
      </c>
    </row>
    <row r="8178" spans="1:1">
      <c r="A8178" s="1" t="s">
        <v>3638</v>
      </c>
    </row>
    <row r="8179" spans="1:1">
      <c r="A8179" s="1" t="s">
        <v>3640</v>
      </c>
    </row>
    <row r="8180" spans="1:1">
      <c r="A8180" s="1" t="s">
        <v>3638</v>
      </c>
    </row>
    <row r="8181" spans="1:1">
      <c r="A8181" s="1" t="s">
        <v>3641</v>
      </c>
    </row>
    <row r="8182" spans="1:1">
      <c r="A8182" s="1" t="s">
        <v>3642</v>
      </c>
    </row>
    <row r="8183" spans="1:1">
      <c r="A8183" s="1" t="s">
        <v>3643</v>
      </c>
    </row>
    <row r="8184" spans="1:1">
      <c r="A8184" s="1" t="s">
        <v>3644</v>
      </c>
    </row>
    <row r="8185" spans="1:1">
      <c r="A8185" s="1" t="s">
        <v>3645</v>
      </c>
    </row>
    <row r="8186" spans="1:1">
      <c r="A8186" s="1" t="s">
        <v>3644</v>
      </c>
    </row>
    <row r="8187" spans="1:1">
      <c r="A8187" s="1" t="s">
        <v>3646</v>
      </c>
    </row>
    <row r="8188" spans="1:1">
      <c r="A8188" s="1" t="s">
        <v>3647</v>
      </c>
    </row>
    <row r="8189" spans="1:1">
      <c r="A8189" s="1" t="s">
        <v>3648</v>
      </c>
    </row>
    <row r="8190" spans="1:1">
      <c r="A8190" s="1" t="s">
        <v>3649</v>
      </c>
    </row>
    <row r="8191" spans="1:1">
      <c r="A8191" s="1" t="s">
        <v>3650</v>
      </c>
    </row>
    <row r="8192" spans="1:1">
      <c r="A8192" s="1" t="s">
        <v>3651</v>
      </c>
    </row>
    <row r="8193" spans="1:1">
      <c r="A8193" s="1" t="s">
        <v>3652</v>
      </c>
    </row>
    <row r="8194" spans="1:1">
      <c r="A8194" s="1" t="s">
        <v>3653</v>
      </c>
    </row>
    <row r="8195" spans="1:1">
      <c r="A8195" s="1" t="s">
        <v>3654</v>
      </c>
    </row>
    <row r="8196" spans="1:1">
      <c r="A8196" s="1" t="s">
        <v>3655</v>
      </c>
    </row>
    <row r="8197" spans="1:1">
      <c r="A8197" s="1" t="s">
        <v>3656</v>
      </c>
    </row>
    <row r="8198" spans="1:1">
      <c r="A8198" s="1" t="s">
        <v>3655</v>
      </c>
    </row>
    <row r="8199" spans="1:1">
      <c r="A8199" s="1" t="s">
        <v>3657</v>
      </c>
    </row>
    <row r="8200" spans="1:1">
      <c r="A8200" s="1" t="s">
        <v>3658</v>
      </c>
    </row>
    <row r="8201" spans="1:1">
      <c r="A8201" s="1" t="s">
        <v>3659</v>
      </c>
    </row>
    <row r="8202" spans="1:1">
      <c r="A8202" s="1" t="s">
        <v>3658</v>
      </c>
    </row>
    <row r="8203" spans="1:1">
      <c r="A8203" s="1" t="s">
        <v>3660</v>
      </c>
    </row>
    <row r="8204" spans="1:1">
      <c r="A8204" s="1" t="s">
        <v>3658</v>
      </c>
    </row>
    <row r="8205" spans="1:1">
      <c r="A8205" s="1" t="s">
        <v>3661</v>
      </c>
    </row>
    <row r="8206" spans="1:1">
      <c r="A8206" s="1" t="s">
        <v>3658</v>
      </c>
    </row>
    <row r="8207" spans="1:1">
      <c r="A8207" s="1" t="s">
        <v>3662</v>
      </c>
    </row>
    <row r="8208" spans="1:1">
      <c r="A8208" s="1" t="s">
        <v>3663</v>
      </c>
    </row>
    <row r="8209" spans="1:1">
      <c r="A8209" s="1" t="s">
        <v>3664</v>
      </c>
    </row>
    <row r="8210" spans="1:1">
      <c r="A8210" s="1" t="s">
        <v>3665</v>
      </c>
    </row>
    <row r="8211" spans="1:1">
      <c r="A8211" s="1" t="s">
        <v>3666</v>
      </c>
    </row>
    <row r="8212" spans="1:1">
      <c r="A8212" s="1" t="s">
        <v>3667</v>
      </c>
    </row>
    <row r="8213" spans="1:1">
      <c r="A8213" s="1" t="s">
        <v>3668</v>
      </c>
    </row>
    <row r="8214" spans="1:1">
      <c r="A8214" s="1" t="s">
        <v>3669</v>
      </c>
    </row>
    <row r="8215" spans="1:1">
      <c r="A8215" s="1" t="s">
        <v>3670</v>
      </c>
    </row>
    <row r="8216" spans="1:1">
      <c r="A8216" s="1" t="s">
        <v>3671</v>
      </c>
    </row>
    <row r="8217" spans="1:1">
      <c r="A8217" s="1" t="s">
        <v>3672</v>
      </c>
    </row>
    <row r="8218" spans="1:1">
      <c r="A8218" s="1" t="s">
        <v>3673</v>
      </c>
    </row>
    <row r="8219" spans="1:1">
      <c r="A8219" s="1" t="s">
        <v>3674</v>
      </c>
    </row>
    <row r="8220" spans="1:1">
      <c r="A8220" s="1" t="s">
        <v>3675</v>
      </c>
    </row>
    <row r="8221" spans="1:1">
      <c r="A8221" s="1" t="s">
        <v>3676</v>
      </c>
    </row>
    <row r="8222" spans="1:1">
      <c r="A8222" s="1" t="s">
        <v>3677</v>
      </c>
    </row>
    <row r="8223" spans="1:1">
      <c r="A8223" s="1" t="s">
        <v>3678</v>
      </c>
    </row>
    <row r="8224" spans="1:1">
      <c r="A8224" s="1" t="s">
        <v>3679</v>
      </c>
    </row>
    <row r="8225" spans="1:1">
      <c r="A8225" s="1" t="s">
        <v>3680</v>
      </c>
    </row>
    <row r="8226" spans="1:1">
      <c r="A8226" s="1" t="s">
        <v>3681</v>
      </c>
    </row>
    <row r="8227" spans="1:1">
      <c r="A8227" s="1" t="s">
        <v>3682</v>
      </c>
    </row>
    <row r="8228" spans="1:1">
      <c r="A8228" s="1" t="s">
        <v>3683</v>
      </c>
    </row>
    <row r="8229" spans="1:1">
      <c r="A8229" s="1" t="s">
        <v>3684</v>
      </c>
    </row>
    <row r="8230" spans="1:1">
      <c r="A8230" s="1" t="s">
        <v>3685</v>
      </c>
    </row>
    <row r="8231" spans="1:1">
      <c r="A8231" s="1" t="s">
        <v>3686</v>
      </c>
    </row>
    <row r="8232" spans="1:1">
      <c r="A8232" s="1" t="s">
        <v>3687</v>
      </c>
    </row>
    <row r="8233" spans="1:1">
      <c r="A8233" s="1" t="s">
        <v>3688</v>
      </c>
    </row>
    <row r="8234" spans="1:1">
      <c r="A8234" s="1" t="s">
        <v>3689</v>
      </c>
    </row>
    <row r="8235" spans="1:1">
      <c r="A8235" s="1" t="s">
        <v>3690</v>
      </c>
    </row>
    <row r="8236" spans="1:1">
      <c r="A8236" s="1" t="s">
        <v>3691</v>
      </c>
    </row>
    <row r="8237" spans="1:1">
      <c r="A8237" s="1" t="s">
        <v>3692</v>
      </c>
    </row>
    <row r="8238" spans="1:1">
      <c r="A8238" s="1" t="s">
        <v>3693</v>
      </c>
    </row>
    <row r="8239" spans="1:1">
      <c r="A8239" s="1" t="s">
        <v>3694</v>
      </c>
    </row>
    <row r="8240" spans="1:1">
      <c r="A8240" s="1" t="s">
        <v>3695</v>
      </c>
    </row>
    <row r="8241" spans="1:1">
      <c r="A8241" s="1" t="s">
        <v>3696</v>
      </c>
    </row>
    <row r="8242" spans="1:1">
      <c r="A8242" s="1" t="s">
        <v>3697</v>
      </c>
    </row>
    <row r="8243" spans="1:1">
      <c r="A8243" s="1" t="s">
        <v>3698</v>
      </c>
    </row>
    <row r="8244" spans="1:1">
      <c r="A8244" s="1" t="s">
        <v>3699</v>
      </c>
    </row>
    <row r="8245" spans="1:1">
      <c r="A8245" s="1" t="s">
        <v>3700</v>
      </c>
    </row>
    <row r="8246" spans="1:1">
      <c r="A8246" s="1" t="s">
        <v>3701</v>
      </c>
    </row>
    <row r="8247" spans="1:1">
      <c r="A8247" s="1" t="s">
        <v>3702</v>
      </c>
    </row>
    <row r="8248" spans="1:1">
      <c r="A8248" s="1" t="s">
        <v>3703</v>
      </c>
    </row>
    <row r="8249" spans="1:1">
      <c r="A8249" s="1" t="s">
        <v>3704</v>
      </c>
    </row>
    <row r="8250" spans="1:1">
      <c r="A8250" s="1" t="s">
        <v>3705</v>
      </c>
    </row>
    <row r="8251" spans="1:1">
      <c r="A8251" s="1" t="s">
        <v>3706</v>
      </c>
    </row>
    <row r="8252" spans="1:1">
      <c r="A8252" s="1" t="s">
        <v>3707</v>
      </c>
    </row>
    <row r="8253" spans="1:1">
      <c r="A8253" s="1" t="s">
        <v>3708</v>
      </c>
    </row>
    <row r="8254" spans="1:1">
      <c r="A8254" s="1" t="s">
        <v>3709</v>
      </c>
    </row>
    <row r="8255" spans="1:1">
      <c r="A8255" s="1" t="s">
        <v>3710</v>
      </c>
    </row>
    <row r="8256" spans="1:1">
      <c r="A8256" s="1" t="s">
        <v>3711</v>
      </c>
    </row>
    <row r="8257" spans="1:1">
      <c r="A8257" s="1" t="s">
        <v>3712</v>
      </c>
    </row>
    <row r="8258" spans="1:1">
      <c r="A8258" s="1" t="s">
        <v>3713</v>
      </c>
    </row>
    <row r="8259" spans="1:1">
      <c r="A8259" s="1" t="s">
        <v>3713</v>
      </c>
    </row>
    <row r="8260" spans="1:1">
      <c r="A8260" s="1" t="s">
        <v>3714</v>
      </c>
    </row>
    <row r="8261" spans="1:1">
      <c r="A8261" s="1" t="s">
        <v>3715</v>
      </c>
    </row>
    <row r="8262" spans="1:1">
      <c r="A8262" s="1" t="s">
        <v>3716</v>
      </c>
    </row>
    <row r="8263" spans="1:1">
      <c r="A8263" s="1" t="s">
        <v>3713</v>
      </c>
    </row>
    <row r="8264" spans="1:1">
      <c r="A8264" s="1" t="s">
        <v>3713</v>
      </c>
    </row>
    <row r="8265" spans="1:1">
      <c r="A8265" s="1" t="s">
        <v>3713</v>
      </c>
    </row>
    <row r="8266" spans="1:1">
      <c r="A8266" s="1" t="s">
        <v>3714</v>
      </c>
    </row>
    <row r="8267" spans="1:1">
      <c r="A8267" s="1" t="s">
        <v>3715</v>
      </c>
    </row>
    <row r="8268" spans="1:1">
      <c r="A8268" s="1" t="s">
        <v>3716</v>
      </c>
    </row>
    <row r="8269" spans="1:1">
      <c r="A8269" s="1" t="s">
        <v>3713</v>
      </c>
    </row>
    <row r="8270" spans="1:1">
      <c r="A8270" s="1" t="s">
        <v>3713</v>
      </c>
    </row>
    <row r="8271" spans="1:1">
      <c r="A8271" s="1" t="s">
        <v>3713</v>
      </c>
    </row>
    <row r="8272" spans="1:1">
      <c r="A8272" s="1" t="s">
        <v>3714</v>
      </c>
    </row>
    <row r="8273" spans="1:1">
      <c r="A8273" s="1" t="s">
        <v>3715</v>
      </c>
    </row>
    <row r="8274" spans="1:1">
      <c r="A8274" s="1" t="s">
        <v>3716</v>
      </c>
    </row>
    <row r="8275" spans="1:1">
      <c r="A8275" s="1" t="s">
        <v>3713</v>
      </c>
    </row>
    <row r="8276" spans="1:1">
      <c r="A8276" s="1" t="s">
        <v>3717</v>
      </c>
    </row>
    <row r="8277" spans="1:1">
      <c r="A8277" s="1" t="s">
        <v>3718</v>
      </c>
    </row>
    <row r="8278" spans="1:1">
      <c r="A8278" s="1" t="s">
        <v>3719</v>
      </c>
    </row>
    <row r="8279" spans="1:1">
      <c r="A8279" s="1" t="s">
        <v>3720</v>
      </c>
    </row>
    <row r="8280" spans="1:1">
      <c r="A8280" s="1" t="s">
        <v>3721</v>
      </c>
    </row>
    <row r="8281" spans="1:1">
      <c r="A8281" s="1" t="s">
        <v>3722</v>
      </c>
    </row>
    <row r="8282" spans="1:1">
      <c r="A8282" s="1" t="s">
        <v>3723</v>
      </c>
    </row>
    <row r="8283" spans="1:1">
      <c r="A8283" s="1" t="s">
        <v>3724</v>
      </c>
    </row>
    <row r="8284" spans="1:1">
      <c r="A8284" s="1" t="s">
        <v>3725</v>
      </c>
    </row>
    <row r="8285" spans="1:1">
      <c r="A8285" s="1" t="s">
        <v>3726</v>
      </c>
    </row>
    <row r="8286" spans="1:1">
      <c r="A8286" s="1" t="s">
        <v>3727</v>
      </c>
    </row>
    <row r="8287" spans="1:1">
      <c r="A8287" s="1" t="s">
        <v>3717</v>
      </c>
    </row>
    <row r="8288" spans="1:1">
      <c r="A8288" s="1" t="s">
        <v>3728</v>
      </c>
    </row>
    <row r="8289" spans="1:1">
      <c r="A8289" s="1" t="s">
        <v>3719</v>
      </c>
    </row>
    <row r="8290" spans="1:1">
      <c r="A8290" s="1" t="s">
        <v>3720</v>
      </c>
    </row>
    <row r="8291" spans="1:1">
      <c r="A8291" s="1" t="s">
        <v>3721</v>
      </c>
    </row>
    <row r="8292" spans="1:1">
      <c r="A8292" s="1" t="s">
        <v>3729</v>
      </c>
    </row>
    <row r="8293" spans="1:1">
      <c r="A8293" s="1" t="s">
        <v>3723</v>
      </c>
    </row>
    <row r="8294" spans="1:1">
      <c r="A8294" s="1" t="s">
        <v>3724</v>
      </c>
    </row>
    <row r="8295" spans="1:1">
      <c r="A8295" s="1" t="s">
        <v>3725</v>
      </c>
    </row>
    <row r="8296" spans="1:1">
      <c r="A8296" s="1" t="s">
        <v>3726</v>
      </c>
    </row>
    <row r="8297" spans="1:1">
      <c r="A8297" s="1" t="s">
        <v>3727</v>
      </c>
    </row>
    <row r="8298" spans="1:1">
      <c r="A8298" s="1" t="s">
        <v>3738</v>
      </c>
    </row>
    <row r="8299" spans="1:1">
      <c r="A8299" s="1" t="s">
        <v>3739</v>
      </c>
    </row>
    <row r="8300" spans="1:1">
      <c r="A8300" s="1" t="s">
        <v>3740</v>
      </c>
    </row>
    <row r="8301" spans="1:1">
      <c r="A8301" s="1" t="s">
        <v>3738</v>
      </c>
    </row>
    <row r="8302" spans="1:1">
      <c r="A8302" s="1" t="s">
        <v>3739</v>
      </c>
    </row>
    <row r="8303" spans="1:1">
      <c r="A8303" s="1" t="s">
        <v>3740</v>
      </c>
    </row>
    <row r="8304" spans="1:1">
      <c r="A8304" s="1" t="s">
        <v>3738</v>
      </c>
    </row>
    <row r="8305" spans="1:1">
      <c r="A8305" s="1" t="s">
        <v>3739</v>
      </c>
    </row>
    <row r="8306" spans="1:1">
      <c r="A8306" s="1" t="s">
        <v>3740</v>
      </c>
    </row>
    <row r="8307" spans="1:1">
      <c r="A8307" s="1" t="s">
        <v>3769</v>
      </c>
    </row>
    <row r="8308" spans="1:1">
      <c r="A8308" s="1" t="s">
        <v>3770</v>
      </c>
    </row>
    <row r="8309" spans="1:1">
      <c r="A8309" s="1" t="s">
        <v>3771</v>
      </c>
    </row>
    <row r="8310" spans="1:1">
      <c r="A8310" s="1" t="s">
        <v>3772</v>
      </c>
    </row>
    <row r="8311" spans="1:1">
      <c r="A8311" s="1" t="s">
        <v>3773</v>
      </c>
    </row>
    <row r="8312" spans="1:1">
      <c r="A8312" s="1" t="s">
        <v>3774</v>
      </c>
    </row>
    <row r="8313" spans="1:1">
      <c r="A8313" s="1" t="s">
        <v>3805</v>
      </c>
    </row>
    <row r="8314" spans="1:1">
      <c r="A8314" s="1" t="s">
        <v>3806</v>
      </c>
    </row>
    <row r="8315" spans="1:1">
      <c r="A8315" s="1" t="s">
        <v>3807</v>
      </c>
    </row>
    <row r="8316" spans="1:1">
      <c r="A8316" s="1" t="s">
        <v>3808</v>
      </c>
    </row>
    <row r="8317" spans="1:1">
      <c r="A8317" s="1" t="s">
        <v>3809</v>
      </c>
    </row>
    <row r="8318" spans="1:1">
      <c r="A8318" s="1" t="s">
        <v>3810</v>
      </c>
    </row>
    <row r="8319" spans="1:1">
      <c r="A8319" s="1" t="s">
        <v>3812</v>
      </c>
    </row>
    <row r="8320" spans="1:1">
      <c r="A8320" s="1" t="s">
        <v>3813</v>
      </c>
    </row>
    <row r="8321" spans="1:1">
      <c r="A8321" s="1" t="s">
        <v>3814</v>
      </c>
    </row>
    <row r="8322" spans="1:1">
      <c r="A8322" s="1" t="s">
        <v>3815</v>
      </c>
    </row>
    <row r="8323" spans="1:1">
      <c r="A8323" s="1" t="s">
        <v>3816</v>
      </c>
    </row>
    <row r="8324" spans="1:1">
      <c r="A8324" s="1" t="s">
        <v>3817</v>
      </c>
    </row>
    <row r="8325" spans="1:1">
      <c r="A8325" s="1" t="s">
        <v>3818</v>
      </c>
    </row>
    <row r="8326" spans="1:1">
      <c r="A8326" s="1" t="s">
        <v>3819</v>
      </c>
    </row>
    <row r="8327" spans="1:1">
      <c r="A8327" s="1" t="s">
        <v>3820</v>
      </c>
    </row>
    <row r="8328" spans="1:1">
      <c r="A8328" s="1" t="s">
        <v>3821</v>
      </c>
    </row>
    <row r="8329" spans="1:1">
      <c r="A8329" s="1" t="s">
        <v>3822</v>
      </c>
    </row>
    <row r="8330" spans="1:1">
      <c r="A8330" s="1" t="s">
        <v>3823</v>
      </c>
    </row>
    <row r="8331" spans="1:1">
      <c r="A8331" s="1" t="s">
        <v>3824</v>
      </c>
    </row>
    <row r="8332" spans="1:1">
      <c r="A8332" s="1" t="s">
        <v>3825</v>
      </c>
    </row>
    <row r="8333" spans="1:1">
      <c r="A8333" s="1" t="s">
        <v>3826</v>
      </c>
    </row>
    <row r="8334" spans="1:1">
      <c r="A8334" s="1" t="s">
        <v>3827</v>
      </c>
    </row>
    <row r="8335" spans="1:1">
      <c r="A8335" s="1" t="s">
        <v>3828</v>
      </c>
    </row>
    <row r="8336" spans="1:1">
      <c r="A8336" s="1" t="s">
        <v>3829</v>
      </c>
    </row>
    <row r="8337" spans="1:1">
      <c r="A8337" s="1" t="s">
        <v>3830</v>
      </c>
    </row>
    <row r="8338" spans="1:1">
      <c r="A8338" s="1" t="s">
        <v>3831</v>
      </c>
    </row>
    <row r="8339" spans="1:1">
      <c r="A8339" s="1" t="s">
        <v>3832</v>
      </c>
    </row>
    <row r="8340" spans="1:1">
      <c r="A8340" s="1" t="s">
        <v>3833</v>
      </c>
    </row>
    <row r="8341" spans="1:1">
      <c r="A8341" s="1" t="s">
        <v>3834</v>
      </c>
    </row>
    <row r="8342" spans="1:1">
      <c r="A8342" s="1" t="s">
        <v>3835</v>
      </c>
    </row>
    <row r="8343" spans="1:1">
      <c r="A8343" s="1" t="s">
        <v>3834</v>
      </c>
    </row>
    <row r="8344" spans="1:1">
      <c r="A8344" s="1" t="s">
        <v>3836</v>
      </c>
    </row>
    <row r="8345" spans="1:1">
      <c r="A8345" s="1" t="s">
        <v>3837</v>
      </c>
    </row>
    <row r="8346" spans="1:1">
      <c r="A8346" s="1" t="s">
        <v>3838</v>
      </c>
    </row>
    <row r="8347" spans="1:1">
      <c r="A8347" s="1" t="s">
        <v>3839</v>
      </c>
    </row>
    <row r="8348" spans="1:1">
      <c r="A8348" s="1" t="s">
        <v>3840</v>
      </c>
    </row>
    <row r="8349" spans="1:1">
      <c r="A8349" s="1" t="s">
        <v>3841</v>
      </c>
    </row>
    <row r="8350" spans="1:1">
      <c r="A8350" s="1" t="s">
        <v>3842</v>
      </c>
    </row>
    <row r="8351" spans="1:1">
      <c r="A8351" s="1" t="s">
        <v>3843</v>
      </c>
    </row>
    <row r="8352" spans="1:1">
      <c r="A8352" s="1" t="s">
        <v>3844</v>
      </c>
    </row>
    <row r="8353" spans="1:1">
      <c r="A8353" s="1" t="s">
        <v>3845</v>
      </c>
    </row>
    <row r="8354" spans="1:1">
      <c r="A8354" s="1" t="s">
        <v>3846</v>
      </c>
    </row>
    <row r="8355" spans="1:1">
      <c r="A8355" s="1" t="s">
        <v>3847</v>
      </c>
    </row>
    <row r="8356" spans="1:1">
      <c r="A8356" s="1" t="s">
        <v>3848</v>
      </c>
    </row>
    <row r="8357" spans="1:1">
      <c r="A8357" s="1" t="s">
        <v>3849</v>
      </c>
    </row>
    <row r="8358" spans="1:1">
      <c r="A8358" s="1" t="s">
        <v>3850</v>
      </c>
    </row>
    <row r="8359" spans="1:1">
      <c r="A8359" s="1" t="s">
        <v>3851</v>
      </c>
    </row>
    <row r="8360" spans="1:1">
      <c r="A8360" s="1" t="s">
        <v>3852</v>
      </c>
    </row>
    <row r="8361" spans="1:1">
      <c r="A8361" s="1" t="s">
        <v>3853</v>
      </c>
    </row>
    <row r="8362" spans="1:1">
      <c r="A8362" s="1" t="s">
        <v>3854</v>
      </c>
    </row>
    <row r="8363" spans="1:1">
      <c r="A8363" s="1" t="s">
        <v>3855</v>
      </c>
    </row>
    <row r="8364" spans="1:1">
      <c r="A8364" s="1" t="s">
        <v>3856</v>
      </c>
    </row>
    <row r="8365" spans="1:1">
      <c r="A8365" s="1" t="s">
        <v>3857</v>
      </c>
    </row>
    <row r="8366" spans="1:1">
      <c r="A8366" s="1" t="s">
        <v>3858</v>
      </c>
    </row>
    <row r="8367" spans="1:1">
      <c r="A8367" s="1" t="s">
        <v>3859</v>
      </c>
    </row>
    <row r="8368" spans="1:1">
      <c r="A8368" s="1" t="s">
        <v>3860</v>
      </c>
    </row>
    <row r="8369" spans="1:1">
      <c r="A8369" s="1" t="s">
        <v>3861</v>
      </c>
    </row>
    <row r="8370" spans="1:1">
      <c r="A8370" s="1" t="s">
        <v>3862</v>
      </c>
    </row>
    <row r="8371" spans="1:1">
      <c r="A8371" s="1" t="s">
        <v>3863</v>
      </c>
    </row>
    <row r="8372" spans="1:1">
      <c r="A8372" s="1" t="s">
        <v>3864</v>
      </c>
    </row>
    <row r="8373" spans="1:1">
      <c r="A8373" s="1" t="s">
        <v>3865</v>
      </c>
    </row>
    <row r="8374" spans="1:1">
      <c r="A8374" s="1" t="s">
        <v>3866</v>
      </c>
    </row>
    <row r="8375" spans="1:1">
      <c r="A8375" s="1" t="s">
        <v>3867</v>
      </c>
    </row>
    <row r="8376" spans="1:1">
      <c r="A8376" s="1" t="s">
        <v>3868</v>
      </c>
    </row>
    <row r="8377" spans="1:1">
      <c r="A8377" s="1" t="s">
        <v>3869</v>
      </c>
    </row>
    <row r="8378" spans="1:1">
      <c r="A8378" s="1" t="s">
        <v>3870</v>
      </c>
    </row>
    <row r="8379" spans="1:1">
      <c r="A8379" s="1" t="s">
        <v>3871</v>
      </c>
    </row>
    <row r="8380" spans="1:1">
      <c r="A8380" s="1" t="s">
        <v>3872</v>
      </c>
    </row>
    <row r="8381" spans="1:1">
      <c r="A8381" s="1" t="s">
        <v>3873</v>
      </c>
    </row>
    <row r="8382" spans="1:1">
      <c r="A8382" s="1" t="s">
        <v>3874</v>
      </c>
    </row>
    <row r="8383" spans="1:1">
      <c r="A8383" s="1" t="s">
        <v>3875</v>
      </c>
    </row>
    <row r="8384" spans="1:1">
      <c r="A8384" s="1" t="s">
        <v>3876</v>
      </c>
    </row>
    <row r="8385" spans="1:1">
      <c r="A8385" s="1" t="s">
        <v>3877</v>
      </c>
    </row>
    <row r="8386" spans="1:1">
      <c r="A8386" s="1" t="s">
        <v>3878</v>
      </c>
    </row>
    <row r="8387" spans="1:1">
      <c r="A8387" s="1" t="s">
        <v>3879</v>
      </c>
    </row>
    <row r="8388" spans="1:1">
      <c r="A8388" s="1" t="s">
        <v>3880</v>
      </c>
    </row>
    <row r="8389" spans="1:1">
      <c r="A8389" s="1" t="s">
        <v>3881</v>
      </c>
    </row>
    <row r="8390" spans="1:1">
      <c r="A8390" s="1" t="s">
        <v>3882</v>
      </c>
    </row>
    <row r="8391" spans="1:1">
      <c r="A8391" s="1" t="s">
        <v>3883</v>
      </c>
    </row>
    <row r="8392" spans="1:1">
      <c r="A8392" s="1" t="s">
        <v>3884</v>
      </c>
    </row>
    <row r="8393" spans="1:1">
      <c r="A8393" s="1" t="s">
        <v>3885</v>
      </c>
    </row>
    <row r="8394" spans="1:1">
      <c r="A8394" s="1" t="s">
        <v>3886</v>
      </c>
    </row>
    <row r="8395" spans="1:1">
      <c r="A8395" s="1" t="s">
        <v>3887</v>
      </c>
    </row>
    <row r="8396" spans="1:1">
      <c r="A8396" s="1" t="s">
        <v>3888</v>
      </c>
    </row>
    <row r="8397" spans="1:1">
      <c r="A8397" s="1" t="s">
        <v>3889</v>
      </c>
    </row>
    <row r="8398" spans="1:1">
      <c r="A8398" s="1" t="s">
        <v>3890</v>
      </c>
    </row>
    <row r="8399" spans="1:1">
      <c r="A8399" s="1" t="s">
        <v>3891</v>
      </c>
    </row>
    <row r="8400" spans="1:1">
      <c r="A8400" s="1" t="s">
        <v>3892</v>
      </c>
    </row>
    <row r="8401" spans="1:1">
      <c r="A8401" s="1" t="s">
        <v>3893</v>
      </c>
    </row>
    <row r="8402" spans="1:1">
      <c r="A8402" s="1" t="s">
        <v>3894</v>
      </c>
    </row>
    <row r="8403" spans="1:1">
      <c r="A8403" s="1" t="s">
        <v>3895</v>
      </c>
    </row>
    <row r="8404" spans="1:1">
      <c r="A8404" s="1" t="s">
        <v>3896</v>
      </c>
    </row>
    <row r="8405" spans="1:1">
      <c r="A8405" s="1" t="s">
        <v>3897</v>
      </c>
    </row>
    <row r="8406" spans="1:1">
      <c r="A8406" s="1" t="s">
        <v>3898</v>
      </c>
    </row>
    <row r="8407" spans="1:1">
      <c r="A8407" s="1" t="s">
        <v>3899</v>
      </c>
    </row>
    <row r="8408" spans="1:1">
      <c r="A8408" s="1" t="s">
        <v>3900</v>
      </c>
    </row>
    <row r="8409" spans="1:1">
      <c r="A8409" s="1" t="s">
        <v>3901</v>
      </c>
    </row>
    <row r="8410" spans="1:1">
      <c r="A8410" s="1" t="s">
        <v>3902</v>
      </c>
    </row>
    <row r="8411" spans="1:1">
      <c r="A8411" s="1" t="s">
        <v>3903</v>
      </c>
    </row>
    <row r="8412" spans="1:1">
      <c r="A8412" s="1" t="s">
        <v>3904</v>
      </c>
    </row>
    <row r="8413" spans="1:1">
      <c r="A8413" s="1" t="s">
        <v>3905</v>
      </c>
    </row>
    <row r="8414" spans="1:1">
      <c r="A8414" s="1" t="s">
        <v>3906</v>
      </c>
    </row>
    <row r="8415" spans="1:1">
      <c r="A8415" s="1" t="s">
        <v>3907</v>
      </c>
    </row>
    <row r="8416" spans="1:1">
      <c r="A8416" s="1" t="s">
        <v>3908</v>
      </c>
    </row>
    <row r="8417" spans="1:1">
      <c r="A8417" s="1" t="s">
        <v>3906</v>
      </c>
    </row>
    <row r="8418" spans="1:1">
      <c r="A8418" s="1" t="s">
        <v>3909</v>
      </c>
    </row>
    <row r="8419" spans="1:1">
      <c r="A8419" s="1" t="s">
        <v>3910</v>
      </c>
    </row>
    <row r="8420" spans="1:1">
      <c r="A8420" s="1" t="s">
        <v>3911</v>
      </c>
    </row>
    <row r="8421" spans="1:1">
      <c r="A8421" s="1" t="s">
        <v>3912</v>
      </c>
    </row>
    <row r="8422" spans="1:1">
      <c r="A8422" s="1" t="s">
        <v>3913</v>
      </c>
    </row>
    <row r="8423" spans="1:1">
      <c r="A8423" s="1" t="s">
        <v>3914</v>
      </c>
    </row>
    <row r="8424" spans="1:1">
      <c r="A8424" s="1" t="s">
        <v>3915</v>
      </c>
    </row>
    <row r="8425" spans="1:1">
      <c r="A8425" s="1" t="s">
        <v>3916</v>
      </c>
    </row>
    <row r="8426" spans="1:1">
      <c r="A8426" s="1" t="s">
        <v>3908</v>
      </c>
    </row>
    <row r="8427" spans="1:1">
      <c r="A8427" s="1" t="s">
        <v>3917</v>
      </c>
    </row>
    <row r="8428" spans="1:1">
      <c r="A8428" s="1" t="s">
        <v>3918</v>
      </c>
    </row>
    <row r="8429" spans="1:1">
      <c r="A8429" s="1" t="s">
        <v>3919</v>
      </c>
    </row>
    <row r="8430" spans="1:1">
      <c r="A8430" s="1" t="s">
        <v>3920</v>
      </c>
    </row>
    <row r="8431" spans="1:1">
      <c r="A8431" s="1" t="s">
        <v>3921</v>
      </c>
    </row>
    <row r="8432" spans="1:1">
      <c r="A8432" s="1" t="s">
        <v>3922</v>
      </c>
    </row>
    <row r="8433" spans="1:1">
      <c r="A8433" s="1" t="s">
        <v>3923</v>
      </c>
    </row>
    <row r="8434" spans="1:1">
      <c r="A8434" s="1" t="s">
        <v>3924</v>
      </c>
    </row>
    <row r="8435" spans="1:1">
      <c r="A8435" s="1" t="s">
        <v>3925</v>
      </c>
    </row>
    <row r="8436" spans="1:1">
      <c r="A8436" s="1" t="s">
        <v>3926</v>
      </c>
    </row>
    <row r="8437" spans="1:1">
      <c r="A8437" s="1" t="s">
        <v>3927</v>
      </c>
    </row>
    <row r="8438" spans="1:1">
      <c r="A8438" s="1" t="s">
        <v>3928</v>
      </c>
    </row>
    <row r="8439" spans="1:1">
      <c r="A8439" s="1" t="s">
        <v>3929</v>
      </c>
    </row>
    <row r="8440" spans="1:1">
      <c r="A8440" s="1" t="s">
        <v>3930</v>
      </c>
    </row>
    <row r="8441" spans="1:1">
      <c r="A8441" s="1" t="s">
        <v>3931</v>
      </c>
    </row>
    <row r="8442" spans="1:1">
      <c r="A8442" s="1" t="s">
        <v>3932</v>
      </c>
    </row>
    <row r="8443" spans="1:1">
      <c r="A8443" s="1" t="s">
        <v>3933</v>
      </c>
    </row>
    <row r="8444" spans="1:1">
      <c r="A8444" s="1" t="s">
        <v>3934</v>
      </c>
    </row>
    <row r="8445" spans="1:1">
      <c r="A8445" s="1" t="s">
        <v>3935</v>
      </c>
    </row>
    <row r="8446" spans="1:1">
      <c r="A8446" s="1" t="s">
        <v>3936</v>
      </c>
    </row>
    <row r="8447" spans="1:1">
      <c r="A8447" s="1" t="s">
        <v>3937</v>
      </c>
    </row>
    <row r="8448" spans="1:1">
      <c r="A8448" s="1" t="s">
        <v>3938</v>
      </c>
    </row>
    <row r="8449" spans="1:1">
      <c r="A8449" s="1" t="s">
        <v>3939</v>
      </c>
    </row>
    <row r="8450" spans="1:1">
      <c r="A8450" s="1" t="s">
        <v>3940</v>
      </c>
    </row>
    <row r="8451" spans="1:1">
      <c r="A8451" s="1" t="s">
        <v>3941</v>
      </c>
    </row>
    <row r="8452" spans="1:1">
      <c r="A8452" s="1" t="s">
        <v>3942</v>
      </c>
    </row>
    <row r="8453" spans="1:1">
      <c r="A8453" s="1" t="s">
        <v>3943</v>
      </c>
    </row>
    <row r="8454" spans="1:1">
      <c r="A8454" s="1" t="s">
        <v>3944</v>
      </c>
    </row>
    <row r="8455" spans="1:1">
      <c r="A8455" s="1" t="s">
        <v>3945</v>
      </c>
    </row>
    <row r="8456" spans="1:1">
      <c r="A8456" s="1" t="s">
        <v>3946</v>
      </c>
    </row>
    <row r="8457" spans="1:1">
      <c r="A8457" s="1" t="s">
        <v>3947</v>
      </c>
    </row>
    <row r="8458" spans="1:1">
      <c r="A8458" s="1" t="s">
        <v>3948</v>
      </c>
    </row>
    <row r="8459" spans="1:1">
      <c r="A8459" s="1" t="s">
        <v>3949</v>
      </c>
    </row>
    <row r="8460" spans="1:1">
      <c r="A8460" s="1" t="s">
        <v>3950</v>
      </c>
    </row>
    <row r="8461" spans="1:1">
      <c r="A8461" s="1" t="s">
        <v>3951</v>
      </c>
    </row>
    <row r="8462" spans="1:1">
      <c r="A8462" s="1" t="s">
        <v>3949</v>
      </c>
    </row>
    <row r="8463" spans="1:1">
      <c r="A8463" s="1" t="s">
        <v>3952</v>
      </c>
    </row>
    <row r="8464" spans="1:1">
      <c r="A8464" s="1" t="s">
        <v>3953</v>
      </c>
    </row>
    <row r="8465" spans="1:1">
      <c r="A8465" s="1" t="s">
        <v>3954</v>
      </c>
    </row>
    <row r="8466" spans="1:1">
      <c r="A8466" s="1" t="s">
        <v>3955</v>
      </c>
    </row>
    <row r="8467" spans="1:1">
      <c r="A8467" s="1" t="s">
        <v>3956</v>
      </c>
    </row>
    <row r="8468" spans="1:1">
      <c r="A8468" s="1" t="s">
        <v>3957</v>
      </c>
    </row>
    <row r="8469" spans="1:1">
      <c r="A8469" s="1" t="s">
        <v>3958</v>
      </c>
    </row>
    <row r="8470" spans="1:1">
      <c r="A8470" s="1" t="s">
        <v>3959</v>
      </c>
    </row>
    <row r="8471" spans="1:1">
      <c r="A8471" s="1" t="s">
        <v>3960</v>
      </c>
    </row>
    <row r="8472" spans="1:1">
      <c r="A8472" s="1" t="s">
        <v>3951</v>
      </c>
    </row>
    <row r="8473" spans="1:1">
      <c r="A8473" s="1" t="s">
        <v>3961</v>
      </c>
    </row>
    <row r="8474" spans="1:1">
      <c r="A8474" s="1" t="s">
        <v>3962</v>
      </c>
    </row>
    <row r="8475" spans="1:1">
      <c r="A8475" s="1" t="s">
        <v>3963</v>
      </c>
    </row>
    <row r="8476" spans="1:1">
      <c r="A8476" s="1" t="s">
        <v>3964</v>
      </c>
    </row>
    <row r="8477" spans="1:1">
      <c r="A8477" s="1" t="s">
        <v>3965</v>
      </c>
    </row>
    <row r="8478" spans="1:1">
      <c r="A8478" s="1" t="s">
        <v>3966</v>
      </c>
    </row>
    <row r="8479" spans="1:1">
      <c r="A8479" s="1" t="s">
        <v>3967</v>
      </c>
    </row>
    <row r="8480" spans="1:1">
      <c r="A8480" s="1" t="s">
        <v>3968</v>
      </c>
    </row>
    <row r="8481" spans="1:1">
      <c r="A8481" s="1" t="s">
        <v>3969</v>
      </c>
    </row>
    <row r="8482" spans="1:1">
      <c r="A8482" s="1" t="s">
        <v>3970</v>
      </c>
    </row>
    <row r="8483" spans="1:1">
      <c r="A8483" s="1" t="s">
        <v>3971</v>
      </c>
    </row>
    <row r="8484" spans="1:1">
      <c r="A8484" s="1" t="s">
        <v>3972</v>
      </c>
    </row>
    <row r="8485" spans="1:1">
      <c r="A8485" s="1" t="s">
        <v>3973</v>
      </c>
    </row>
    <row r="8486" spans="1:1">
      <c r="A8486" s="1" t="s">
        <v>3974</v>
      </c>
    </row>
    <row r="8487" spans="1:1">
      <c r="A8487" s="1" t="s">
        <v>3975</v>
      </c>
    </row>
    <row r="8488" spans="1:1">
      <c r="A8488" s="1" t="s">
        <v>3976</v>
      </c>
    </row>
    <row r="8489" spans="1:1">
      <c r="A8489" s="1" t="s">
        <v>3977</v>
      </c>
    </row>
    <row r="8490" spans="1:1">
      <c r="A8490" s="1" t="s">
        <v>3978</v>
      </c>
    </row>
    <row r="8491" spans="1:1">
      <c r="A8491" s="1" t="s">
        <v>3979</v>
      </c>
    </row>
    <row r="8492" spans="1:1">
      <c r="A8492" s="1" t="s">
        <v>3980</v>
      </c>
    </row>
    <row r="8493" spans="1:1">
      <c r="A8493" s="1" t="s">
        <v>3981</v>
      </c>
    </row>
    <row r="8494" spans="1:1">
      <c r="A8494" s="1" t="s">
        <v>3982</v>
      </c>
    </row>
    <row r="8495" spans="1:1">
      <c r="A8495" s="1" t="s">
        <v>3983</v>
      </c>
    </row>
    <row r="8496" spans="1:1">
      <c r="A8496" s="1" t="s">
        <v>3984</v>
      </c>
    </row>
    <row r="8497" spans="1:1">
      <c r="A8497" s="1" t="s">
        <v>3985</v>
      </c>
    </row>
    <row r="8498" spans="1:1">
      <c r="A8498" s="1" t="s">
        <v>3986</v>
      </c>
    </row>
    <row r="8499" spans="1:1">
      <c r="A8499" s="1" t="s">
        <v>3987</v>
      </c>
    </row>
    <row r="8500" spans="1:1">
      <c r="A8500" s="1" t="s">
        <v>3988</v>
      </c>
    </row>
    <row r="8501" spans="1:1">
      <c r="A8501" s="1" t="s">
        <v>3989</v>
      </c>
    </row>
    <row r="8502" spans="1:1">
      <c r="A8502" s="1" t="s">
        <v>3990</v>
      </c>
    </row>
    <row r="8503" spans="1:1">
      <c r="A8503" s="1" t="s">
        <v>3991</v>
      </c>
    </row>
    <row r="8504" spans="1:1">
      <c r="A8504" s="1" t="s">
        <v>3992</v>
      </c>
    </row>
    <row r="8505" spans="1:1">
      <c r="A8505" s="1" t="s">
        <v>3993</v>
      </c>
    </row>
    <row r="8506" spans="1:1">
      <c r="A8506" s="1" t="s">
        <v>3994</v>
      </c>
    </row>
    <row r="8507" spans="1:1">
      <c r="A8507" s="1" t="s">
        <v>3995</v>
      </c>
    </row>
    <row r="8508" spans="1:1">
      <c r="A8508" s="1" t="s">
        <v>3996</v>
      </c>
    </row>
    <row r="8509" spans="1:1">
      <c r="A8509" s="1" t="s">
        <v>3997</v>
      </c>
    </row>
    <row r="8510" spans="1:1">
      <c r="A8510" s="1" t="s">
        <v>3998</v>
      </c>
    </row>
    <row r="8511" spans="1:1">
      <c r="A8511" s="1" t="s">
        <v>3999</v>
      </c>
    </row>
    <row r="8512" spans="1:1">
      <c r="A8512" s="1" t="s">
        <v>4000</v>
      </c>
    </row>
    <row r="8513" spans="1:1">
      <c r="A8513" s="1" t="s">
        <v>4001</v>
      </c>
    </row>
    <row r="8514" spans="1:1">
      <c r="A8514" s="1" t="s">
        <v>4002</v>
      </c>
    </row>
    <row r="8515" spans="1:1">
      <c r="A8515" s="1" t="s">
        <v>4003</v>
      </c>
    </row>
    <row r="8516" spans="1:1">
      <c r="A8516" s="1" t="s">
        <v>4004</v>
      </c>
    </row>
    <row r="8517" spans="1:1">
      <c r="A8517" s="1" t="s">
        <v>4005</v>
      </c>
    </row>
    <row r="8518" spans="1:1">
      <c r="A8518" s="1" t="s">
        <v>4006</v>
      </c>
    </row>
    <row r="8519" spans="1:1">
      <c r="A8519" s="1" t="s">
        <v>4007</v>
      </c>
    </row>
    <row r="8520" spans="1:1">
      <c r="A8520" s="1" t="s">
        <v>4008</v>
      </c>
    </row>
    <row r="8521" spans="1:1">
      <c r="A8521" s="1" t="s">
        <v>4009</v>
      </c>
    </row>
    <row r="8522" spans="1:1">
      <c r="A8522" s="1" t="s">
        <v>4010</v>
      </c>
    </row>
    <row r="8523" spans="1:1">
      <c r="A8523" s="1" t="s">
        <v>4011</v>
      </c>
    </row>
    <row r="8524" spans="1:1">
      <c r="A8524" s="1" t="s">
        <v>4012</v>
      </c>
    </row>
    <row r="8525" spans="1:1">
      <c r="A8525" s="1" t="s">
        <v>4013</v>
      </c>
    </row>
    <row r="8526" spans="1:1">
      <c r="A8526" s="1" t="s">
        <v>4014</v>
      </c>
    </row>
    <row r="8527" spans="1:1">
      <c r="A8527" s="1" t="s">
        <v>4015</v>
      </c>
    </row>
    <row r="8528" spans="1:1">
      <c r="A8528" s="1" t="s">
        <v>4016</v>
      </c>
    </row>
    <row r="8529" spans="1:1">
      <c r="A8529" s="1" t="s">
        <v>4017</v>
      </c>
    </row>
    <row r="8530" spans="1:1">
      <c r="A8530" s="1" t="s">
        <v>4018</v>
      </c>
    </row>
    <row r="8531" spans="1:1">
      <c r="A8531" s="1" t="s">
        <v>4019</v>
      </c>
    </row>
    <row r="8532" spans="1:1">
      <c r="A8532" s="1" t="s">
        <v>4020</v>
      </c>
    </row>
    <row r="8533" spans="1:1">
      <c r="A8533" s="1" t="s">
        <v>4021</v>
      </c>
    </row>
    <row r="8534" spans="1:1">
      <c r="A8534" s="1" t="s">
        <v>4022</v>
      </c>
    </row>
    <row r="8535" spans="1:1">
      <c r="A8535" s="1" t="s">
        <v>4023</v>
      </c>
    </row>
    <row r="8536" spans="1:1">
      <c r="A8536" s="1" t="s">
        <v>4024</v>
      </c>
    </row>
    <row r="8537" spans="1:1">
      <c r="A8537" s="1" t="s">
        <v>4025</v>
      </c>
    </row>
    <row r="8538" spans="1:1">
      <c r="A8538" s="1" t="s">
        <v>4026</v>
      </c>
    </row>
    <row r="8539" spans="1:1">
      <c r="A8539" s="1" t="s">
        <v>4027</v>
      </c>
    </row>
    <row r="8540" spans="1:1">
      <c r="A8540" s="1" t="s">
        <v>4028</v>
      </c>
    </row>
    <row r="8541" spans="1:1">
      <c r="A8541" s="1" t="s">
        <v>4029</v>
      </c>
    </row>
    <row r="8542" spans="1:1">
      <c r="A8542" s="1" t="s">
        <v>4030</v>
      </c>
    </row>
    <row r="8543" spans="1:1">
      <c r="A8543" s="1" t="s">
        <v>4031</v>
      </c>
    </row>
    <row r="8544" spans="1:1">
      <c r="A8544" s="1" t="s">
        <v>4032</v>
      </c>
    </row>
    <row r="8545" spans="1:1">
      <c r="A8545" s="1" t="s">
        <v>4033</v>
      </c>
    </row>
    <row r="8546" spans="1:1">
      <c r="A8546" s="1" t="s">
        <v>4034</v>
      </c>
    </row>
    <row r="8547" spans="1:1">
      <c r="A8547" s="1" t="s">
        <v>4035</v>
      </c>
    </row>
    <row r="8548" spans="1:1">
      <c r="A8548" s="1" t="s">
        <v>4036</v>
      </c>
    </row>
    <row r="8549" spans="1:1">
      <c r="A8549" s="1" t="s">
        <v>4037</v>
      </c>
    </row>
    <row r="8550" spans="1:1">
      <c r="A8550" s="1" t="s">
        <v>4038</v>
      </c>
    </row>
    <row r="8551" spans="1:1">
      <c r="A8551" s="1" t="s">
        <v>4039</v>
      </c>
    </row>
    <row r="8552" spans="1:1">
      <c r="A8552" s="1" t="s">
        <v>4040</v>
      </c>
    </row>
    <row r="8553" spans="1:1">
      <c r="A8553" s="1" t="s">
        <v>4041</v>
      </c>
    </row>
    <row r="8554" spans="1:1">
      <c r="A8554" s="1" t="s">
        <v>4042</v>
      </c>
    </row>
    <row r="8555" spans="1:1">
      <c r="A8555" s="1" t="s">
        <v>4043</v>
      </c>
    </row>
    <row r="8556" spans="1:1">
      <c r="A8556" s="1" t="s">
        <v>4044</v>
      </c>
    </row>
    <row r="8557" spans="1:1">
      <c r="A8557" s="1" t="s">
        <v>4045</v>
      </c>
    </row>
    <row r="8558" spans="1:1">
      <c r="A8558" s="1" t="s">
        <v>4046</v>
      </c>
    </row>
    <row r="8559" spans="1:1">
      <c r="A8559" s="1" t="s">
        <v>4047</v>
      </c>
    </row>
    <row r="8560" spans="1:1">
      <c r="A8560" s="1" t="s">
        <v>4048</v>
      </c>
    </row>
    <row r="8561" spans="1:1">
      <c r="A8561" s="1" t="s">
        <v>4049</v>
      </c>
    </row>
    <row r="8562" spans="1:1">
      <c r="A8562" s="1" t="s">
        <v>4050</v>
      </c>
    </row>
    <row r="8563" spans="1:1">
      <c r="A8563" s="1" t="s">
        <v>4051</v>
      </c>
    </row>
    <row r="8564" spans="1:1">
      <c r="A8564" s="1" t="s">
        <v>4052</v>
      </c>
    </row>
    <row r="8565" spans="1:1">
      <c r="A8565" s="1" t="s">
        <v>4053</v>
      </c>
    </row>
    <row r="8566" spans="1:1">
      <c r="A8566" s="1" t="s">
        <v>4054</v>
      </c>
    </row>
    <row r="8567" spans="1:1">
      <c r="A8567" s="1" t="s">
        <v>4055</v>
      </c>
    </row>
    <row r="8568" spans="1:1">
      <c r="A8568" s="1" t="s">
        <v>4056</v>
      </c>
    </row>
    <row r="8569" spans="1:1">
      <c r="A8569" s="1" t="s">
        <v>4057</v>
      </c>
    </row>
    <row r="8570" spans="1:1">
      <c r="A8570" s="1" t="s">
        <v>4058</v>
      </c>
    </row>
    <row r="8571" spans="1:1">
      <c r="A8571" s="1" t="s">
        <v>4059</v>
      </c>
    </row>
    <row r="8572" spans="1:1">
      <c r="A8572" s="1" t="s">
        <v>4060</v>
      </c>
    </row>
    <row r="8573" spans="1:1">
      <c r="A8573" s="1" t="s">
        <v>4061</v>
      </c>
    </row>
    <row r="8574" spans="1:1">
      <c r="A8574" s="1" t="s">
        <v>4062</v>
      </c>
    </row>
    <row r="8575" spans="1:1">
      <c r="A8575" s="1" t="s">
        <v>4063</v>
      </c>
    </row>
    <row r="8576" spans="1:1">
      <c r="A8576" s="1" t="s">
        <v>4064</v>
      </c>
    </row>
    <row r="8577" spans="1:1">
      <c r="A8577" s="1" t="s">
        <v>4065</v>
      </c>
    </row>
    <row r="8578" spans="1:1">
      <c r="A8578" s="1" t="s">
        <v>4066</v>
      </c>
    </row>
    <row r="8579" spans="1:1">
      <c r="A8579" s="1" t="s">
        <v>4067</v>
      </c>
    </row>
    <row r="8580" spans="1:1">
      <c r="A8580" s="1" t="s">
        <v>4068</v>
      </c>
    </row>
    <row r="8581" spans="1:1">
      <c r="A8581" s="1" t="s">
        <v>4069</v>
      </c>
    </row>
    <row r="8582" spans="1:1">
      <c r="A8582" s="1" t="s">
        <v>4070</v>
      </c>
    </row>
    <row r="8583" spans="1:1">
      <c r="A8583" s="1" t="s">
        <v>4071</v>
      </c>
    </row>
    <row r="8584" spans="1:1">
      <c r="A8584" s="1" t="s">
        <v>4072</v>
      </c>
    </row>
    <row r="8585" spans="1:1">
      <c r="A8585" s="1" t="s">
        <v>4073</v>
      </c>
    </row>
    <row r="8586" spans="1:1">
      <c r="A8586" s="1" t="s">
        <v>4074</v>
      </c>
    </row>
    <row r="8587" spans="1:1">
      <c r="A8587" s="1" t="s">
        <v>4075</v>
      </c>
    </row>
    <row r="8588" spans="1:1">
      <c r="A8588" s="1" t="s">
        <v>4076</v>
      </c>
    </row>
    <row r="8589" spans="1:1">
      <c r="A8589" s="1" t="s">
        <v>4077</v>
      </c>
    </row>
    <row r="8590" spans="1:1">
      <c r="A8590" s="1" t="s">
        <v>4078</v>
      </c>
    </row>
    <row r="8591" spans="1:1">
      <c r="A8591" s="1" t="s">
        <v>4079</v>
      </c>
    </row>
    <row r="8592" spans="1:1">
      <c r="A8592" s="1" t="s">
        <v>4080</v>
      </c>
    </row>
    <row r="8593" spans="1:1">
      <c r="A8593" s="1" t="s">
        <v>4081</v>
      </c>
    </row>
    <row r="8594" spans="1:1">
      <c r="A8594" s="1" t="s">
        <v>4082</v>
      </c>
    </row>
    <row r="8595" spans="1:1">
      <c r="A8595" s="1" t="s">
        <v>4083</v>
      </c>
    </row>
    <row r="8596" spans="1:1">
      <c r="A8596" s="1" t="s">
        <v>4084</v>
      </c>
    </row>
    <row r="8597" spans="1:1">
      <c r="A8597" s="1" t="s">
        <v>4085</v>
      </c>
    </row>
    <row r="8598" spans="1:1">
      <c r="A8598" s="1" t="s">
        <v>4086</v>
      </c>
    </row>
    <row r="8599" spans="1:1">
      <c r="A8599" s="1" t="s">
        <v>4087</v>
      </c>
    </row>
    <row r="8600" spans="1:1">
      <c r="A8600" s="1" t="s">
        <v>4088</v>
      </c>
    </row>
    <row r="8601" spans="1:1">
      <c r="A8601" s="1" t="s">
        <v>4089</v>
      </c>
    </row>
    <row r="8602" spans="1:1">
      <c r="A8602" s="1" t="s">
        <v>4090</v>
      </c>
    </row>
    <row r="8603" spans="1:1">
      <c r="A8603" s="1" t="s">
        <v>4091</v>
      </c>
    </row>
    <row r="8604" spans="1:1">
      <c r="A8604" s="1" t="s">
        <v>4092</v>
      </c>
    </row>
    <row r="8605" spans="1:1">
      <c r="A8605" s="1" t="s">
        <v>4093</v>
      </c>
    </row>
    <row r="8606" spans="1:1">
      <c r="A8606" s="1" t="s">
        <v>4094</v>
      </c>
    </row>
    <row r="8607" spans="1:1">
      <c r="A8607" s="1" t="s">
        <v>4095</v>
      </c>
    </row>
    <row r="8608" spans="1:1">
      <c r="A8608" s="1" t="s">
        <v>4096</v>
      </c>
    </row>
    <row r="8609" spans="1:1">
      <c r="A8609" s="1" t="s">
        <v>4097</v>
      </c>
    </row>
    <row r="8610" spans="1:1">
      <c r="A8610" s="1" t="s">
        <v>4098</v>
      </c>
    </row>
    <row r="8611" spans="1:1">
      <c r="A8611" s="1" t="s">
        <v>4099</v>
      </c>
    </row>
    <row r="8612" spans="1:1">
      <c r="A8612" s="1" t="s">
        <v>4100</v>
      </c>
    </row>
    <row r="8613" spans="1:1">
      <c r="A8613" s="1" t="s">
        <v>4101</v>
      </c>
    </row>
    <row r="8614" spans="1:1">
      <c r="A8614" s="1" t="s">
        <v>4102</v>
      </c>
    </row>
    <row r="8615" spans="1:1">
      <c r="A8615" s="1" t="s">
        <v>4103</v>
      </c>
    </row>
    <row r="8616" spans="1:1">
      <c r="A8616" s="1" t="s">
        <v>4104</v>
      </c>
    </row>
    <row r="8617" spans="1:1">
      <c r="A8617" s="1" t="s">
        <v>4105</v>
      </c>
    </row>
    <row r="8618" spans="1:1">
      <c r="A8618" s="1" t="s">
        <v>4106</v>
      </c>
    </row>
    <row r="8619" spans="1:1">
      <c r="A8619" s="1" t="s">
        <v>4107</v>
      </c>
    </row>
    <row r="8620" spans="1:1">
      <c r="A8620" s="1" t="s">
        <v>4108</v>
      </c>
    </row>
    <row r="8621" spans="1:1">
      <c r="A8621" s="1" t="s">
        <v>4109</v>
      </c>
    </row>
    <row r="8622" spans="1:1">
      <c r="A8622" s="1" t="s">
        <v>4110</v>
      </c>
    </row>
    <row r="8623" spans="1:1">
      <c r="A8623" s="1" t="s">
        <v>4111</v>
      </c>
    </row>
    <row r="8624" spans="1:1">
      <c r="A8624" s="1" t="s">
        <v>4112</v>
      </c>
    </row>
    <row r="8625" spans="1:1">
      <c r="A8625" s="1" t="s">
        <v>4113</v>
      </c>
    </row>
    <row r="8626" spans="1:1">
      <c r="A8626" s="1" t="s">
        <v>4114</v>
      </c>
    </row>
    <row r="8627" spans="1:1">
      <c r="A8627" s="1" t="s">
        <v>4115</v>
      </c>
    </row>
    <row r="8628" spans="1:1">
      <c r="A8628" s="1" t="s">
        <v>4116</v>
      </c>
    </row>
    <row r="8629" spans="1:1">
      <c r="A8629" s="1" t="s">
        <v>4117</v>
      </c>
    </row>
    <row r="8630" spans="1:1">
      <c r="A8630" s="1" t="s">
        <v>4118</v>
      </c>
    </row>
    <row r="8631" spans="1:1">
      <c r="A8631" s="1" t="s">
        <v>4119</v>
      </c>
    </row>
    <row r="8632" spans="1:1">
      <c r="A8632" s="1" t="s">
        <v>4120</v>
      </c>
    </row>
    <row r="8633" spans="1:1">
      <c r="A8633" s="1" t="s">
        <v>4121</v>
      </c>
    </row>
    <row r="8634" spans="1:1">
      <c r="A8634" s="1" t="s">
        <v>4122</v>
      </c>
    </row>
    <row r="8635" spans="1:1">
      <c r="A8635" s="1" t="s">
        <v>4123</v>
      </c>
    </row>
    <row r="8636" spans="1:1">
      <c r="A8636" s="1" t="s">
        <v>4124</v>
      </c>
    </row>
    <row r="8637" spans="1:1">
      <c r="A8637" s="1" t="s">
        <v>4125</v>
      </c>
    </row>
    <row r="8638" spans="1:1">
      <c r="A8638" s="1" t="s">
        <v>4126</v>
      </c>
    </row>
    <row r="8639" spans="1:1">
      <c r="A8639" s="1" t="s">
        <v>4127</v>
      </c>
    </row>
    <row r="8640" spans="1:1">
      <c r="A8640" s="1" t="s">
        <v>4128</v>
      </c>
    </row>
    <row r="8641" spans="1:1">
      <c r="A8641" s="1" t="s">
        <v>4129</v>
      </c>
    </row>
    <row r="8642" spans="1:1">
      <c r="A8642" s="1" t="s">
        <v>4130</v>
      </c>
    </row>
    <row r="8643" spans="1:1">
      <c r="A8643" s="1" t="s">
        <v>4131</v>
      </c>
    </row>
    <row r="8644" spans="1:1">
      <c r="A8644" s="1" t="s">
        <v>4132</v>
      </c>
    </row>
    <row r="8645" spans="1:1">
      <c r="A8645" s="1" t="s">
        <v>4133</v>
      </c>
    </row>
    <row r="8646" spans="1:1">
      <c r="A8646" s="1" t="s">
        <v>4134</v>
      </c>
    </row>
    <row r="8647" spans="1:1">
      <c r="A8647" s="1" t="s">
        <v>4135</v>
      </c>
    </row>
    <row r="8648" spans="1:1">
      <c r="A8648" s="1" t="s">
        <v>4136</v>
      </c>
    </row>
    <row r="8649" spans="1:1">
      <c r="A8649" s="1" t="s">
        <v>4137</v>
      </c>
    </row>
    <row r="8650" spans="1:1">
      <c r="A8650" s="1" t="s">
        <v>4138</v>
      </c>
    </row>
    <row r="8651" spans="1:1">
      <c r="A8651" s="1" t="s">
        <v>4139</v>
      </c>
    </row>
    <row r="8652" spans="1:1">
      <c r="A8652" s="1" t="s">
        <v>4140</v>
      </c>
    </row>
    <row r="8653" spans="1:1">
      <c r="A8653" s="1" t="s">
        <v>4130</v>
      </c>
    </row>
    <row r="8654" spans="1:1">
      <c r="A8654" s="1" t="s">
        <v>4141</v>
      </c>
    </row>
    <row r="8655" spans="1:1">
      <c r="A8655" s="1" t="s">
        <v>4132</v>
      </c>
    </row>
    <row r="8656" spans="1:1">
      <c r="A8656" s="1" t="s">
        <v>4133</v>
      </c>
    </row>
    <row r="8657" spans="1:1">
      <c r="A8657" s="1" t="s">
        <v>4134</v>
      </c>
    </row>
    <row r="8658" spans="1:1">
      <c r="A8658" s="1" t="s">
        <v>4142</v>
      </c>
    </row>
    <row r="8659" spans="1:1">
      <c r="A8659" s="1" t="s">
        <v>4136</v>
      </c>
    </row>
    <row r="8660" spans="1:1">
      <c r="A8660" s="1" t="s">
        <v>4137</v>
      </c>
    </row>
    <row r="8661" spans="1:1">
      <c r="A8661" s="1" t="s">
        <v>4138</v>
      </c>
    </row>
    <row r="8662" spans="1:1">
      <c r="A8662" s="1" t="s">
        <v>4139</v>
      </c>
    </row>
    <row r="8663" spans="1:1">
      <c r="A8663" s="1" t="s">
        <v>4140</v>
      </c>
    </row>
    <row r="8664" spans="1:1">
      <c r="A8664" s="1" t="s">
        <v>4130</v>
      </c>
    </row>
    <row r="8665" spans="1:1">
      <c r="A8665" s="1" t="s">
        <v>4143</v>
      </c>
    </row>
    <row r="8666" spans="1:1">
      <c r="A8666" s="1" t="s">
        <v>4132</v>
      </c>
    </row>
    <row r="8667" spans="1:1">
      <c r="A8667" s="1" t="s">
        <v>4133</v>
      </c>
    </row>
    <row r="8668" spans="1:1">
      <c r="A8668" s="1" t="s">
        <v>4134</v>
      </c>
    </row>
    <row r="8669" spans="1:1">
      <c r="A8669" s="1" t="s">
        <v>4144</v>
      </c>
    </row>
    <row r="8670" spans="1:1">
      <c r="A8670" s="1" t="s">
        <v>4136</v>
      </c>
    </row>
    <row r="8671" spans="1:1">
      <c r="A8671" s="1" t="s">
        <v>4137</v>
      </c>
    </row>
    <row r="8672" spans="1:1">
      <c r="A8672" s="1" t="s">
        <v>4138</v>
      </c>
    </row>
    <row r="8673" spans="1:1">
      <c r="A8673" s="1" t="s">
        <v>4139</v>
      </c>
    </row>
    <row r="8674" spans="1:1">
      <c r="A8674" s="1" t="s">
        <v>4140</v>
      </c>
    </row>
    <row r="8675" spans="1:1">
      <c r="A8675" s="1" t="s">
        <v>4145</v>
      </c>
    </row>
    <row r="8676" spans="1:1">
      <c r="A8676" s="1" t="s">
        <v>4146</v>
      </c>
    </row>
    <row r="8677" spans="1:1">
      <c r="A8677" s="1" t="s">
        <v>4147</v>
      </c>
    </row>
    <row r="8678" spans="1:1">
      <c r="A8678" s="1" t="s">
        <v>4148</v>
      </c>
    </row>
    <row r="8679" spans="1:1">
      <c r="A8679" s="1" t="s">
        <v>4149</v>
      </c>
    </row>
    <row r="8680" spans="1:1">
      <c r="A8680" s="1" t="s">
        <v>4150</v>
      </c>
    </row>
    <row r="8681" spans="1:1">
      <c r="A8681" s="1" t="s">
        <v>4151</v>
      </c>
    </row>
    <row r="8682" spans="1:1">
      <c r="A8682" s="1" t="s">
        <v>4152</v>
      </c>
    </row>
    <row r="8683" spans="1:1">
      <c r="A8683" s="1" t="s">
        <v>4153</v>
      </c>
    </row>
    <row r="8684" spans="1:1">
      <c r="A8684" s="1" t="s">
        <v>4154</v>
      </c>
    </row>
    <row r="8685" spans="1:1">
      <c r="A8685" s="1" t="s">
        <v>4155</v>
      </c>
    </row>
    <row r="8686" spans="1:1">
      <c r="A8686" s="1" t="s">
        <v>4145</v>
      </c>
    </row>
    <row r="8687" spans="1:1">
      <c r="A8687" s="1" t="s">
        <v>4156</v>
      </c>
    </row>
    <row r="8688" spans="1:1">
      <c r="A8688" s="1" t="s">
        <v>4147</v>
      </c>
    </row>
    <row r="8689" spans="1:1">
      <c r="A8689" s="1" t="s">
        <v>4148</v>
      </c>
    </row>
    <row r="8690" spans="1:1">
      <c r="A8690" s="1" t="s">
        <v>4149</v>
      </c>
    </row>
    <row r="8691" spans="1:1">
      <c r="A8691" s="1" t="s">
        <v>4157</v>
      </c>
    </row>
    <row r="8692" spans="1:1">
      <c r="A8692" s="1" t="s">
        <v>4151</v>
      </c>
    </row>
    <row r="8693" spans="1:1">
      <c r="A8693" s="1" t="s">
        <v>4152</v>
      </c>
    </row>
    <row r="8694" spans="1:1">
      <c r="A8694" s="1" t="s">
        <v>4153</v>
      </c>
    </row>
    <row r="8695" spans="1:1">
      <c r="A8695" s="1" t="s">
        <v>4154</v>
      </c>
    </row>
    <row r="8696" spans="1:1">
      <c r="A8696" s="1" t="s">
        <v>4155</v>
      </c>
    </row>
    <row r="8697" spans="1:1">
      <c r="A8697" s="1" t="s">
        <v>4145</v>
      </c>
    </row>
    <row r="8698" spans="1:1">
      <c r="A8698" s="1" t="s">
        <v>4158</v>
      </c>
    </row>
    <row r="8699" spans="1:1">
      <c r="A8699" s="1" t="s">
        <v>4147</v>
      </c>
    </row>
    <row r="8700" spans="1:1">
      <c r="A8700" s="1" t="s">
        <v>4148</v>
      </c>
    </row>
    <row r="8701" spans="1:1">
      <c r="A8701" s="1" t="s">
        <v>4149</v>
      </c>
    </row>
    <row r="8702" spans="1:1">
      <c r="A8702" s="1" t="s">
        <v>4159</v>
      </c>
    </row>
    <row r="8703" spans="1:1">
      <c r="A8703" s="1" t="s">
        <v>4151</v>
      </c>
    </row>
    <row r="8704" spans="1:1">
      <c r="A8704" s="1" t="s">
        <v>4152</v>
      </c>
    </row>
    <row r="8705" spans="1:1">
      <c r="A8705" s="1" t="s">
        <v>4153</v>
      </c>
    </row>
    <row r="8706" spans="1:1">
      <c r="A8706" s="1" t="s">
        <v>4154</v>
      </c>
    </row>
    <row r="8707" spans="1:1">
      <c r="A8707" s="1" t="s">
        <v>4155</v>
      </c>
    </row>
    <row r="8708" spans="1:1">
      <c r="A8708" s="1" t="s">
        <v>4160</v>
      </c>
    </row>
    <row r="8709" spans="1:1">
      <c r="A8709" s="1" t="s">
        <v>4161</v>
      </c>
    </row>
    <row r="8710" spans="1:1">
      <c r="A8710" s="1" t="s">
        <v>4162</v>
      </c>
    </row>
    <row r="8711" spans="1:1">
      <c r="A8711" s="1" t="s">
        <v>4163</v>
      </c>
    </row>
    <row r="8712" spans="1:1">
      <c r="A8712" s="1" t="s">
        <v>4164</v>
      </c>
    </row>
    <row r="8713" spans="1:1">
      <c r="A8713" s="1" t="s">
        <v>4165</v>
      </c>
    </row>
    <row r="8714" spans="1:1">
      <c r="A8714" s="1" t="s">
        <v>4166</v>
      </c>
    </row>
    <row r="8715" spans="1:1">
      <c r="A8715" s="1" t="s">
        <v>4167</v>
      </c>
    </row>
    <row r="8716" spans="1:1">
      <c r="A8716" s="1" t="s">
        <v>4168</v>
      </c>
    </row>
    <row r="8717" spans="1:1">
      <c r="A8717" s="1" t="s">
        <v>4169</v>
      </c>
    </row>
    <row r="8718" spans="1:1">
      <c r="A8718" s="1" t="s">
        <v>4170</v>
      </c>
    </row>
    <row r="8719" spans="1:1">
      <c r="A8719" s="1" t="s">
        <v>4160</v>
      </c>
    </row>
    <row r="8720" spans="1:1">
      <c r="A8720" s="1" t="s">
        <v>4171</v>
      </c>
    </row>
    <row r="8721" spans="1:1">
      <c r="A8721" s="1" t="s">
        <v>4162</v>
      </c>
    </row>
    <row r="8722" spans="1:1">
      <c r="A8722" s="1" t="s">
        <v>4163</v>
      </c>
    </row>
    <row r="8723" spans="1:1">
      <c r="A8723" s="1" t="s">
        <v>4164</v>
      </c>
    </row>
    <row r="8724" spans="1:1">
      <c r="A8724" s="1" t="s">
        <v>4172</v>
      </c>
    </row>
    <row r="8725" spans="1:1">
      <c r="A8725" s="1" t="s">
        <v>4166</v>
      </c>
    </row>
    <row r="8726" spans="1:1">
      <c r="A8726" s="1" t="s">
        <v>4167</v>
      </c>
    </row>
    <row r="8727" spans="1:1">
      <c r="A8727" s="1" t="s">
        <v>4168</v>
      </c>
    </row>
    <row r="8728" spans="1:1">
      <c r="A8728" s="1" t="s">
        <v>4169</v>
      </c>
    </row>
    <row r="8729" spans="1:1">
      <c r="A8729" s="1" t="s">
        <v>4170</v>
      </c>
    </row>
    <row r="8730" spans="1:1">
      <c r="A8730" s="1" t="s">
        <v>4160</v>
      </c>
    </row>
    <row r="8731" spans="1:1">
      <c r="A8731" s="1" t="s">
        <v>4173</v>
      </c>
    </row>
    <row r="8732" spans="1:1">
      <c r="A8732" s="1" t="s">
        <v>4162</v>
      </c>
    </row>
    <row r="8733" spans="1:1">
      <c r="A8733" s="1" t="s">
        <v>4163</v>
      </c>
    </row>
    <row r="8734" spans="1:1">
      <c r="A8734" s="1" t="s">
        <v>4164</v>
      </c>
    </row>
    <row r="8735" spans="1:1">
      <c r="A8735" s="1" t="s">
        <v>4174</v>
      </c>
    </row>
    <row r="8736" spans="1:1">
      <c r="A8736" s="1" t="s">
        <v>4166</v>
      </c>
    </row>
    <row r="8737" spans="1:1">
      <c r="A8737" s="1" t="s">
        <v>4167</v>
      </c>
    </row>
    <row r="8738" spans="1:1">
      <c r="A8738" s="1" t="s">
        <v>4168</v>
      </c>
    </row>
    <row r="8739" spans="1:1">
      <c r="A8739" s="1" t="s">
        <v>4169</v>
      </c>
    </row>
    <row r="8740" spans="1:1">
      <c r="A8740" s="1" t="s">
        <v>4170</v>
      </c>
    </row>
    <row r="8741" spans="1:1">
      <c r="A8741" s="1" t="s">
        <v>4175</v>
      </c>
    </row>
    <row r="8742" spans="1:1">
      <c r="A8742" s="1" t="s">
        <v>4176</v>
      </c>
    </row>
    <row r="8743" spans="1:1">
      <c r="A8743" s="1" t="s">
        <v>4177</v>
      </c>
    </row>
    <row r="8744" spans="1:1">
      <c r="A8744" s="1" t="s">
        <v>4178</v>
      </c>
    </row>
    <row r="8745" spans="1:1">
      <c r="A8745" s="1" t="s">
        <v>4179</v>
      </c>
    </row>
    <row r="8746" spans="1:1">
      <c r="A8746" s="1" t="s">
        <v>4180</v>
      </c>
    </row>
    <row r="8747" spans="1:1">
      <c r="A8747" s="1" t="s">
        <v>4181</v>
      </c>
    </row>
    <row r="8748" spans="1:1">
      <c r="A8748" s="1" t="s">
        <v>4182</v>
      </c>
    </row>
    <row r="8749" spans="1:1">
      <c r="A8749" s="1" t="s">
        <v>4183</v>
      </c>
    </row>
    <row r="8750" spans="1:1">
      <c r="A8750" s="1" t="s">
        <v>4184</v>
      </c>
    </row>
    <row r="8751" spans="1:1">
      <c r="A8751" s="1" t="s">
        <v>4185</v>
      </c>
    </row>
    <row r="8752" spans="1:1">
      <c r="A8752" s="1" t="s">
        <v>4175</v>
      </c>
    </row>
    <row r="8753" spans="1:1">
      <c r="A8753" s="1" t="s">
        <v>4186</v>
      </c>
    </row>
    <row r="8754" spans="1:1">
      <c r="A8754" s="1" t="s">
        <v>4177</v>
      </c>
    </row>
    <row r="8755" spans="1:1">
      <c r="A8755" s="1" t="s">
        <v>4178</v>
      </c>
    </row>
    <row r="8756" spans="1:1">
      <c r="A8756" s="1" t="s">
        <v>4179</v>
      </c>
    </row>
    <row r="8757" spans="1:1">
      <c r="A8757" s="1" t="s">
        <v>4187</v>
      </c>
    </row>
    <row r="8758" spans="1:1">
      <c r="A8758" s="1" t="s">
        <v>4181</v>
      </c>
    </row>
    <row r="8759" spans="1:1">
      <c r="A8759" s="1" t="s">
        <v>4182</v>
      </c>
    </row>
    <row r="8760" spans="1:1">
      <c r="A8760" s="1" t="s">
        <v>4183</v>
      </c>
    </row>
    <row r="8761" spans="1:1">
      <c r="A8761" s="1" t="s">
        <v>4184</v>
      </c>
    </row>
    <row r="8762" spans="1:1">
      <c r="A8762" s="1" t="s">
        <v>4185</v>
      </c>
    </row>
    <row r="8763" spans="1:1">
      <c r="A8763" s="1" t="s">
        <v>4175</v>
      </c>
    </row>
    <row r="8764" spans="1:1">
      <c r="A8764" s="1" t="s">
        <v>4188</v>
      </c>
    </row>
    <row r="8765" spans="1:1">
      <c r="A8765" s="1" t="s">
        <v>4177</v>
      </c>
    </row>
    <row r="8766" spans="1:1">
      <c r="A8766" s="1" t="s">
        <v>4178</v>
      </c>
    </row>
    <row r="8767" spans="1:1">
      <c r="A8767" s="1" t="s">
        <v>4179</v>
      </c>
    </row>
    <row r="8768" spans="1:1">
      <c r="A8768" s="1" t="s">
        <v>4189</v>
      </c>
    </row>
    <row r="8769" spans="1:1">
      <c r="A8769" s="1" t="s">
        <v>4181</v>
      </c>
    </row>
    <row r="8770" spans="1:1">
      <c r="A8770" s="1" t="s">
        <v>4182</v>
      </c>
    </row>
    <row r="8771" spans="1:1">
      <c r="A8771" s="1" t="s">
        <v>4183</v>
      </c>
    </row>
    <row r="8772" spans="1:1">
      <c r="A8772" s="1" t="s">
        <v>4184</v>
      </c>
    </row>
    <row r="8773" spans="1:1">
      <c r="A8773" s="1" t="s">
        <v>4185</v>
      </c>
    </row>
    <row r="8774" spans="1:1">
      <c r="A8774" s="1" t="s">
        <v>4190</v>
      </c>
    </row>
    <row r="8775" spans="1:1">
      <c r="A8775" s="1" t="s">
        <v>4191</v>
      </c>
    </row>
    <row r="8776" spans="1:1">
      <c r="A8776" s="1" t="s">
        <v>4192</v>
      </c>
    </row>
    <row r="8777" spans="1:1">
      <c r="A8777" s="1" t="s">
        <v>4193</v>
      </c>
    </row>
    <row r="8778" spans="1:1">
      <c r="A8778" s="1" t="s">
        <v>4194</v>
      </c>
    </row>
    <row r="8779" spans="1:1">
      <c r="A8779" s="1" t="s">
        <v>4195</v>
      </c>
    </row>
    <row r="8780" spans="1:1">
      <c r="A8780" s="1" t="s">
        <v>4196</v>
      </c>
    </row>
    <row r="8781" spans="1:1">
      <c r="A8781" s="1" t="s">
        <v>4197</v>
      </c>
    </row>
    <row r="8782" spans="1:1">
      <c r="A8782" s="1" t="s">
        <v>4198</v>
      </c>
    </row>
    <row r="8783" spans="1:1">
      <c r="A8783" s="1" t="s">
        <v>4199</v>
      </c>
    </row>
    <row r="8784" spans="1:1">
      <c r="A8784" s="1" t="s">
        <v>4200</v>
      </c>
    </row>
    <row r="8785" spans="1:1">
      <c r="A8785" s="1" t="s">
        <v>4190</v>
      </c>
    </row>
    <row r="8786" spans="1:1">
      <c r="A8786" s="1" t="s">
        <v>4201</v>
      </c>
    </row>
    <row r="8787" spans="1:1">
      <c r="A8787" s="1" t="s">
        <v>4192</v>
      </c>
    </row>
    <row r="8788" spans="1:1">
      <c r="A8788" s="1" t="s">
        <v>4193</v>
      </c>
    </row>
    <row r="8789" spans="1:1">
      <c r="A8789" s="1" t="s">
        <v>4194</v>
      </c>
    </row>
    <row r="8790" spans="1:1">
      <c r="A8790" s="1" t="s">
        <v>4202</v>
      </c>
    </row>
    <row r="8791" spans="1:1">
      <c r="A8791" s="1" t="s">
        <v>4196</v>
      </c>
    </row>
    <row r="8792" spans="1:1">
      <c r="A8792" s="1" t="s">
        <v>4197</v>
      </c>
    </row>
    <row r="8793" spans="1:1">
      <c r="A8793" s="1" t="s">
        <v>4198</v>
      </c>
    </row>
    <row r="8794" spans="1:1">
      <c r="A8794" s="1" t="s">
        <v>4199</v>
      </c>
    </row>
    <row r="8795" spans="1:1">
      <c r="A8795" s="1" t="s">
        <v>4200</v>
      </c>
    </row>
    <row r="8796" spans="1:1">
      <c r="A8796" s="1" t="s">
        <v>4190</v>
      </c>
    </row>
    <row r="8797" spans="1:1">
      <c r="A8797" s="1" t="s">
        <v>4203</v>
      </c>
    </row>
    <row r="8798" spans="1:1">
      <c r="A8798" s="1" t="s">
        <v>4192</v>
      </c>
    </row>
    <row r="8799" spans="1:1">
      <c r="A8799" s="1" t="s">
        <v>4193</v>
      </c>
    </row>
    <row r="8800" spans="1:1">
      <c r="A8800" s="1" t="s">
        <v>4194</v>
      </c>
    </row>
    <row r="8801" spans="1:1">
      <c r="A8801" s="1" t="s">
        <v>4204</v>
      </c>
    </row>
    <row r="8802" spans="1:1">
      <c r="A8802" s="1" t="s">
        <v>4196</v>
      </c>
    </row>
    <row r="8803" spans="1:1">
      <c r="A8803" s="1" t="s">
        <v>4197</v>
      </c>
    </row>
    <row r="8804" spans="1:1">
      <c r="A8804" s="1" t="s">
        <v>4198</v>
      </c>
    </row>
    <row r="8805" spans="1:1">
      <c r="A8805" s="1" t="s">
        <v>4199</v>
      </c>
    </row>
    <row r="8806" spans="1:1">
      <c r="A8806" s="1" t="s">
        <v>4200</v>
      </c>
    </row>
    <row r="8807" spans="1:1">
      <c r="A8807" s="1" t="s">
        <v>4205</v>
      </c>
    </row>
    <row r="8808" spans="1:1">
      <c r="A8808" s="1" t="s">
        <v>4206</v>
      </c>
    </row>
    <row r="8809" spans="1:1">
      <c r="A8809" s="1" t="s">
        <v>4207</v>
      </c>
    </row>
    <row r="8810" spans="1:1">
      <c r="A8810" s="1" t="s">
        <v>4205</v>
      </c>
    </row>
    <row r="8811" spans="1:1">
      <c r="A8811" s="1" t="s">
        <v>4206</v>
      </c>
    </row>
    <row r="8812" spans="1:1">
      <c r="A8812" s="1" t="s">
        <v>4207</v>
      </c>
    </row>
    <row r="8813" spans="1:1">
      <c r="A8813" s="1" t="s">
        <v>4205</v>
      </c>
    </row>
    <row r="8814" spans="1:1">
      <c r="A8814" s="1" t="s">
        <v>4206</v>
      </c>
    </row>
    <row r="8815" spans="1:1">
      <c r="A8815" s="1" t="s">
        <v>4207</v>
      </c>
    </row>
    <row r="8816" spans="1:1">
      <c r="A8816" s="1" t="s">
        <v>4208</v>
      </c>
    </row>
    <row r="8817" spans="1:1">
      <c r="A8817" s="1" t="s">
        <v>4209</v>
      </c>
    </row>
    <row r="8818" spans="1:1">
      <c r="A8818" s="1" t="s">
        <v>4210</v>
      </c>
    </row>
    <row r="8819" spans="1:1">
      <c r="A8819" s="1" t="s">
        <v>4211</v>
      </c>
    </row>
    <row r="8820" spans="1:1">
      <c r="A8820" s="1" t="s">
        <v>4212</v>
      </c>
    </row>
    <row r="8821" spans="1:1">
      <c r="A8821" s="1" t="s">
        <v>4213</v>
      </c>
    </row>
    <row r="8822" spans="1:1">
      <c r="A8822" s="1" t="s">
        <v>4214</v>
      </c>
    </row>
    <row r="8823" spans="1:1">
      <c r="A8823" s="1" t="s">
        <v>4215</v>
      </c>
    </row>
    <row r="8824" spans="1:1">
      <c r="A8824" s="1" t="s">
        <v>4216</v>
      </c>
    </row>
    <row r="8825" spans="1:1">
      <c r="A8825" s="1" t="s">
        <v>4217</v>
      </c>
    </row>
    <row r="8826" spans="1:1">
      <c r="A8826" s="1" t="s">
        <v>4208</v>
      </c>
    </row>
    <row r="8827" spans="1:1">
      <c r="A8827" s="1" t="s">
        <v>4218</v>
      </c>
    </row>
    <row r="8828" spans="1:1">
      <c r="A8828" s="1" t="s">
        <v>4210</v>
      </c>
    </row>
    <row r="8829" spans="1:1">
      <c r="A8829" s="1" t="s">
        <v>4211</v>
      </c>
    </row>
    <row r="8830" spans="1:1">
      <c r="A8830" s="1" t="s">
        <v>4219</v>
      </c>
    </row>
    <row r="8831" spans="1:1">
      <c r="A8831" s="1" t="s">
        <v>4213</v>
      </c>
    </row>
    <row r="8832" spans="1:1">
      <c r="A8832" s="1" t="s">
        <v>4214</v>
      </c>
    </row>
    <row r="8833" spans="1:1">
      <c r="A8833" s="1" t="s">
        <v>4215</v>
      </c>
    </row>
    <row r="8834" spans="1:1">
      <c r="A8834" s="1" t="s">
        <v>4216</v>
      </c>
    </row>
    <row r="8835" spans="1:1">
      <c r="A8835" s="1" t="s">
        <v>4217</v>
      </c>
    </row>
    <row r="8836" spans="1:1">
      <c r="A8836" s="1" t="s">
        <v>4208</v>
      </c>
    </row>
    <row r="8837" spans="1:1">
      <c r="A8837" s="1" t="s">
        <v>4220</v>
      </c>
    </row>
    <row r="8838" spans="1:1">
      <c r="A8838" s="1" t="s">
        <v>4210</v>
      </c>
    </row>
    <row r="8839" spans="1:1">
      <c r="A8839" s="1" t="s">
        <v>4211</v>
      </c>
    </row>
    <row r="8840" spans="1:1">
      <c r="A8840" s="1" t="s">
        <v>4221</v>
      </c>
    </row>
    <row r="8841" spans="1:1">
      <c r="A8841" s="1" t="s">
        <v>4213</v>
      </c>
    </row>
    <row r="8842" spans="1:1">
      <c r="A8842" s="1" t="s">
        <v>4214</v>
      </c>
    </row>
    <row r="8843" spans="1:1">
      <c r="A8843" s="1" t="s">
        <v>4215</v>
      </c>
    </row>
    <row r="8844" spans="1:1">
      <c r="A8844" s="1" t="s">
        <v>4216</v>
      </c>
    </row>
    <row r="8845" spans="1:1">
      <c r="A8845" s="1" t="s">
        <v>4217</v>
      </c>
    </row>
    <row r="8846" spans="1:1">
      <c r="A8846" s="1" t="s">
        <v>4222</v>
      </c>
    </row>
    <row r="8847" spans="1:1">
      <c r="A8847" s="1" t="s">
        <v>4223</v>
      </c>
    </row>
    <row r="8848" spans="1:1">
      <c r="A8848" s="1" t="s">
        <v>4224</v>
      </c>
    </row>
    <row r="8849" spans="1:1">
      <c r="A8849" s="1" t="s">
        <v>4225</v>
      </c>
    </row>
    <row r="8850" spans="1:1">
      <c r="A8850" s="1" t="s">
        <v>4226</v>
      </c>
    </row>
    <row r="8851" spans="1:1">
      <c r="A8851" s="1" t="s">
        <v>4227</v>
      </c>
    </row>
    <row r="8852" spans="1:1">
      <c r="A8852" s="1" t="s">
        <v>4228</v>
      </c>
    </row>
    <row r="8853" spans="1:1">
      <c r="A8853" s="1" t="s">
        <v>4229</v>
      </c>
    </row>
    <row r="8854" spans="1:1">
      <c r="A8854" s="1" t="s">
        <v>4230</v>
      </c>
    </row>
    <row r="8855" spans="1:1">
      <c r="A8855" s="1" t="s">
        <v>4231</v>
      </c>
    </row>
    <row r="8856" spans="1:1">
      <c r="A8856" s="1" t="s">
        <v>4222</v>
      </c>
    </row>
    <row r="8857" spans="1:1">
      <c r="A8857" s="1" t="s">
        <v>4232</v>
      </c>
    </row>
    <row r="8858" spans="1:1">
      <c r="A8858" s="1" t="s">
        <v>4224</v>
      </c>
    </row>
    <row r="8859" spans="1:1">
      <c r="A8859" s="1" t="s">
        <v>4225</v>
      </c>
    </row>
    <row r="8860" spans="1:1">
      <c r="A8860" s="1" t="s">
        <v>4233</v>
      </c>
    </row>
    <row r="8861" spans="1:1">
      <c r="A8861" s="1" t="s">
        <v>4227</v>
      </c>
    </row>
    <row r="8862" spans="1:1">
      <c r="A8862" s="1" t="s">
        <v>4228</v>
      </c>
    </row>
    <row r="8863" spans="1:1">
      <c r="A8863" s="1" t="s">
        <v>4229</v>
      </c>
    </row>
    <row r="8864" spans="1:1">
      <c r="A8864" s="1" t="s">
        <v>4230</v>
      </c>
    </row>
    <row r="8865" spans="1:1">
      <c r="A8865" s="1" t="s">
        <v>4231</v>
      </c>
    </row>
    <row r="8866" spans="1:1">
      <c r="A8866" s="1" t="s">
        <v>4222</v>
      </c>
    </row>
    <row r="8867" spans="1:1">
      <c r="A8867" s="1" t="s">
        <v>4234</v>
      </c>
    </row>
    <row r="8868" spans="1:1">
      <c r="A8868" s="1" t="s">
        <v>4224</v>
      </c>
    </row>
    <row r="8869" spans="1:1">
      <c r="A8869" s="1" t="s">
        <v>4225</v>
      </c>
    </row>
    <row r="8870" spans="1:1">
      <c r="A8870" s="1" t="s">
        <v>4235</v>
      </c>
    </row>
    <row r="8871" spans="1:1">
      <c r="A8871" s="1" t="s">
        <v>4227</v>
      </c>
    </row>
    <row r="8872" spans="1:1">
      <c r="A8872" s="1" t="s">
        <v>4228</v>
      </c>
    </row>
    <row r="8873" spans="1:1">
      <c r="A8873" s="1" t="s">
        <v>4229</v>
      </c>
    </row>
    <row r="8874" spans="1:1">
      <c r="A8874" s="1" t="s">
        <v>4230</v>
      </c>
    </row>
    <row r="8875" spans="1:1">
      <c r="A8875" s="1" t="s">
        <v>4231</v>
      </c>
    </row>
    <row r="8876" spans="1:1">
      <c r="A8876" s="1" t="s">
        <v>4236</v>
      </c>
    </row>
    <row r="8877" spans="1:1">
      <c r="A8877" s="1" t="s">
        <v>4237</v>
      </c>
    </row>
    <row r="8878" spans="1:1">
      <c r="A8878" s="1" t="s">
        <v>4238</v>
      </c>
    </row>
    <row r="8879" spans="1:1">
      <c r="A8879" s="1" t="s">
        <v>4236</v>
      </c>
    </row>
    <row r="8880" spans="1:1">
      <c r="A8880" s="1" t="s">
        <v>4237</v>
      </c>
    </row>
    <row r="8881" spans="1:1">
      <c r="A8881" s="1" t="s">
        <v>4238</v>
      </c>
    </row>
    <row r="8882" spans="1:1">
      <c r="A8882" s="1" t="s">
        <v>4236</v>
      </c>
    </row>
    <row r="8883" spans="1:1">
      <c r="A8883" s="1" t="s">
        <v>4237</v>
      </c>
    </row>
    <row r="8884" spans="1:1">
      <c r="A8884" s="1" t="s">
        <v>4238</v>
      </c>
    </row>
    <row r="8885" spans="1:1">
      <c r="A8885" s="1" t="s">
        <v>4239</v>
      </c>
    </row>
    <row r="8886" spans="1:1">
      <c r="A8886" s="1" t="s">
        <v>4240</v>
      </c>
    </row>
    <row r="8887" spans="1:1">
      <c r="A8887" s="1" t="s">
        <v>4241</v>
      </c>
    </row>
    <row r="8888" spans="1:1">
      <c r="A8888" s="1" t="s">
        <v>4242</v>
      </c>
    </row>
    <row r="8889" spans="1:1">
      <c r="A8889" s="1" t="s">
        <v>4243</v>
      </c>
    </row>
    <row r="8890" spans="1:1">
      <c r="A8890" s="1" t="s">
        <v>4244</v>
      </c>
    </row>
    <row r="8891" spans="1:1">
      <c r="A8891" s="1" t="s">
        <v>4245</v>
      </c>
    </row>
    <row r="8892" spans="1:1">
      <c r="A8892" s="1" t="s">
        <v>4246</v>
      </c>
    </row>
    <row r="8893" spans="1:1">
      <c r="A8893" s="1" t="s">
        <v>4247</v>
      </c>
    </row>
    <row r="8894" spans="1:1">
      <c r="A8894" s="1" t="s">
        <v>4248</v>
      </c>
    </row>
    <row r="8895" spans="1:1">
      <c r="A8895" s="1" t="s">
        <v>4239</v>
      </c>
    </row>
    <row r="8896" spans="1:1">
      <c r="A8896" s="1" t="s">
        <v>4249</v>
      </c>
    </row>
    <row r="8897" spans="1:1">
      <c r="A8897" s="1" t="s">
        <v>4241</v>
      </c>
    </row>
    <row r="8898" spans="1:1">
      <c r="A8898" s="1" t="s">
        <v>4242</v>
      </c>
    </row>
    <row r="8899" spans="1:1">
      <c r="A8899" s="1" t="s">
        <v>4250</v>
      </c>
    </row>
    <row r="8900" spans="1:1">
      <c r="A8900" s="1" t="s">
        <v>4244</v>
      </c>
    </row>
    <row r="8901" spans="1:1">
      <c r="A8901" s="1" t="s">
        <v>4245</v>
      </c>
    </row>
    <row r="8902" spans="1:1">
      <c r="A8902" s="1" t="s">
        <v>4246</v>
      </c>
    </row>
    <row r="8903" spans="1:1">
      <c r="A8903" s="1" t="s">
        <v>4247</v>
      </c>
    </row>
    <row r="8904" spans="1:1">
      <c r="A8904" s="1" t="s">
        <v>4248</v>
      </c>
    </row>
    <row r="8905" spans="1:1">
      <c r="A8905" s="1" t="s">
        <v>4239</v>
      </c>
    </row>
    <row r="8906" spans="1:1">
      <c r="A8906" s="1" t="s">
        <v>4251</v>
      </c>
    </row>
    <row r="8907" spans="1:1">
      <c r="A8907" s="1" t="s">
        <v>4241</v>
      </c>
    </row>
    <row r="8908" spans="1:1">
      <c r="A8908" s="1" t="s">
        <v>4242</v>
      </c>
    </row>
    <row r="8909" spans="1:1">
      <c r="A8909" s="1" t="s">
        <v>4252</v>
      </c>
    </row>
    <row r="8910" spans="1:1">
      <c r="A8910" s="1" t="s">
        <v>4244</v>
      </c>
    </row>
    <row r="8911" spans="1:1">
      <c r="A8911" s="1" t="s">
        <v>4245</v>
      </c>
    </row>
    <row r="8912" spans="1:1">
      <c r="A8912" s="1" t="s">
        <v>4246</v>
      </c>
    </row>
    <row r="8913" spans="1:1">
      <c r="A8913" s="1" t="s">
        <v>4247</v>
      </c>
    </row>
    <row r="8914" spans="1:1">
      <c r="A8914" s="1" t="s">
        <v>4248</v>
      </c>
    </row>
    <row r="8915" spans="1:1">
      <c r="A8915" s="1" t="s">
        <v>4253</v>
      </c>
    </row>
    <row r="8916" spans="1:1">
      <c r="A8916" s="1" t="s">
        <v>4254</v>
      </c>
    </row>
    <row r="8917" spans="1:1">
      <c r="A8917" s="1" t="s">
        <v>4255</v>
      </c>
    </row>
    <row r="8918" spans="1:1">
      <c r="A8918" s="1" t="s">
        <v>4256</v>
      </c>
    </row>
    <row r="8919" spans="1:1">
      <c r="A8919" s="1" t="s">
        <v>4257</v>
      </c>
    </row>
    <row r="8920" spans="1:1">
      <c r="A8920" s="1" t="s">
        <v>4258</v>
      </c>
    </row>
    <row r="8921" spans="1:1">
      <c r="A8921" s="1" t="s">
        <v>4259</v>
      </c>
    </row>
    <row r="8922" spans="1:1">
      <c r="A8922" s="1" t="s">
        <v>4260</v>
      </c>
    </row>
    <row r="8923" spans="1:1">
      <c r="A8923" s="1" t="s">
        <v>4261</v>
      </c>
    </row>
    <row r="8924" spans="1:1">
      <c r="A8924" s="1" t="s">
        <v>4262</v>
      </c>
    </row>
    <row r="8925" spans="1:1">
      <c r="A8925" s="1" t="s">
        <v>4253</v>
      </c>
    </row>
    <row r="8926" spans="1:1">
      <c r="A8926" s="1" t="s">
        <v>4263</v>
      </c>
    </row>
    <row r="8927" spans="1:1">
      <c r="A8927" s="1" t="s">
        <v>4255</v>
      </c>
    </row>
    <row r="8928" spans="1:1">
      <c r="A8928" s="1" t="s">
        <v>4256</v>
      </c>
    </row>
    <row r="8929" spans="1:1">
      <c r="A8929" s="1" t="s">
        <v>4264</v>
      </c>
    </row>
    <row r="8930" spans="1:1">
      <c r="A8930" s="1" t="s">
        <v>4258</v>
      </c>
    </row>
    <row r="8931" spans="1:1">
      <c r="A8931" s="1" t="s">
        <v>4259</v>
      </c>
    </row>
    <row r="8932" spans="1:1">
      <c r="A8932" s="1" t="s">
        <v>4260</v>
      </c>
    </row>
    <row r="8933" spans="1:1">
      <c r="A8933" s="1" t="s">
        <v>4261</v>
      </c>
    </row>
    <row r="8934" spans="1:1">
      <c r="A8934" s="1" t="s">
        <v>4262</v>
      </c>
    </row>
    <row r="8935" spans="1:1">
      <c r="A8935" s="1" t="s">
        <v>4253</v>
      </c>
    </row>
    <row r="8936" spans="1:1">
      <c r="A8936" s="1" t="s">
        <v>4265</v>
      </c>
    </row>
    <row r="8937" spans="1:1">
      <c r="A8937" s="1" t="s">
        <v>4255</v>
      </c>
    </row>
    <row r="8938" spans="1:1">
      <c r="A8938" s="1" t="s">
        <v>4256</v>
      </c>
    </row>
    <row r="8939" spans="1:1">
      <c r="A8939" s="1" t="s">
        <v>4266</v>
      </c>
    </row>
    <row r="8940" spans="1:1">
      <c r="A8940" s="1" t="s">
        <v>4258</v>
      </c>
    </row>
    <row r="8941" spans="1:1">
      <c r="A8941" s="1" t="s">
        <v>4259</v>
      </c>
    </row>
    <row r="8942" spans="1:1">
      <c r="A8942" s="1" t="s">
        <v>4260</v>
      </c>
    </row>
    <row r="8943" spans="1:1">
      <c r="A8943" s="1" t="s">
        <v>4261</v>
      </c>
    </row>
    <row r="8944" spans="1:1">
      <c r="A8944" s="1" t="s">
        <v>4262</v>
      </c>
    </row>
    <row r="8945" spans="1:1">
      <c r="A8945" s="1" t="s">
        <v>4299</v>
      </c>
    </row>
    <row r="8946" spans="1:1">
      <c r="A8946" s="1" t="s">
        <v>4300</v>
      </c>
    </row>
    <row r="8947" spans="1:1">
      <c r="A8947" s="1" t="s">
        <v>4302</v>
      </c>
    </row>
    <row r="8948" spans="1:1">
      <c r="A8948" s="1" t="s">
        <v>4303</v>
      </c>
    </row>
    <row r="8949" spans="1:1">
      <c r="A8949" s="1" t="s">
        <v>4302</v>
      </c>
    </row>
    <row r="8950" spans="1:1">
      <c r="A8950" s="1" t="s">
        <v>4304</v>
      </c>
    </row>
    <row r="8951" spans="1:1">
      <c r="A8951" s="1" t="s">
        <v>4305</v>
      </c>
    </row>
    <row r="8952" spans="1:1">
      <c r="A8952" s="1" t="s">
        <v>4306</v>
      </c>
    </row>
    <row r="8953" spans="1:1">
      <c r="A8953" s="1" t="s">
        <v>4307</v>
      </c>
    </row>
    <row r="8954" spans="1:1">
      <c r="A8954" s="1" t="s">
        <v>4308</v>
      </c>
    </row>
    <row r="8955" spans="1:1">
      <c r="A8955" s="1" t="s">
        <v>4309</v>
      </c>
    </row>
    <row r="8956" spans="1:1">
      <c r="A8956" s="1" t="s">
        <v>4310</v>
      </c>
    </row>
    <row r="8957" spans="1:1">
      <c r="A8957" s="1" t="s">
        <v>4307</v>
      </c>
    </row>
    <row r="8958" spans="1:1">
      <c r="A8958" s="1" t="s">
        <v>4311</v>
      </c>
    </row>
    <row r="8959" spans="1:1">
      <c r="A8959" s="1" t="s">
        <v>4309</v>
      </c>
    </row>
    <row r="8960" spans="1:1">
      <c r="A8960" s="1" t="s">
        <v>4310</v>
      </c>
    </row>
    <row r="8961" spans="1:1">
      <c r="A8961" s="1" t="s">
        <v>4312</v>
      </c>
    </row>
    <row r="8962" spans="1:1">
      <c r="A8962" s="1" t="s">
        <v>4313</v>
      </c>
    </row>
    <row r="8963" spans="1:1">
      <c r="A8963" s="1" t="s">
        <v>4314</v>
      </c>
    </row>
    <row r="8964" spans="1:1">
      <c r="A8964" s="1" t="s">
        <v>4315</v>
      </c>
    </row>
    <row r="8965" spans="1:1">
      <c r="A8965" s="1" t="s">
        <v>4316</v>
      </c>
    </row>
    <row r="8966" spans="1:1">
      <c r="A8966" s="1" t="s">
        <v>4317</v>
      </c>
    </row>
    <row r="8967" spans="1:1">
      <c r="A8967" s="1" t="s">
        <v>4318</v>
      </c>
    </row>
    <row r="8968" spans="1:1">
      <c r="A8968" s="1" t="s">
        <v>4319</v>
      </c>
    </row>
    <row r="8969" spans="1:1">
      <c r="A8969" s="1" t="s">
        <v>4320</v>
      </c>
    </row>
    <row r="8970" spans="1:1">
      <c r="A8970" s="1" t="s">
        <v>4321</v>
      </c>
    </row>
    <row r="8971" spans="1:1">
      <c r="A8971" s="1" t="s">
        <v>4322</v>
      </c>
    </row>
    <row r="8972" spans="1:1">
      <c r="A8972" s="1" t="s">
        <v>4323</v>
      </c>
    </row>
    <row r="8973" spans="1:1">
      <c r="A8973" s="1" t="s">
        <v>4320</v>
      </c>
    </row>
    <row r="8974" spans="1:1">
      <c r="A8974" s="1" t="s">
        <v>4324</v>
      </c>
    </row>
    <row r="8975" spans="1:1">
      <c r="A8975" s="1" t="s">
        <v>4322</v>
      </c>
    </row>
    <row r="8976" spans="1:1">
      <c r="A8976" s="1" t="s">
        <v>4323</v>
      </c>
    </row>
    <row r="8977" spans="1:1">
      <c r="A8977" s="1" t="s">
        <v>4320</v>
      </c>
    </row>
    <row r="8978" spans="1:1">
      <c r="A8978" s="1" t="s">
        <v>4325</v>
      </c>
    </row>
    <row r="8979" spans="1:1">
      <c r="A8979" s="1" t="s">
        <v>4322</v>
      </c>
    </row>
    <row r="8980" spans="1:1">
      <c r="A8980" s="1" t="s">
        <v>4323</v>
      </c>
    </row>
    <row r="8981" spans="1:1">
      <c r="A8981" s="1" t="s">
        <v>4326</v>
      </c>
    </row>
    <row r="8982" spans="1:1">
      <c r="A8982" s="1" t="s">
        <v>4327</v>
      </c>
    </row>
    <row r="8983" spans="1:1">
      <c r="A8983" s="1" t="s">
        <v>4328</v>
      </c>
    </row>
    <row r="8984" spans="1:1">
      <c r="A8984" s="1" t="s">
        <v>4329</v>
      </c>
    </row>
    <row r="8985" spans="1:1">
      <c r="A8985" s="1" t="s">
        <v>4330</v>
      </c>
    </row>
    <row r="8986" spans="1:1">
      <c r="A8986" s="1" t="s">
        <v>4331</v>
      </c>
    </row>
    <row r="8987" spans="1:1">
      <c r="A8987" s="1" t="s">
        <v>4332</v>
      </c>
    </row>
    <row r="8988" spans="1:1">
      <c r="A8988" s="1" t="s">
        <v>4333</v>
      </c>
    </row>
    <row r="8989" spans="1:1">
      <c r="A8989" s="1" t="s">
        <v>4334</v>
      </c>
    </row>
    <row r="8990" spans="1:1">
      <c r="A8990" s="1" t="s">
        <v>4335</v>
      </c>
    </row>
    <row r="8991" spans="1:1">
      <c r="A8991" s="1" t="s">
        <v>4336</v>
      </c>
    </row>
    <row r="8992" spans="1:1">
      <c r="A8992" s="1" t="s">
        <v>4337</v>
      </c>
    </row>
    <row r="8993" spans="1:1">
      <c r="A8993" s="1" t="s">
        <v>4338</v>
      </c>
    </row>
    <row r="8994" spans="1:1">
      <c r="A8994" s="1" t="s">
        <v>4339</v>
      </c>
    </row>
    <row r="8995" spans="1:1">
      <c r="A8995" s="1" t="s">
        <v>4340</v>
      </c>
    </row>
    <row r="8996" spans="1:1">
      <c r="A8996" s="1" t="s">
        <v>4341</v>
      </c>
    </row>
    <row r="8997" spans="1:1">
      <c r="A8997" s="1" t="s">
        <v>4342</v>
      </c>
    </row>
    <row r="8998" spans="1:1">
      <c r="A8998" s="1" t="s">
        <v>4343</v>
      </c>
    </row>
    <row r="8999" spans="1:1">
      <c r="A8999" s="1" t="s">
        <v>4344</v>
      </c>
    </row>
    <row r="9000" spans="1:1">
      <c r="A9000" s="1" t="s">
        <v>4345</v>
      </c>
    </row>
    <row r="9001" spans="1:1">
      <c r="A9001" s="1" t="s">
        <v>4336</v>
      </c>
    </row>
    <row r="9002" spans="1:1">
      <c r="A9002" s="1" t="s">
        <v>4337</v>
      </c>
    </row>
    <row r="9003" spans="1:1">
      <c r="A9003" s="1" t="s">
        <v>4346</v>
      </c>
    </row>
    <row r="9004" spans="1:1">
      <c r="A9004" s="1" t="s">
        <v>4339</v>
      </c>
    </row>
    <row r="9005" spans="1:1">
      <c r="A9005" s="1" t="s">
        <v>4340</v>
      </c>
    </row>
    <row r="9006" spans="1:1">
      <c r="A9006" s="1" t="s">
        <v>4341</v>
      </c>
    </row>
    <row r="9007" spans="1:1">
      <c r="A9007" s="1" t="s">
        <v>4342</v>
      </c>
    </row>
    <row r="9008" spans="1:1">
      <c r="A9008" s="1" t="s">
        <v>4343</v>
      </c>
    </row>
    <row r="9009" spans="1:1">
      <c r="A9009" s="1" t="s">
        <v>4347</v>
      </c>
    </row>
    <row r="9010" spans="1:1">
      <c r="A9010" s="1" t="s">
        <v>4348</v>
      </c>
    </row>
    <row r="9011" spans="1:1">
      <c r="A9011" s="1" t="s">
        <v>4349</v>
      </c>
    </row>
    <row r="9012" spans="1:1">
      <c r="A9012" s="1" t="s">
        <v>4350</v>
      </c>
    </row>
    <row r="9013" spans="1:1">
      <c r="A9013" s="1" t="s">
        <v>4351</v>
      </c>
    </row>
    <row r="9014" spans="1:1">
      <c r="A9014" s="1" t="s">
        <v>4352</v>
      </c>
    </row>
    <row r="9015" spans="1:1">
      <c r="A9015" s="1" t="s">
        <v>4353</v>
      </c>
    </row>
    <row r="9016" spans="1:1">
      <c r="A9016" s="1" t="s">
        <v>4354</v>
      </c>
    </row>
    <row r="9017" spans="1:1">
      <c r="A9017" s="1" t="s">
        <v>4355</v>
      </c>
    </row>
    <row r="9018" spans="1:1">
      <c r="A9018" s="1" t="s">
        <v>4356</v>
      </c>
    </row>
    <row r="9019" spans="1:1">
      <c r="A9019" s="1" t="s">
        <v>4357</v>
      </c>
    </row>
    <row r="9020" spans="1:1">
      <c r="A9020" s="1" t="s">
        <v>4347</v>
      </c>
    </row>
    <row r="9021" spans="1:1">
      <c r="A9021" s="1" t="s">
        <v>4348</v>
      </c>
    </row>
    <row r="9022" spans="1:1">
      <c r="A9022" s="1" t="s">
        <v>4349</v>
      </c>
    </row>
    <row r="9023" spans="1:1">
      <c r="A9023" s="1" t="s">
        <v>4358</v>
      </c>
    </row>
    <row r="9024" spans="1:1">
      <c r="A9024" s="1" t="s">
        <v>4351</v>
      </c>
    </row>
    <row r="9025" spans="1:1">
      <c r="A9025" s="1" t="s">
        <v>4352</v>
      </c>
    </row>
    <row r="9026" spans="1:1">
      <c r="A9026" s="1" t="s">
        <v>4353</v>
      </c>
    </row>
    <row r="9027" spans="1:1">
      <c r="A9027" s="1" t="s">
        <v>4354</v>
      </c>
    </row>
    <row r="9028" spans="1:1">
      <c r="A9028" s="1" t="s">
        <v>4355</v>
      </c>
    </row>
    <row r="9029" spans="1:1">
      <c r="A9029" s="1" t="s">
        <v>4356</v>
      </c>
    </row>
    <row r="9030" spans="1:1">
      <c r="A9030" s="1" t="s">
        <v>4359</v>
      </c>
    </row>
    <row r="9031" spans="1:1">
      <c r="A9031" s="1" t="s">
        <v>4347</v>
      </c>
    </row>
    <row r="9032" spans="1:1">
      <c r="A9032" s="1" t="s">
        <v>4348</v>
      </c>
    </row>
    <row r="9033" spans="1:1">
      <c r="A9033" s="1" t="s">
        <v>4349</v>
      </c>
    </row>
    <row r="9034" spans="1:1">
      <c r="A9034" s="1" t="s">
        <v>4360</v>
      </c>
    </row>
    <row r="9035" spans="1:1">
      <c r="A9035" s="1" t="s">
        <v>4351</v>
      </c>
    </row>
    <row r="9036" spans="1:1">
      <c r="A9036" s="1" t="s">
        <v>4361</v>
      </c>
    </row>
    <row r="9037" spans="1:1">
      <c r="A9037" s="1" t="s">
        <v>4362</v>
      </c>
    </row>
    <row r="9038" spans="1:1">
      <c r="A9038" s="1" t="s">
        <v>4363</v>
      </c>
    </row>
    <row r="9039" spans="1:1">
      <c r="A9039" s="1" t="s">
        <v>4364</v>
      </c>
    </row>
    <row r="9040" spans="1:1">
      <c r="A9040" s="1" t="s">
        <v>4365</v>
      </c>
    </row>
    <row r="9041" spans="1:1">
      <c r="A9041" s="1" t="s">
        <v>4366</v>
      </c>
    </row>
    <row r="9042" spans="1:1">
      <c r="A9042" s="1" t="s">
        <v>4367</v>
      </c>
    </row>
    <row r="9043" spans="1:1">
      <c r="A9043" s="1" t="s">
        <v>4368</v>
      </c>
    </row>
    <row r="9044" spans="1:1">
      <c r="A9044" s="1" t="s">
        <v>4369</v>
      </c>
    </row>
    <row r="9045" spans="1:1">
      <c r="A9045" s="1" t="s">
        <v>4370</v>
      </c>
    </row>
    <row r="9046" spans="1:1">
      <c r="A9046" s="1" t="s">
        <v>4371</v>
      </c>
    </row>
    <row r="9047" spans="1:1">
      <c r="A9047" s="1" t="s">
        <v>4361</v>
      </c>
    </row>
    <row r="9048" spans="1:1">
      <c r="A9048" s="1" t="s">
        <v>4362</v>
      </c>
    </row>
    <row r="9049" spans="1:1">
      <c r="A9049" s="1" t="s">
        <v>4363</v>
      </c>
    </row>
    <row r="9050" spans="1:1">
      <c r="A9050" s="1" t="s">
        <v>4364</v>
      </c>
    </row>
    <row r="9051" spans="1:1">
      <c r="A9051" s="1" t="s">
        <v>4372</v>
      </c>
    </row>
    <row r="9052" spans="1:1">
      <c r="A9052" s="1" t="s">
        <v>4373</v>
      </c>
    </row>
    <row r="9053" spans="1:1">
      <c r="A9053" s="1" t="s">
        <v>4374</v>
      </c>
    </row>
    <row r="9054" spans="1:1">
      <c r="A9054" s="1" t="s">
        <v>4375</v>
      </c>
    </row>
    <row r="9055" spans="1:1">
      <c r="A9055" s="1" t="s">
        <v>4376</v>
      </c>
    </row>
    <row r="9056" spans="1:1">
      <c r="A9056" s="1" t="s">
        <v>4377</v>
      </c>
    </row>
    <row r="9057" spans="1:1">
      <c r="A9057" s="1" t="s">
        <v>4378</v>
      </c>
    </row>
    <row r="9058" spans="1:1">
      <c r="A9058" s="1" t="s">
        <v>4379</v>
      </c>
    </row>
    <row r="9059" spans="1:1">
      <c r="A9059" s="1" t="s">
        <v>4380</v>
      </c>
    </row>
    <row r="9060" spans="1:1">
      <c r="A9060" s="1" t="s">
        <v>4381</v>
      </c>
    </row>
    <row r="9061" spans="1:1">
      <c r="A9061" s="1" t="s">
        <v>4382</v>
      </c>
    </row>
    <row r="9062" spans="1:1">
      <c r="A9062" s="1" t="s">
        <v>4372</v>
      </c>
    </row>
    <row r="9063" spans="1:1">
      <c r="A9063" s="1" t="s">
        <v>4373</v>
      </c>
    </row>
    <row r="9064" spans="1:1">
      <c r="A9064" s="1" t="s">
        <v>4374</v>
      </c>
    </row>
    <row r="9065" spans="1:1">
      <c r="A9065" s="1" t="s">
        <v>4383</v>
      </c>
    </row>
    <row r="9066" spans="1:1">
      <c r="A9066" s="1" t="s">
        <v>4376</v>
      </c>
    </row>
    <row r="9067" spans="1:1">
      <c r="A9067" s="1" t="s">
        <v>4377</v>
      </c>
    </row>
    <row r="9068" spans="1:1">
      <c r="A9068" s="1" t="s">
        <v>4378</v>
      </c>
    </row>
    <row r="9069" spans="1:1">
      <c r="A9069" s="1" t="s">
        <v>4379</v>
      </c>
    </row>
    <row r="9070" spans="1:1">
      <c r="A9070" s="1" t="s">
        <v>4380</v>
      </c>
    </row>
    <row r="9071" spans="1:1">
      <c r="A9071" s="1" t="s">
        <v>4381</v>
      </c>
    </row>
    <row r="9072" spans="1:1">
      <c r="A9072" s="1" t="s">
        <v>4384</v>
      </c>
    </row>
    <row r="9073" spans="1:1">
      <c r="A9073" s="1" t="s">
        <v>4372</v>
      </c>
    </row>
    <row r="9074" spans="1:1">
      <c r="A9074" s="1" t="s">
        <v>4373</v>
      </c>
    </row>
    <row r="9075" spans="1:1">
      <c r="A9075" s="1" t="s">
        <v>4374</v>
      </c>
    </row>
    <row r="9076" spans="1:1">
      <c r="A9076" s="1" t="s">
        <v>4385</v>
      </c>
    </row>
    <row r="9077" spans="1:1">
      <c r="A9077" s="1" t="s">
        <v>4376</v>
      </c>
    </row>
    <row r="9078" spans="1:1">
      <c r="A9078" s="1" t="s">
        <v>4377</v>
      </c>
    </row>
    <row r="9079" spans="1:1">
      <c r="A9079" s="1" t="s">
        <v>4378</v>
      </c>
    </row>
    <row r="9080" spans="1:1">
      <c r="A9080" s="1" t="s">
        <v>4379</v>
      </c>
    </row>
    <row r="9081" spans="1:1">
      <c r="A9081" s="1" t="s">
        <v>4380</v>
      </c>
    </row>
    <row r="9082" spans="1:1">
      <c r="A9082" s="1" t="s">
        <v>4381</v>
      </c>
    </row>
    <row r="9083" spans="1:1">
      <c r="A9083" s="1" t="s">
        <v>4386</v>
      </c>
    </row>
    <row r="9084" spans="1:1">
      <c r="A9084" s="1" t="s">
        <v>4372</v>
      </c>
    </row>
    <row r="9085" spans="1:1">
      <c r="A9085" s="1" t="s">
        <v>4373</v>
      </c>
    </row>
    <row r="9086" spans="1:1">
      <c r="A9086" s="1" t="s">
        <v>4374</v>
      </c>
    </row>
    <row r="9087" spans="1:1">
      <c r="A9087" s="1" t="s">
        <v>4387</v>
      </c>
    </row>
    <row r="9088" spans="1:1">
      <c r="A9088" s="1" t="s">
        <v>4376</v>
      </c>
    </row>
    <row r="9089" spans="1:1">
      <c r="A9089" s="1" t="s">
        <v>4377</v>
      </c>
    </row>
    <row r="9090" spans="1:1">
      <c r="A9090" s="1" t="s">
        <v>4378</v>
      </c>
    </row>
    <row r="9091" spans="1:1">
      <c r="A9091" s="1" t="s">
        <v>4388</v>
      </c>
    </row>
    <row r="9092" spans="1:1">
      <c r="A9092" s="1" t="s">
        <v>4389</v>
      </c>
    </row>
    <row r="9093" spans="1:1">
      <c r="A9093" s="1" t="s">
        <v>4390</v>
      </c>
    </row>
    <row r="9094" spans="1:1">
      <c r="A9094" s="1" t="s">
        <v>4391</v>
      </c>
    </row>
    <row r="9095" spans="1:1">
      <c r="A9095" s="1" t="s">
        <v>4392</v>
      </c>
    </row>
    <row r="9096" spans="1:1">
      <c r="A9096" s="1" t="s">
        <v>4393</v>
      </c>
    </row>
    <row r="9097" spans="1:1">
      <c r="A9097" s="1" t="s">
        <v>4394</v>
      </c>
    </row>
    <row r="9098" spans="1:1">
      <c r="A9098" s="1" t="s">
        <v>4395</v>
      </c>
    </row>
    <row r="9099" spans="1:1">
      <c r="A9099" s="1" t="s">
        <v>4396</v>
      </c>
    </row>
    <row r="9100" spans="1:1">
      <c r="A9100" s="1" t="s">
        <v>4397</v>
      </c>
    </row>
    <row r="9101" spans="1:1">
      <c r="A9101" s="1" t="s">
        <v>4398</v>
      </c>
    </row>
    <row r="9102" spans="1:1">
      <c r="A9102" s="1" t="s">
        <v>4399</v>
      </c>
    </row>
    <row r="9103" spans="1:1">
      <c r="A9103" s="1" t="s">
        <v>4400</v>
      </c>
    </row>
    <row r="9104" spans="1:1">
      <c r="A9104" s="1" t="s">
        <v>4390</v>
      </c>
    </row>
    <row r="9105" spans="1:1">
      <c r="A9105" s="1" t="s">
        <v>4391</v>
      </c>
    </row>
    <row r="9106" spans="1:1">
      <c r="A9106" s="1" t="s">
        <v>4392</v>
      </c>
    </row>
    <row r="9107" spans="1:1">
      <c r="A9107" s="1" t="s">
        <v>4401</v>
      </c>
    </row>
    <row r="9108" spans="1:1">
      <c r="A9108" s="1" t="s">
        <v>4394</v>
      </c>
    </row>
    <row r="9109" spans="1:1">
      <c r="A9109" s="1" t="s">
        <v>4395</v>
      </c>
    </row>
    <row r="9110" spans="1:1">
      <c r="A9110" s="1" t="s">
        <v>4396</v>
      </c>
    </row>
    <row r="9111" spans="1:1">
      <c r="A9111" s="1" t="s">
        <v>4397</v>
      </c>
    </row>
    <row r="9112" spans="1:1">
      <c r="A9112" s="1" t="s">
        <v>4398</v>
      </c>
    </row>
    <row r="9113" spans="1:1">
      <c r="A9113" s="1" t="s">
        <v>4399</v>
      </c>
    </row>
    <row r="9114" spans="1:1">
      <c r="A9114" s="1" t="s">
        <v>4402</v>
      </c>
    </row>
    <row r="9115" spans="1:1">
      <c r="A9115" s="1" t="s">
        <v>4390</v>
      </c>
    </row>
    <row r="9116" spans="1:1">
      <c r="A9116" s="1" t="s">
        <v>4391</v>
      </c>
    </row>
    <row r="9117" spans="1:1">
      <c r="A9117" s="1" t="s">
        <v>4392</v>
      </c>
    </row>
    <row r="9118" spans="1:1">
      <c r="A9118" s="1" t="s">
        <v>4403</v>
      </c>
    </row>
    <row r="9119" spans="1:1">
      <c r="A9119" s="1" t="s">
        <v>4394</v>
      </c>
    </row>
    <row r="9120" spans="1:1">
      <c r="A9120" s="1" t="s">
        <v>4395</v>
      </c>
    </row>
    <row r="9121" spans="1:1">
      <c r="A9121" s="1" t="s">
        <v>4396</v>
      </c>
    </row>
    <row r="9122" spans="1:1">
      <c r="A9122" s="1" t="s">
        <v>4397</v>
      </c>
    </row>
    <row r="9123" spans="1:1">
      <c r="A9123" s="1" t="s">
        <v>4398</v>
      </c>
    </row>
    <row r="9124" spans="1:1">
      <c r="A9124" s="1" t="s">
        <v>4399</v>
      </c>
    </row>
    <row r="9125" spans="1:1">
      <c r="A9125" s="1" t="s">
        <v>4404</v>
      </c>
    </row>
    <row r="9126" spans="1:1">
      <c r="A9126" s="1" t="s">
        <v>4390</v>
      </c>
    </row>
    <row r="9127" spans="1:1">
      <c r="A9127" s="1" t="s">
        <v>4391</v>
      </c>
    </row>
    <row r="9128" spans="1:1">
      <c r="A9128" s="1" t="s">
        <v>4392</v>
      </c>
    </row>
    <row r="9129" spans="1:1">
      <c r="A9129" s="1" t="s">
        <v>4405</v>
      </c>
    </row>
    <row r="9130" spans="1:1">
      <c r="A9130" s="1" t="s">
        <v>4394</v>
      </c>
    </row>
    <row r="9131" spans="1:1">
      <c r="A9131" s="1" t="s">
        <v>4395</v>
      </c>
    </row>
    <row r="9132" spans="1:1">
      <c r="A9132" s="1" t="s">
        <v>4396</v>
      </c>
    </row>
    <row r="9133" spans="1:1">
      <c r="A9133" s="1" t="s">
        <v>4397</v>
      </c>
    </row>
    <row r="9134" spans="1:1">
      <c r="A9134" s="1" t="s">
        <v>4398</v>
      </c>
    </row>
    <row r="9135" spans="1:1">
      <c r="A9135" s="1" t="s">
        <v>4406</v>
      </c>
    </row>
    <row r="9136" spans="1:1">
      <c r="A9136" s="1" t="s">
        <v>4407</v>
      </c>
    </row>
    <row r="9137" spans="1:1">
      <c r="A9137" s="1" t="s">
        <v>4408</v>
      </c>
    </row>
    <row r="9138" spans="1:1">
      <c r="A9138" s="1" t="s">
        <v>4409</v>
      </c>
    </row>
    <row r="9139" spans="1:1">
      <c r="A9139" s="1" t="s">
        <v>4410</v>
      </c>
    </row>
    <row r="9140" spans="1:1">
      <c r="A9140" s="1" t="s">
        <v>4411</v>
      </c>
    </row>
    <row r="9141" spans="1:1">
      <c r="A9141" s="1" t="s">
        <v>4412</v>
      </c>
    </row>
    <row r="9142" spans="1:1">
      <c r="A9142" s="1" t="s">
        <v>4413</v>
      </c>
    </row>
    <row r="9143" spans="1:1">
      <c r="A9143" s="1" t="s">
        <v>4414</v>
      </c>
    </row>
    <row r="9144" spans="1:1">
      <c r="A9144" s="1" t="s">
        <v>4415</v>
      </c>
    </row>
    <row r="9145" spans="1:1">
      <c r="A9145" s="1" t="s">
        <v>4416</v>
      </c>
    </row>
    <row r="9146" spans="1:1">
      <c r="A9146" s="1" t="s">
        <v>4406</v>
      </c>
    </row>
    <row r="9147" spans="1:1">
      <c r="A9147" s="1" t="s">
        <v>4407</v>
      </c>
    </row>
    <row r="9148" spans="1:1">
      <c r="A9148" s="1" t="s">
        <v>4408</v>
      </c>
    </row>
    <row r="9149" spans="1:1">
      <c r="A9149" s="1" t="s">
        <v>4417</v>
      </c>
    </row>
    <row r="9150" spans="1:1">
      <c r="A9150" s="1" t="s">
        <v>4410</v>
      </c>
    </row>
    <row r="9151" spans="1:1">
      <c r="A9151" s="1" t="s">
        <v>4411</v>
      </c>
    </row>
    <row r="9152" spans="1:1">
      <c r="A9152" s="1" t="s">
        <v>4412</v>
      </c>
    </row>
    <row r="9153" spans="1:1">
      <c r="A9153" s="1" t="s">
        <v>4413</v>
      </c>
    </row>
    <row r="9154" spans="1:1">
      <c r="A9154" s="1" t="s">
        <v>4414</v>
      </c>
    </row>
    <row r="9155" spans="1:1">
      <c r="A9155" s="1" t="s">
        <v>4415</v>
      </c>
    </row>
    <row r="9156" spans="1:1">
      <c r="A9156" s="1" t="s">
        <v>4418</v>
      </c>
    </row>
    <row r="9157" spans="1:1">
      <c r="A9157" s="1" t="s">
        <v>4406</v>
      </c>
    </row>
    <row r="9158" spans="1:1">
      <c r="A9158" s="1" t="s">
        <v>4407</v>
      </c>
    </row>
    <row r="9159" spans="1:1">
      <c r="A9159" s="1" t="s">
        <v>4408</v>
      </c>
    </row>
    <row r="9160" spans="1:1">
      <c r="A9160" s="1" t="s">
        <v>4419</v>
      </c>
    </row>
    <row r="9161" spans="1:1">
      <c r="A9161" s="1" t="s">
        <v>4410</v>
      </c>
    </row>
    <row r="9162" spans="1:1">
      <c r="A9162" s="1" t="s">
        <v>4411</v>
      </c>
    </row>
    <row r="9163" spans="1:1">
      <c r="A9163" s="1" t="s">
        <v>4412</v>
      </c>
    </row>
    <row r="9164" spans="1:1">
      <c r="A9164" s="1" t="s">
        <v>4413</v>
      </c>
    </row>
    <row r="9165" spans="1:1">
      <c r="A9165" s="1" t="s">
        <v>4414</v>
      </c>
    </row>
    <row r="9166" spans="1:1">
      <c r="A9166" s="1" t="s">
        <v>4415</v>
      </c>
    </row>
    <row r="9167" spans="1:1">
      <c r="A9167" s="1" t="s">
        <v>4420</v>
      </c>
    </row>
    <row r="9168" spans="1:1">
      <c r="A9168" s="1" t="s">
        <v>4406</v>
      </c>
    </row>
    <row r="9169" spans="1:1">
      <c r="A9169" s="1" t="s">
        <v>4407</v>
      </c>
    </row>
    <row r="9170" spans="1:1">
      <c r="A9170" s="1" t="s">
        <v>4408</v>
      </c>
    </row>
    <row r="9171" spans="1:1">
      <c r="A9171" s="1" t="s">
        <v>4421</v>
      </c>
    </row>
    <row r="9172" spans="1:1">
      <c r="A9172" s="1" t="s">
        <v>4410</v>
      </c>
    </row>
    <row r="9173" spans="1:1">
      <c r="A9173" s="1" t="s">
        <v>4411</v>
      </c>
    </row>
    <row r="9174" spans="1:1">
      <c r="A9174" s="1" t="s">
        <v>4412</v>
      </c>
    </row>
    <row r="9175" spans="1:1">
      <c r="A9175" s="1" t="s">
        <v>4413</v>
      </c>
    </row>
    <row r="9176" spans="1:1">
      <c r="A9176" s="1" t="s">
        <v>4414</v>
      </c>
    </row>
    <row r="9177" spans="1:1">
      <c r="A9177" s="1" t="s">
        <v>4422</v>
      </c>
    </row>
    <row r="9178" spans="1:1">
      <c r="A9178" s="1" t="s">
        <v>4423</v>
      </c>
    </row>
    <row r="9179" spans="1:1">
      <c r="A9179" s="1" t="s">
        <v>4424</v>
      </c>
    </row>
    <row r="9180" spans="1:1">
      <c r="A9180" s="1" t="s">
        <v>4425</v>
      </c>
    </row>
    <row r="9181" spans="1:1">
      <c r="A9181" s="1" t="s">
        <v>4422</v>
      </c>
    </row>
    <row r="9182" spans="1:1">
      <c r="A9182" s="1" t="s">
        <v>4426</v>
      </c>
    </row>
    <row r="9183" spans="1:1">
      <c r="A9183" s="1" t="s">
        <v>4427</v>
      </c>
    </row>
    <row r="9184" spans="1:1">
      <c r="A9184" s="1" t="s">
        <v>4428</v>
      </c>
    </row>
    <row r="9185" spans="1:1">
      <c r="A9185" s="1" t="s">
        <v>4429</v>
      </c>
    </row>
    <row r="9186" spans="1:1">
      <c r="A9186" s="1" t="s">
        <v>4430</v>
      </c>
    </row>
    <row r="9187" spans="1:1">
      <c r="A9187" s="1" t="s">
        <v>4431</v>
      </c>
    </row>
    <row r="9188" spans="1:1">
      <c r="A9188" s="1" t="s">
        <v>4431</v>
      </c>
    </row>
    <row r="9189" spans="1:1">
      <c r="A9189" s="1" t="s">
        <v>4431</v>
      </c>
    </row>
    <row r="9190" spans="1:1">
      <c r="A9190" s="1" t="s">
        <v>4431</v>
      </c>
    </row>
    <row r="9191" spans="1:1">
      <c r="A9191" s="1" t="s">
        <v>4431</v>
      </c>
    </row>
    <row r="9192" spans="1:1">
      <c r="A9192" s="1" t="s">
        <v>4431</v>
      </c>
    </row>
    <row r="9193" spans="1:1">
      <c r="A9193" s="1" t="s">
        <v>4432</v>
      </c>
    </row>
    <row r="9194" spans="1:1">
      <c r="A9194" s="1" t="s">
        <v>4433</v>
      </c>
    </row>
    <row r="9195" spans="1:1">
      <c r="A9195" s="1" t="s">
        <v>4434</v>
      </c>
    </row>
    <row r="9196" spans="1:1">
      <c r="A9196" s="1" t="s">
        <v>4432</v>
      </c>
    </row>
    <row r="9197" spans="1:1">
      <c r="A9197" s="1" t="s">
        <v>4433</v>
      </c>
    </row>
    <row r="9198" spans="1:1">
      <c r="A9198" s="1" t="s">
        <v>4434</v>
      </c>
    </row>
    <row r="9199" spans="1:1">
      <c r="A9199" s="1" t="s">
        <v>4432</v>
      </c>
    </row>
    <row r="9200" spans="1:1">
      <c r="A9200" s="1" t="s">
        <v>4433</v>
      </c>
    </row>
    <row r="9201" spans="1:1">
      <c r="A9201" s="1" t="s">
        <v>4434</v>
      </c>
    </row>
    <row r="9202" spans="1:1">
      <c r="A9202" s="1" t="s">
        <v>4435</v>
      </c>
    </row>
    <row r="9203" spans="1:1">
      <c r="A9203" s="1" t="s">
        <v>4436</v>
      </c>
    </row>
    <row r="9204" spans="1:1">
      <c r="A9204" s="1" t="s">
        <v>4437</v>
      </c>
    </row>
    <row r="9205" spans="1:1">
      <c r="A9205" s="1" t="s">
        <v>4438</v>
      </c>
    </row>
    <row r="9206" spans="1:1">
      <c r="A9206" s="1" t="s">
        <v>4439</v>
      </c>
    </row>
    <row r="9207" spans="1:1">
      <c r="A9207" s="1" t="s">
        <v>4440</v>
      </c>
    </row>
    <row r="9208" spans="1:1">
      <c r="A9208" s="1" t="s">
        <v>4441</v>
      </c>
    </row>
    <row r="9209" spans="1:1">
      <c r="A9209" s="1" t="s">
        <v>4442</v>
      </c>
    </row>
    <row r="9210" spans="1:1">
      <c r="A9210" s="1" t="s">
        <v>4443</v>
      </c>
    </row>
    <row r="9211" spans="1:1">
      <c r="A9211" s="1" t="s">
        <v>4444</v>
      </c>
    </row>
    <row r="9212" spans="1:1">
      <c r="A9212" s="1" t="s">
        <v>4461</v>
      </c>
    </row>
    <row r="9213" spans="1:1">
      <c r="A9213" s="1" t="s">
        <v>4462</v>
      </c>
    </row>
    <row r="9214" spans="1:1">
      <c r="A9214" s="1" t="s">
        <v>4461</v>
      </c>
    </row>
    <row r="9215" spans="1:1">
      <c r="A9215" s="1" t="s">
        <v>4463</v>
      </c>
    </row>
    <row r="9216" spans="1:1">
      <c r="A9216" s="1" t="s">
        <v>4464</v>
      </c>
    </row>
    <row r="9217" spans="1:1">
      <c r="A9217" s="1" t="s">
        <v>4465</v>
      </c>
    </row>
    <row r="9218" spans="1:1">
      <c r="A9218" s="1" t="s">
        <v>4468</v>
      </c>
    </row>
    <row r="9219" spans="1:1">
      <c r="A9219" s="1" t="s">
        <v>4469</v>
      </c>
    </row>
    <row r="9220" spans="1:1">
      <c r="A9220" s="1" t="s">
        <v>4470</v>
      </c>
    </row>
    <row r="9221" spans="1:1">
      <c r="A9221" s="1" t="s">
        <v>4471</v>
      </c>
    </row>
    <row r="9222" spans="1:1">
      <c r="A9222" s="1" t="s">
        <v>4472</v>
      </c>
    </row>
    <row r="9223" spans="1:1">
      <c r="A9223" s="1" t="s">
        <v>4473</v>
      </c>
    </row>
    <row r="9224" spans="1:1">
      <c r="A9224" s="1" t="s">
        <v>4474</v>
      </c>
    </row>
    <row r="9225" spans="1:1">
      <c r="A9225" s="1" t="s">
        <v>4475</v>
      </c>
    </row>
    <row r="9226" spans="1:1">
      <c r="A9226" s="1" t="s">
        <v>4476</v>
      </c>
    </row>
    <row r="9227" spans="1:1">
      <c r="A9227" s="1" t="s">
        <v>4477</v>
      </c>
    </row>
    <row r="9228" spans="1:1">
      <c r="A9228" s="1" t="s">
        <v>4478</v>
      </c>
    </row>
    <row r="9229" spans="1:1">
      <c r="A9229" s="1" t="s">
        <v>4479</v>
      </c>
    </row>
    <row r="9230" spans="1:1">
      <c r="A9230" s="1" t="s">
        <v>4480</v>
      </c>
    </row>
    <row r="9231" spans="1:1">
      <c r="A9231" s="1" t="s">
        <v>4481</v>
      </c>
    </row>
    <row r="9232" spans="1:1">
      <c r="A9232" s="1" t="s">
        <v>4482</v>
      </c>
    </row>
    <row r="9233" spans="1:1">
      <c r="A9233" s="1" t="s">
        <v>4483</v>
      </c>
    </row>
    <row r="9234" spans="1:1">
      <c r="A9234" s="1" t="s">
        <v>4482</v>
      </c>
    </row>
    <row r="9235" spans="1:1">
      <c r="A9235" s="1" t="s">
        <v>4484</v>
      </c>
    </row>
    <row r="9236" spans="1:1">
      <c r="A9236" s="1" t="s">
        <v>4485</v>
      </c>
    </row>
    <row r="9237" spans="1:1">
      <c r="A9237" s="1" t="s">
        <v>4486</v>
      </c>
    </row>
    <row r="9238" spans="1:1">
      <c r="A9238" s="1" t="s">
        <v>4487</v>
      </c>
    </row>
    <row r="9239" spans="1:1">
      <c r="A9239" s="1" t="s">
        <v>4488</v>
      </c>
    </row>
    <row r="9240" spans="1:1">
      <c r="A9240" s="1" t="s">
        <v>4489</v>
      </c>
    </row>
    <row r="9241" spans="1:1">
      <c r="A9241" s="1" t="s">
        <v>4490</v>
      </c>
    </row>
    <row r="9242" spans="1:1">
      <c r="A9242" s="1" t="s">
        <v>4491</v>
      </c>
    </row>
    <row r="9243" spans="1:1">
      <c r="A9243" s="1" t="s">
        <v>4492</v>
      </c>
    </row>
    <row r="9244" spans="1:1">
      <c r="A9244" s="1" t="s">
        <v>4493</v>
      </c>
    </row>
    <row r="9245" spans="1:1">
      <c r="A9245" s="1" t="s">
        <v>4494</v>
      </c>
    </row>
    <row r="9246" spans="1:1">
      <c r="A9246" s="1" t="s">
        <v>4485</v>
      </c>
    </row>
    <row r="9247" spans="1:1">
      <c r="A9247" s="1" t="s">
        <v>4486</v>
      </c>
    </row>
    <row r="9248" spans="1:1">
      <c r="A9248" s="1" t="s">
        <v>4495</v>
      </c>
    </row>
    <row r="9249" spans="1:1">
      <c r="A9249" s="1" t="s">
        <v>4488</v>
      </c>
    </row>
    <row r="9250" spans="1:1">
      <c r="A9250" s="1" t="s">
        <v>4489</v>
      </c>
    </row>
    <row r="9251" spans="1:1">
      <c r="A9251" s="1" t="s">
        <v>4490</v>
      </c>
    </row>
    <row r="9252" spans="1:1">
      <c r="A9252" s="1" t="s">
        <v>4491</v>
      </c>
    </row>
    <row r="9253" spans="1:1">
      <c r="A9253" s="1" t="s">
        <v>4492</v>
      </c>
    </row>
    <row r="9254" spans="1:1">
      <c r="A9254" s="1" t="s">
        <v>4493</v>
      </c>
    </row>
    <row r="9255" spans="1:1">
      <c r="A9255" s="1" t="s">
        <v>4496</v>
      </c>
    </row>
    <row r="9256" spans="1:1">
      <c r="A9256" s="1" t="s">
        <v>4485</v>
      </c>
    </row>
    <row r="9257" spans="1:1">
      <c r="A9257" s="1" t="s">
        <v>4486</v>
      </c>
    </row>
    <row r="9258" spans="1:1">
      <c r="A9258" s="1" t="s">
        <v>4497</v>
      </c>
    </row>
    <row r="9259" spans="1:1">
      <c r="A9259" s="1" t="s">
        <v>4488</v>
      </c>
    </row>
    <row r="9260" spans="1:1">
      <c r="A9260" s="1" t="s">
        <v>4489</v>
      </c>
    </row>
    <row r="9261" spans="1:1">
      <c r="A9261" s="1" t="s">
        <v>4490</v>
      </c>
    </row>
    <row r="9262" spans="1:1">
      <c r="A9262" s="1" t="s">
        <v>4491</v>
      </c>
    </row>
    <row r="9263" spans="1:1">
      <c r="A9263" s="1" t="s">
        <v>4492</v>
      </c>
    </row>
    <row r="9264" spans="1:1">
      <c r="A9264" s="1" t="s">
        <v>4493</v>
      </c>
    </row>
    <row r="9265" spans="1:1">
      <c r="A9265" s="1" t="s">
        <v>4498</v>
      </c>
    </row>
    <row r="9266" spans="1:1">
      <c r="A9266" s="1" t="s">
        <v>4485</v>
      </c>
    </row>
    <row r="9267" spans="1:1">
      <c r="A9267" s="1" t="s">
        <v>4486</v>
      </c>
    </row>
    <row r="9268" spans="1:1">
      <c r="A9268" s="1" t="s">
        <v>4499</v>
      </c>
    </row>
    <row r="9269" spans="1:1">
      <c r="A9269" s="1" t="s">
        <v>4488</v>
      </c>
    </row>
    <row r="9270" spans="1:1">
      <c r="A9270" s="1" t="s">
        <v>4489</v>
      </c>
    </row>
    <row r="9271" spans="1:1">
      <c r="A9271" s="1" t="s">
        <v>4490</v>
      </c>
    </row>
    <row r="9272" spans="1:1">
      <c r="A9272" s="1" t="s">
        <v>4491</v>
      </c>
    </row>
    <row r="9273" spans="1:1">
      <c r="A9273" s="1" t="s">
        <v>4492</v>
      </c>
    </row>
    <row r="9274" spans="1:1">
      <c r="A9274" s="1" t="s">
        <v>4493</v>
      </c>
    </row>
    <row r="9275" spans="1:1">
      <c r="A9275" s="1" t="s">
        <v>4500</v>
      </c>
    </row>
    <row r="9276" spans="1:1">
      <c r="A9276" s="1" t="s">
        <v>4485</v>
      </c>
    </row>
    <row r="9277" spans="1:1">
      <c r="A9277" s="1" t="s">
        <v>4486</v>
      </c>
    </row>
    <row r="9278" spans="1:1">
      <c r="A9278" s="1" t="s">
        <v>4501</v>
      </c>
    </row>
    <row r="9279" spans="1:1">
      <c r="A9279" s="1" t="s">
        <v>4488</v>
      </c>
    </row>
    <row r="9280" spans="1:1">
      <c r="A9280" s="1" t="s">
        <v>4489</v>
      </c>
    </row>
    <row r="9281" spans="1:1">
      <c r="A9281" s="1" t="s">
        <v>4490</v>
      </c>
    </row>
    <row r="9282" spans="1:1">
      <c r="A9282" s="1" t="s">
        <v>4491</v>
      </c>
    </row>
    <row r="9283" spans="1:1">
      <c r="A9283" s="1" t="s">
        <v>4492</v>
      </c>
    </row>
    <row r="9284" spans="1:1">
      <c r="A9284" s="1" t="s">
        <v>4502</v>
      </c>
    </row>
    <row r="9285" spans="1:1">
      <c r="A9285" s="1" t="s">
        <v>4503</v>
      </c>
    </row>
    <row r="9286" spans="1:1">
      <c r="A9286" s="1" t="s">
        <v>4504</v>
      </c>
    </row>
    <row r="9287" spans="1:1">
      <c r="A9287" s="1" t="s">
        <v>4505</v>
      </c>
    </row>
    <row r="9288" spans="1:1">
      <c r="A9288" s="1" t="s">
        <v>4506</v>
      </c>
    </row>
    <row r="9289" spans="1:1">
      <c r="A9289" s="1" t="s">
        <v>4507</v>
      </c>
    </row>
    <row r="9290" spans="1:1">
      <c r="A9290" s="1" t="s">
        <v>4508</v>
      </c>
    </row>
    <row r="9291" spans="1:1">
      <c r="A9291" s="1" t="s">
        <v>4509</v>
      </c>
    </row>
    <row r="9292" spans="1:1">
      <c r="A9292" s="1" t="s">
        <v>4510</v>
      </c>
    </row>
    <row r="9293" spans="1:1">
      <c r="A9293" s="1" t="s">
        <v>4511</v>
      </c>
    </row>
    <row r="9294" spans="1:1">
      <c r="A9294" s="1" t="s">
        <v>4502</v>
      </c>
    </row>
    <row r="9295" spans="1:1">
      <c r="A9295" s="1" t="s">
        <v>4503</v>
      </c>
    </row>
    <row r="9296" spans="1:1">
      <c r="A9296" s="1" t="s">
        <v>4512</v>
      </c>
    </row>
    <row r="9297" spans="1:1">
      <c r="A9297" s="1" t="s">
        <v>4505</v>
      </c>
    </row>
    <row r="9298" spans="1:1">
      <c r="A9298" s="1" t="s">
        <v>4506</v>
      </c>
    </row>
    <row r="9299" spans="1:1">
      <c r="A9299" s="1" t="s">
        <v>4507</v>
      </c>
    </row>
    <row r="9300" spans="1:1">
      <c r="A9300" s="1" t="s">
        <v>4508</v>
      </c>
    </row>
    <row r="9301" spans="1:1">
      <c r="A9301" s="1" t="s">
        <v>4509</v>
      </c>
    </row>
    <row r="9302" spans="1:1">
      <c r="A9302" s="1" t="s">
        <v>4510</v>
      </c>
    </row>
    <row r="9303" spans="1:1">
      <c r="A9303" s="1" t="s">
        <v>4513</v>
      </c>
    </row>
    <row r="9304" spans="1:1">
      <c r="A9304" s="1" t="s">
        <v>4502</v>
      </c>
    </row>
    <row r="9305" spans="1:1">
      <c r="A9305" s="1" t="s">
        <v>4503</v>
      </c>
    </row>
    <row r="9306" spans="1:1">
      <c r="A9306" s="1" t="s">
        <v>4514</v>
      </c>
    </row>
    <row r="9307" spans="1:1">
      <c r="A9307" s="1" t="s">
        <v>4505</v>
      </c>
    </row>
    <row r="9308" spans="1:1">
      <c r="A9308" s="1" t="s">
        <v>4506</v>
      </c>
    </row>
    <row r="9309" spans="1:1">
      <c r="A9309" s="1" t="s">
        <v>4507</v>
      </c>
    </row>
    <row r="9310" spans="1:1">
      <c r="A9310" s="1" t="s">
        <v>4508</v>
      </c>
    </row>
    <row r="9311" spans="1:1">
      <c r="A9311" s="1" t="s">
        <v>4509</v>
      </c>
    </row>
    <row r="9312" spans="1:1">
      <c r="A9312" s="1" t="s">
        <v>4510</v>
      </c>
    </row>
    <row r="9313" spans="1:1">
      <c r="A9313" s="1" t="s">
        <v>4515</v>
      </c>
    </row>
    <row r="9314" spans="1:1">
      <c r="A9314" s="1" t="s">
        <v>4502</v>
      </c>
    </row>
    <row r="9315" spans="1:1">
      <c r="A9315" s="1" t="s">
        <v>4503</v>
      </c>
    </row>
    <row r="9316" spans="1:1">
      <c r="A9316" s="1" t="s">
        <v>4516</v>
      </c>
    </row>
    <row r="9317" spans="1:1">
      <c r="A9317" s="1" t="s">
        <v>4505</v>
      </c>
    </row>
    <row r="9318" spans="1:1">
      <c r="A9318" s="1" t="s">
        <v>4506</v>
      </c>
    </row>
    <row r="9319" spans="1:1">
      <c r="A9319" s="1" t="s">
        <v>4507</v>
      </c>
    </row>
    <row r="9320" spans="1:1">
      <c r="A9320" s="1" t="s">
        <v>4508</v>
      </c>
    </row>
    <row r="9321" spans="1:1">
      <c r="A9321" s="1" t="s">
        <v>4509</v>
      </c>
    </row>
    <row r="9322" spans="1:1">
      <c r="A9322" s="1" t="s">
        <v>4510</v>
      </c>
    </row>
    <row r="9323" spans="1:1">
      <c r="A9323" s="1" t="s">
        <v>4517</v>
      </c>
    </row>
    <row r="9324" spans="1:1">
      <c r="A9324" s="1" t="s">
        <v>4502</v>
      </c>
    </row>
    <row r="9325" spans="1:1">
      <c r="A9325" s="1" t="s">
        <v>4503</v>
      </c>
    </row>
    <row r="9326" spans="1:1">
      <c r="A9326" s="1" t="s">
        <v>4518</v>
      </c>
    </row>
    <row r="9327" spans="1:1">
      <c r="A9327" s="1" t="s">
        <v>4505</v>
      </c>
    </row>
    <row r="9328" spans="1:1">
      <c r="A9328" s="1" t="s">
        <v>4506</v>
      </c>
    </row>
    <row r="9329" spans="1:1">
      <c r="A9329" s="1" t="s">
        <v>4507</v>
      </c>
    </row>
    <row r="9330" spans="1:1">
      <c r="A9330" s="1" t="s">
        <v>4508</v>
      </c>
    </row>
    <row r="9331" spans="1:1">
      <c r="A9331" s="1" t="s">
        <v>4509</v>
      </c>
    </row>
    <row r="9332" spans="1:1">
      <c r="A9332" s="1" t="s">
        <v>4519</v>
      </c>
    </row>
    <row r="9333" spans="1:1">
      <c r="A9333" s="1" t="s">
        <v>4520</v>
      </c>
    </row>
    <row r="9334" spans="1:1">
      <c r="A9334" s="1" t="s">
        <v>4521</v>
      </c>
    </row>
    <row r="9335" spans="1:1">
      <c r="A9335" s="1" t="s">
        <v>4522</v>
      </c>
    </row>
    <row r="9336" spans="1:1">
      <c r="A9336" s="1" t="s">
        <v>4523</v>
      </c>
    </row>
    <row r="9337" spans="1:1">
      <c r="A9337" s="1" t="s">
        <v>4524</v>
      </c>
    </row>
    <row r="9338" spans="1:1">
      <c r="A9338" s="1" t="s">
        <v>4525</v>
      </c>
    </row>
    <row r="9339" spans="1:1">
      <c r="A9339" s="1" t="s">
        <v>4526</v>
      </c>
    </row>
    <row r="9340" spans="1:1">
      <c r="A9340" s="1" t="s">
        <v>4527</v>
      </c>
    </row>
    <row r="9341" spans="1:1">
      <c r="A9341" s="1" t="s">
        <v>4528</v>
      </c>
    </row>
    <row r="9342" spans="1:1">
      <c r="A9342" s="1" t="s">
        <v>4519</v>
      </c>
    </row>
    <row r="9343" spans="1:1">
      <c r="A9343" s="1" t="s">
        <v>4520</v>
      </c>
    </row>
    <row r="9344" spans="1:1">
      <c r="A9344" s="1" t="s">
        <v>4529</v>
      </c>
    </row>
    <row r="9345" spans="1:1">
      <c r="A9345" s="1" t="s">
        <v>4522</v>
      </c>
    </row>
    <row r="9346" spans="1:1">
      <c r="A9346" s="1" t="s">
        <v>4523</v>
      </c>
    </row>
    <row r="9347" spans="1:1">
      <c r="A9347" s="1" t="s">
        <v>4524</v>
      </c>
    </row>
    <row r="9348" spans="1:1">
      <c r="A9348" s="1" t="s">
        <v>4525</v>
      </c>
    </row>
    <row r="9349" spans="1:1">
      <c r="A9349" s="1" t="s">
        <v>4526</v>
      </c>
    </row>
    <row r="9350" spans="1:1">
      <c r="A9350" s="1" t="s">
        <v>4527</v>
      </c>
    </row>
    <row r="9351" spans="1:1">
      <c r="A9351" s="1" t="s">
        <v>4530</v>
      </c>
    </row>
    <row r="9352" spans="1:1">
      <c r="A9352" s="1" t="s">
        <v>4519</v>
      </c>
    </row>
    <row r="9353" spans="1:1">
      <c r="A9353" s="1" t="s">
        <v>4520</v>
      </c>
    </row>
    <row r="9354" spans="1:1">
      <c r="A9354" s="1" t="s">
        <v>4531</v>
      </c>
    </row>
    <row r="9355" spans="1:1">
      <c r="A9355" s="1" t="s">
        <v>4522</v>
      </c>
    </row>
    <row r="9356" spans="1:1">
      <c r="A9356" s="1" t="s">
        <v>4523</v>
      </c>
    </row>
    <row r="9357" spans="1:1">
      <c r="A9357" s="1" t="s">
        <v>4524</v>
      </c>
    </row>
    <row r="9358" spans="1:1">
      <c r="A9358" s="1" t="s">
        <v>4525</v>
      </c>
    </row>
    <row r="9359" spans="1:1">
      <c r="A9359" s="1" t="s">
        <v>4526</v>
      </c>
    </row>
    <row r="9360" spans="1:1">
      <c r="A9360" s="1" t="s">
        <v>4527</v>
      </c>
    </row>
    <row r="9361" spans="1:1">
      <c r="A9361" s="1" t="s">
        <v>4532</v>
      </c>
    </row>
    <row r="9362" spans="1:1">
      <c r="A9362" s="1" t="s">
        <v>4519</v>
      </c>
    </row>
    <row r="9363" spans="1:1">
      <c r="A9363" s="1" t="s">
        <v>4520</v>
      </c>
    </row>
    <row r="9364" spans="1:1">
      <c r="A9364" s="1" t="s">
        <v>4533</v>
      </c>
    </row>
    <row r="9365" spans="1:1">
      <c r="A9365" s="1" t="s">
        <v>4522</v>
      </c>
    </row>
    <row r="9366" spans="1:1">
      <c r="A9366" s="1" t="s">
        <v>4523</v>
      </c>
    </row>
    <row r="9367" spans="1:1">
      <c r="A9367" s="1" t="s">
        <v>4524</v>
      </c>
    </row>
    <row r="9368" spans="1:1">
      <c r="A9368" s="1" t="s">
        <v>4525</v>
      </c>
    </row>
    <row r="9369" spans="1:1">
      <c r="A9369" s="1" t="s">
        <v>4526</v>
      </c>
    </row>
    <row r="9370" spans="1:1">
      <c r="A9370" s="1" t="s">
        <v>4527</v>
      </c>
    </row>
    <row r="9371" spans="1:1">
      <c r="A9371" s="1" t="s">
        <v>4534</v>
      </c>
    </row>
    <row r="9372" spans="1:1">
      <c r="A9372" s="1" t="s">
        <v>4519</v>
      </c>
    </row>
    <row r="9373" spans="1:1">
      <c r="A9373" s="1" t="s">
        <v>4520</v>
      </c>
    </row>
    <row r="9374" spans="1:1">
      <c r="A9374" s="1" t="s">
        <v>4535</v>
      </c>
    </row>
    <row r="9375" spans="1:1">
      <c r="A9375" s="1" t="s">
        <v>4522</v>
      </c>
    </row>
    <row r="9376" spans="1:1">
      <c r="A9376" s="1" t="s">
        <v>4523</v>
      </c>
    </row>
    <row r="9377" spans="1:1">
      <c r="A9377" s="1" t="s">
        <v>4524</v>
      </c>
    </row>
    <row r="9378" spans="1:1">
      <c r="A9378" s="1" t="s">
        <v>4525</v>
      </c>
    </row>
    <row r="9379" spans="1:1">
      <c r="A9379" s="1" t="s">
        <v>4526</v>
      </c>
    </row>
    <row r="9380" spans="1:1">
      <c r="A9380" s="1" t="s">
        <v>4536</v>
      </c>
    </row>
    <row r="9381" spans="1:1">
      <c r="A9381" s="1" t="s">
        <v>4537</v>
      </c>
    </row>
    <row r="9382" spans="1:1">
      <c r="A9382" s="1" t="s">
        <v>4536</v>
      </c>
    </row>
    <row r="9383" spans="1:1">
      <c r="A9383" s="1" t="s">
        <v>4538</v>
      </c>
    </row>
    <row r="9384" spans="1:1">
      <c r="A9384" s="1" t="s">
        <v>4539</v>
      </c>
    </row>
    <row r="9385" spans="1:1">
      <c r="A9385" s="1" t="s">
        <v>4540</v>
      </c>
    </row>
    <row r="9386" spans="1:1">
      <c r="A9386" s="1" t="s">
        <v>4541</v>
      </c>
    </row>
    <row r="9387" spans="1:1">
      <c r="A9387" s="1" t="s">
        <v>4542</v>
      </c>
    </row>
    <row r="9388" spans="1:1">
      <c r="A9388" s="1" t="s">
        <v>4543</v>
      </c>
    </row>
    <row r="9389" spans="1:1">
      <c r="A9389" s="1" t="s">
        <v>4544</v>
      </c>
    </row>
    <row r="9390" spans="1:1">
      <c r="A9390" s="1" t="s">
        <v>4545</v>
      </c>
    </row>
    <row r="9391" spans="1:1">
      <c r="A9391" s="1" t="s">
        <v>4546</v>
      </c>
    </row>
    <row r="9392" spans="1:1">
      <c r="A9392" s="1" t="s">
        <v>4547</v>
      </c>
    </row>
    <row r="9393" spans="1:1">
      <c r="A9393" s="1" t="s">
        <v>4548</v>
      </c>
    </row>
    <row r="9394" spans="1:1">
      <c r="A9394" s="1" t="s">
        <v>4539</v>
      </c>
    </row>
    <row r="9395" spans="1:1">
      <c r="A9395" s="1" t="s">
        <v>4540</v>
      </c>
    </row>
    <row r="9396" spans="1:1">
      <c r="A9396" s="1" t="s">
        <v>4549</v>
      </c>
    </row>
    <row r="9397" spans="1:1">
      <c r="A9397" s="1" t="s">
        <v>4542</v>
      </c>
    </row>
    <row r="9398" spans="1:1">
      <c r="A9398" s="1" t="s">
        <v>4543</v>
      </c>
    </row>
    <row r="9399" spans="1:1">
      <c r="A9399" s="1" t="s">
        <v>4544</v>
      </c>
    </row>
    <row r="9400" spans="1:1">
      <c r="A9400" s="1" t="s">
        <v>4545</v>
      </c>
    </row>
    <row r="9401" spans="1:1">
      <c r="A9401" s="1" t="s">
        <v>4546</v>
      </c>
    </row>
    <row r="9402" spans="1:1">
      <c r="A9402" s="1" t="s">
        <v>4547</v>
      </c>
    </row>
    <row r="9403" spans="1:1">
      <c r="A9403" s="1" t="s">
        <v>4550</v>
      </c>
    </row>
    <row r="9404" spans="1:1">
      <c r="A9404" s="1" t="s">
        <v>4539</v>
      </c>
    </row>
    <row r="9405" spans="1:1">
      <c r="A9405" s="1" t="s">
        <v>4540</v>
      </c>
    </row>
    <row r="9406" spans="1:1">
      <c r="A9406" s="1" t="s">
        <v>4551</v>
      </c>
    </row>
    <row r="9407" spans="1:1">
      <c r="A9407" s="1" t="s">
        <v>4542</v>
      </c>
    </row>
    <row r="9408" spans="1:1">
      <c r="A9408" s="1" t="s">
        <v>4543</v>
      </c>
    </row>
    <row r="9409" spans="1:1">
      <c r="A9409" s="1" t="s">
        <v>4544</v>
      </c>
    </row>
    <row r="9410" spans="1:1">
      <c r="A9410" s="1" t="s">
        <v>4545</v>
      </c>
    </row>
    <row r="9411" spans="1:1">
      <c r="A9411" s="1" t="s">
        <v>4546</v>
      </c>
    </row>
    <row r="9412" spans="1:1">
      <c r="A9412" s="1" t="s">
        <v>4547</v>
      </c>
    </row>
    <row r="9413" spans="1:1">
      <c r="A9413" s="1" t="s">
        <v>4552</v>
      </c>
    </row>
    <row r="9414" spans="1:1">
      <c r="A9414" s="1" t="s">
        <v>4539</v>
      </c>
    </row>
    <row r="9415" spans="1:1">
      <c r="A9415" s="1" t="s">
        <v>4540</v>
      </c>
    </row>
    <row r="9416" spans="1:1">
      <c r="A9416" s="1" t="s">
        <v>4553</v>
      </c>
    </row>
    <row r="9417" spans="1:1">
      <c r="A9417" s="1" t="s">
        <v>4542</v>
      </c>
    </row>
    <row r="9418" spans="1:1">
      <c r="A9418" s="1" t="s">
        <v>4543</v>
      </c>
    </row>
    <row r="9419" spans="1:1">
      <c r="A9419" s="1" t="s">
        <v>4544</v>
      </c>
    </row>
    <row r="9420" spans="1:1">
      <c r="A9420" s="1" t="s">
        <v>4545</v>
      </c>
    </row>
    <row r="9421" spans="1:1">
      <c r="A9421" s="1" t="s">
        <v>4546</v>
      </c>
    </row>
    <row r="9422" spans="1:1">
      <c r="A9422" s="1" t="s">
        <v>4547</v>
      </c>
    </row>
    <row r="9423" spans="1:1">
      <c r="A9423" s="1" t="s">
        <v>4554</v>
      </c>
    </row>
    <row r="9424" spans="1:1">
      <c r="A9424" s="1" t="s">
        <v>4539</v>
      </c>
    </row>
    <row r="9425" spans="1:1">
      <c r="A9425" s="1" t="s">
        <v>4540</v>
      </c>
    </row>
    <row r="9426" spans="1:1">
      <c r="A9426" s="1" t="s">
        <v>4555</v>
      </c>
    </row>
    <row r="9427" spans="1:1">
      <c r="A9427" s="1" t="s">
        <v>4542</v>
      </c>
    </row>
    <row r="9428" spans="1:1">
      <c r="A9428" s="1" t="s">
        <v>4543</v>
      </c>
    </row>
    <row r="9429" spans="1:1">
      <c r="A9429" s="1" t="s">
        <v>4544</v>
      </c>
    </row>
    <row r="9430" spans="1:1">
      <c r="A9430" s="1" t="s">
        <v>4545</v>
      </c>
    </row>
    <row r="9431" spans="1:1">
      <c r="A9431" s="1" t="s">
        <v>4546</v>
      </c>
    </row>
    <row r="9432" spans="1:1">
      <c r="A9432" s="1" t="s">
        <v>4556</v>
      </c>
    </row>
    <row r="9433" spans="1:1">
      <c r="A9433" s="1" t="s">
        <v>4557</v>
      </c>
    </row>
    <row r="9434" spans="1:1">
      <c r="A9434" s="1" t="s">
        <v>4558</v>
      </c>
    </row>
    <row r="9435" spans="1:1">
      <c r="A9435" s="1" t="s">
        <v>4559</v>
      </c>
    </row>
    <row r="9436" spans="1:1">
      <c r="A9436" s="1" t="s">
        <v>4560</v>
      </c>
    </row>
    <row r="9437" spans="1:1">
      <c r="A9437" s="1" t="s">
        <v>4561</v>
      </c>
    </row>
    <row r="9438" spans="1:1">
      <c r="A9438" s="1" t="s">
        <v>4562</v>
      </c>
    </row>
    <row r="9439" spans="1:1">
      <c r="A9439" s="1" t="s">
        <v>4563</v>
      </c>
    </row>
    <row r="9440" spans="1:1">
      <c r="A9440" s="1" t="s">
        <v>4564</v>
      </c>
    </row>
    <row r="9441" spans="1:1">
      <c r="A9441" s="1" t="s">
        <v>4565</v>
      </c>
    </row>
    <row r="9442" spans="1:1">
      <c r="A9442" s="1" t="s">
        <v>4556</v>
      </c>
    </row>
    <row r="9443" spans="1:1">
      <c r="A9443" s="1" t="s">
        <v>4557</v>
      </c>
    </row>
    <row r="9444" spans="1:1">
      <c r="A9444" s="1" t="s">
        <v>4566</v>
      </c>
    </row>
    <row r="9445" spans="1:1">
      <c r="A9445" s="1" t="s">
        <v>4559</v>
      </c>
    </row>
    <row r="9446" spans="1:1">
      <c r="A9446" s="1" t="s">
        <v>4560</v>
      </c>
    </row>
    <row r="9447" spans="1:1">
      <c r="A9447" s="1" t="s">
        <v>4561</v>
      </c>
    </row>
    <row r="9448" spans="1:1">
      <c r="A9448" s="1" t="s">
        <v>4562</v>
      </c>
    </row>
    <row r="9449" spans="1:1">
      <c r="A9449" s="1" t="s">
        <v>4563</v>
      </c>
    </row>
    <row r="9450" spans="1:1">
      <c r="A9450" s="1" t="s">
        <v>4564</v>
      </c>
    </row>
    <row r="9451" spans="1:1">
      <c r="A9451" s="1" t="s">
        <v>4567</v>
      </c>
    </row>
    <row r="9452" spans="1:1">
      <c r="A9452" s="1" t="s">
        <v>4556</v>
      </c>
    </row>
    <row r="9453" spans="1:1">
      <c r="A9453" s="1" t="s">
        <v>4557</v>
      </c>
    </row>
    <row r="9454" spans="1:1">
      <c r="A9454" s="1" t="s">
        <v>4568</v>
      </c>
    </row>
    <row r="9455" spans="1:1">
      <c r="A9455" s="1" t="s">
        <v>4559</v>
      </c>
    </row>
    <row r="9456" spans="1:1">
      <c r="A9456" s="1" t="s">
        <v>4560</v>
      </c>
    </row>
    <row r="9457" spans="1:1">
      <c r="A9457" s="1" t="s">
        <v>4561</v>
      </c>
    </row>
    <row r="9458" spans="1:1">
      <c r="A9458" s="1" t="s">
        <v>4562</v>
      </c>
    </row>
    <row r="9459" spans="1:1">
      <c r="A9459" s="1" t="s">
        <v>4563</v>
      </c>
    </row>
    <row r="9460" spans="1:1">
      <c r="A9460" s="1" t="s">
        <v>4564</v>
      </c>
    </row>
    <row r="9461" spans="1:1">
      <c r="A9461" s="1" t="s">
        <v>4569</v>
      </c>
    </row>
    <row r="9462" spans="1:1">
      <c r="A9462" s="1" t="s">
        <v>4556</v>
      </c>
    </row>
    <row r="9463" spans="1:1">
      <c r="A9463" s="1" t="s">
        <v>4557</v>
      </c>
    </row>
    <row r="9464" spans="1:1">
      <c r="A9464" s="1" t="s">
        <v>4570</v>
      </c>
    </row>
    <row r="9465" spans="1:1">
      <c r="A9465" s="1" t="s">
        <v>4559</v>
      </c>
    </row>
    <row r="9466" spans="1:1">
      <c r="A9466" s="1" t="s">
        <v>4560</v>
      </c>
    </row>
    <row r="9467" spans="1:1">
      <c r="A9467" s="1" t="s">
        <v>4561</v>
      </c>
    </row>
    <row r="9468" spans="1:1">
      <c r="A9468" s="1" t="s">
        <v>4562</v>
      </c>
    </row>
    <row r="9469" spans="1:1">
      <c r="A9469" s="1" t="s">
        <v>4563</v>
      </c>
    </row>
    <row r="9470" spans="1:1">
      <c r="A9470" s="1" t="s">
        <v>4564</v>
      </c>
    </row>
    <row r="9471" spans="1:1">
      <c r="A9471" s="1" t="s">
        <v>4571</v>
      </c>
    </row>
    <row r="9472" spans="1:1">
      <c r="A9472" s="1" t="s">
        <v>4556</v>
      </c>
    </row>
    <row r="9473" spans="1:1">
      <c r="A9473" s="1" t="s">
        <v>4557</v>
      </c>
    </row>
    <row r="9474" spans="1:1">
      <c r="A9474" s="1" t="s">
        <v>4572</v>
      </c>
    </row>
    <row r="9475" spans="1:1">
      <c r="A9475" s="1" t="s">
        <v>4559</v>
      </c>
    </row>
    <row r="9476" spans="1:1">
      <c r="A9476" s="1" t="s">
        <v>4560</v>
      </c>
    </row>
    <row r="9477" spans="1:1">
      <c r="A9477" s="1" t="s">
        <v>4561</v>
      </c>
    </row>
    <row r="9478" spans="1:1">
      <c r="A9478" s="1" t="s">
        <v>4562</v>
      </c>
    </row>
    <row r="9479" spans="1:1">
      <c r="A9479" s="1" t="s">
        <v>4563</v>
      </c>
    </row>
    <row r="9480" spans="1:1">
      <c r="A9480" s="1" t="s">
        <v>4573</v>
      </c>
    </row>
    <row r="9481" spans="1:1">
      <c r="A9481" s="1" t="s">
        <v>4573</v>
      </c>
    </row>
    <row r="9482" spans="1:1">
      <c r="A9482" s="1" t="s">
        <v>4574</v>
      </c>
    </row>
    <row r="9483" spans="1:1">
      <c r="A9483" s="1" t="s">
        <v>4575</v>
      </c>
    </row>
    <row r="9484" spans="1:1">
      <c r="A9484" s="1" t="s">
        <v>4576</v>
      </c>
    </row>
    <row r="9485" spans="1:1">
      <c r="A9485" s="1" t="s">
        <v>4573</v>
      </c>
    </row>
    <row r="9486" spans="1:1">
      <c r="A9486" s="1" t="s">
        <v>4573</v>
      </c>
    </row>
    <row r="9487" spans="1:1">
      <c r="A9487" s="1" t="s">
        <v>4573</v>
      </c>
    </row>
    <row r="9488" spans="1:1">
      <c r="A9488" s="1" t="s">
        <v>4574</v>
      </c>
    </row>
    <row r="9489" spans="1:1">
      <c r="A9489" s="1" t="s">
        <v>4575</v>
      </c>
    </row>
    <row r="9490" spans="1:1">
      <c r="A9490" s="1" t="s">
        <v>4576</v>
      </c>
    </row>
    <row r="9491" spans="1:1">
      <c r="A9491" s="1" t="s">
        <v>4573</v>
      </c>
    </row>
    <row r="9492" spans="1:1">
      <c r="A9492" s="1" t="s">
        <v>4573</v>
      </c>
    </row>
    <row r="9493" spans="1:1">
      <c r="A9493" s="1" t="s">
        <v>4573</v>
      </c>
    </row>
    <row r="9494" spans="1:1">
      <c r="A9494" s="1" t="s">
        <v>4574</v>
      </c>
    </row>
    <row r="9495" spans="1:1">
      <c r="A9495" s="1" t="s">
        <v>4575</v>
      </c>
    </row>
    <row r="9496" spans="1:1">
      <c r="A9496" s="1" t="s">
        <v>4576</v>
      </c>
    </row>
    <row r="9497" spans="1:1">
      <c r="A9497" s="1" t="s">
        <v>4573</v>
      </c>
    </row>
    <row r="9498" spans="1:1">
      <c r="A9498" s="1" t="s">
        <v>4577</v>
      </c>
    </row>
    <row r="9499" spans="1:1">
      <c r="A9499" s="1" t="s">
        <v>4578</v>
      </c>
    </row>
    <row r="9500" spans="1:1">
      <c r="A9500" s="1" t="s">
        <v>4579</v>
      </c>
    </row>
    <row r="9501" spans="1:1">
      <c r="A9501" s="1" t="s">
        <v>4580</v>
      </c>
    </row>
    <row r="9502" spans="1:1">
      <c r="A9502" s="1" t="s">
        <v>4581</v>
      </c>
    </row>
    <row r="9503" spans="1:1">
      <c r="A9503" s="1" t="s">
        <v>4582</v>
      </c>
    </row>
    <row r="9504" spans="1:1">
      <c r="A9504" s="1" t="s">
        <v>4583</v>
      </c>
    </row>
    <row r="9505" spans="1:1">
      <c r="A9505" s="1" t="s">
        <v>4584</v>
      </c>
    </row>
    <row r="9506" spans="1:1">
      <c r="A9506" s="1" t="s">
        <v>4585</v>
      </c>
    </row>
    <row r="9507" spans="1:1">
      <c r="A9507" s="1" t="s">
        <v>4586</v>
      </c>
    </row>
    <row r="9508" spans="1:1">
      <c r="A9508" s="1" t="s">
        <v>4587</v>
      </c>
    </row>
    <row r="9509" spans="1:1">
      <c r="A9509" s="1" t="s">
        <v>4577</v>
      </c>
    </row>
    <row r="9510" spans="1:1">
      <c r="A9510" s="1" t="s">
        <v>4578</v>
      </c>
    </row>
    <row r="9511" spans="1:1">
      <c r="A9511" s="1" t="s">
        <v>4579</v>
      </c>
    </row>
    <row r="9512" spans="1:1">
      <c r="A9512" s="1" t="s">
        <v>4588</v>
      </c>
    </row>
    <row r="9513" spans="1:1">
      <c r="A9513" s="1" t="s">
        <v>4581</v>
      </c>
    </row>
    <row r="9514" spans="1:1">
      <c r="A9514" s="1" t="s">
        <v>4582</v>
      </c>
    </row>
    <row r="9515" spans="1:1">
      <c r="A9515" s="1" t="s">
        <v>4583</v>
      </c>
    </row>
    <row r="9516" spans="1:1">
      <c r="A9516" s="1" t="s">
        <v>4584</v>
      </c>
    </row>
    <row r="9517" spans="1:1">
      <c r="A9517" s="1" t="s">
        <v>4585</v>
      </c>
    </row>
    <row r="9518" spans="1:1">
      <c r="A9518" s="1" t="s">
        <v>4586</v>
      </c>
    </row>
    <row r="9519" spans="1:1">
      <c r="A9519" s="1" t="s">
        <v>4589</v>
      </c>
    </row>
    <row r="9520" spans="1:1">
      <c r="A9520" s="1" t="s">
        <v>4590</v>
      </c>
    </row>
    <row r="9521" spans="1:1">
      <c r="A9521" s="1" t="s">
        <v>4591</v>
      </c>
    </row>
    <row r="9522" spans="1:1">
      <c r="A9522" s="1" t="s">
        <v>4592</v>
      </c>
    </row>
    <row r="9523" spans="1:1">
      <c r="A9523" s="1" t="s">
        <v>4593</v>
      </c>
    </row>
    <row r="9524" spans="1:1">
      <c r="A9524" s="1" t="s">
        <v>4594</v>
      </c>
    </row>
    <row r="9525" spans="1:1">
      <c r="A9525" s="1" t="s">
        <v>4595</v>
      </c>
    </row>
    <row r="9526" spans="1:1">
      <c r="A9526" s="1" t="s">
        <v>4596</v>
      </c>
    </row>
    <row r="9527" spans="1:1">
      <c r="A9527" s="1" t="s">
        <v>4597</v>
      </c>
    </row>
    <row r="9528" spans="1:1">
      <c r="A9528" s="1" t="s">
        <v>4598</v>
      </c>
    </row>
    <row r="9529" spans="1:1">
      <c r="A9529" s="1" t="s">
        <v>4599</v>
      </c>
    </row>
    <row r="9530" spans="1:1">
      <c r="A9530" s="1" t="s">
        <v>4600</v>
      </c>
    </row>
    <row r="9531" spans="1:1">
      <c r="A9531" s="1" t="s">
        <v>4590</v>
      </c>
    </row>
    <row r="9532" spans="1:1">
      <c r="A9532" s="1" t="s">
        <v>4591</v>
      </c>
    </row>
    <row r="9533" spans="1:1">
      <c r="A9533" s="1" t="s">
        <v>4592</v>
      </c>
    </row>
    <row r="9534" spans="1:1">
      <c r="A9534" s="1" t="s">
        <v>4601</v>
      </c>
    </row>
    <row r="9535" spans="1:1">
      <c r="A9535" s="1" t="s">
        <v>4594</v>
      </c>
    </row>
    <row r="9536" spans="1:1">
      <c r="A9536" s="1" t="s">
        <v>4595</v>
      </c>
    </row>
    <row r="9537" spans="1:1">
      <c r="A9537" s="1" t="s">
        <v>4596</v>
      </c>
    </row>
    <row r="9538" spans="1:1">
      <c r="A9538" s="1" t="s">
        <v>4597</v>
      </c>
    </row>
    <row r="9539" spans="1:1">
      <c r="A9539" s="1" t="s">
        <v>4598</v>
      </c>
    </row>
    <row r="9540" spans="1:1">
      <c r="A9540" s="1" t="s">
        <v>4599</v>
      </c>
    </row>
    <row r="9541" spans="1:1">
      <c r="A9541" s="1" t="s">
        <v>4602</v>
      </c>
    </row>
    <row r="9542" spans="1:1">
      <c r="A9542" s="1" t="s">
        <v>4590</v>
      </c>
    </row>
    <row r="9543" spans="1:1">
      <c r="A9543" s="1" t="s">
        <v>4591</v>
      </c>
    </row>
    <row r="9544" spans="1:1">
      <c r="A9544" s="1" t="s">
        <v>4592</v>
      </c>
    </row>
    <row r="9545" spans="1:1">
      <c r="A9545" s="1" t="s">
        <v>4603</v>
      </c>
    </row>
    <row r="9546" spans="1:1">
      <c r="A9546" s="1" t="s">
        <v>4594</v>
      </c>
    </row>
    <row r="9547" spans="1:1">
      <c r="A9547" s="1" t="s">
        <v>4595</v>
      </c>
    </row>
    <row r="9548" spans="1:1">
      <c r="A9548" s="1" t="s">
        <v>4596</v>
      </c>
    </row>
    <row r="9549" spans="1:1">
      <c r="A9549" s="1" t="s">
        <v>4597</v>
      </c>
    </row>
    <row r="9550" spans="1:1">
      <c r="A9550" s="1" t="s">
        <v>4598</v>
      </c>
    </row>
    <row r="9551" spans="1:1">
      <c r="A9551" s="1" t="s">
        <v>4604</v>
      </c>
    </row>
    <row r="9552" spans="1:1">
      <c r="A9552" s="1" t="s">
        <v>4605</v>
      </c>
    </row>
    <row r="9553" spans="1:1">
      <c r="A9553" s="1" t="s">
        <v>4606</v>
      </c>
    </row>
    <row r="9554" spans="1:1">
      <c r="A9554" s="1" t="s">
        <v>4607</v>
      </c>
    </row>
    <row r="9555" spans="1:1">
      <c r="A9555" s="1" t="s">
        <v>4608</v>
      </c>
    </row>
    <row r="9556" spans="1:1">
      <c r="A9556" s="1" t="s">
        <v>4609</v>
      </c>
    </row>
    <row r="9557" spans="1:1">
      <c r="A9557" s="1" t="s">
        <v>4610</v>
      </c>
    </row>
    <row r="9558" spans="1:1">
      <c r="A9558" s="1" t="s">
        <v>4611</v>
      </c>
    </row>
    <row r="9559" spans="1:1">
      <c r="A9559" s="1" t="s">
        <v>4612</v>
      </c>
    </row>
    <row r="9560" spans="1:1">
      <c r="A9560" s="1" t="s">
        <v>4613</v>
      </c>
    </row>
    <row r="9561" spans="1:1">
      <c r="A9561" s="1" t="s">
        <v>4604</v>
      </c>
    </row>
    <row r="9562" spans="1:1">
      <c r="A9562" s="1" t="s">
        <v>4605</v>
      </c>
    </row>
    <row r="9563" spans="1:1">
      <c r="A9563" s="1" t="s">
        <v>4614</v>
      </c>
    </row>
    <row r="9564" spans="1:1">
      <c r="A9564" s="1" t="s">
        <v>4607</v>
      </c>
    </row>
    <row r="9565" spans="1:1">
      <c r="A9565" s="1" t="s">
        <v>4608</v>
      </c>
    </row>
    <row r="9566" spans="1:1">
      <c r="A9566" s="1" t="s">
        <v>4609</v>
      </c>
    </row>
    <row r="9567" spans="1:1">
      <c r="A9567" s="1" t="s">
        <v>4610</v>
      </c>
    </row>
    <row r="9568" spans="1:1">
      <c r="A9568" s="1" t="s">
        <v>4611</v>
      </c>
    </row>
    <row r="9569" spans="1:1">
      <c r="A9569" s="1" t="s">
        <v>4612</v>
      </c>
    </row>
    <row r="9570" spans="1:1">
      <c r="A9570" s="1" t="s">
        <v>4615</v>
      </c>
    </row>
    <row r="9571" spans="1:1">
      <c r="A9571" s="1" t="s">
        <v>4612</v>
      </c>
    </row>
    <row r="9572" spans="1:1">
      <c r="A9572" s="1" t="s">
        <v>4616</v>
      </c>
    </row>
    <row r="9573" spans="1:1">
      <c r="A9573" s="1" t="s">
        <v>4604</v>
      </c>
    </row>
    <row r="9574" spans="1:1">
      <c r="A9574" s="1" t="s">
        <v>4605</v>
      </c>
    </row>
    <row r="9575" spans="1:1">
      <c r="A9575" s="1" t="s">
        <v>4617</v>
      </c>
    </row>
    <row r="9576" spans="1:1">
      <c r="A9576" s="1" t="s">
        <v>4607</v>
      </c>
    </row>
    <row r="9577" spans="1:1">
      <c r="A9577" s="1" t="s">
        <v>4608</v>
      </c>
    </row>
    <row r="9578" spans="1:1">
      <c r="A9578" s="1" t="s">
        <v>4609</v>
      </c>
    </row>
    <row r="9579" spans="1:1">
      <c r="A9579" s="1" t="s">
        <v>4610</v>
      </c>
    </row>
    <row r="9580" spans="1:1">
      <c r="A9580" s="1" t="s">
        <v>4611</v>
      </c>
    </row>
    <row r="9581" spans="1:1">
      <c r="A9581" s="1" t="s">
        <v>4612</v>
      </c>
    </row>
    <row r="9582" spans="1:1">
      <c r="A9582" s="1" t="s">
        <v>4618</v>
      </c>
    </row>
    <row r="9583" spans="1:1">
      <c r="A9583" s="1" t="s">
        <v>4604</v>
      </c>
    </row>
    <row r="9584" spans="1:1">
      <c r="A9584" s="1" t="s">
        <v>4605</v>
      </c>
    </row>
    <row r="9585" spans="1:1">
      <c r="A9585" s="1" t="s">
        <v>4619</v>
      </c>
    </row>
    <row r="9586" spans="1:1">
      <c r="A9586" s="1" t="s">
        <v>4607</v>
      </c>
    </row>
    <row r="9587" spans="1:1">
      <c r="A9587" s="1" t="s">
        <v>4608</v>
      </c>
    </row>
    <row r="9588" spans="1:1">
      <c r="A9588" s="1" t="s">
        <v>4609</v>
      </c>
    </row>
    <row r="9589" spans="1:1">
      <c r="A9589" s="1" t="s">
        <v>4610</v>
      </c>
    </row>
    <row r="9590" spans="1:1">
      <c r="A9590" s="1" t="s">
        <v>4611</v>
      </c>
    </row>
    <row r="9591" spans="1:1">
      <c r="A9591" s="1" t="s">
        <v>4620</v>
      </c>
    </row>
    <row r="9592" spans="1:1">
      <c r="A9592" s="1" t="s">
        <v>4621</v>
      </c>
    </row>
    <row r="9593" spans="1:1">
      <c r="A9593" s="1" t="s">
        <v>4622</v>
      </c>
    </row>
    <row r="9594" spans="1:1">
      <c r="A9594" s="1" t="s">
        <v>4623</v>
      </c>
    </row>
    <row r="9595" spans="1:1">
      <c r="A9595" s="1" t="s">
        <v>4624</v>
      </c>
    </row>
    <row r="9596" spans="1:1">
      <c r="A9596" s="1" t="s">
        <v>4625</v>
      </c>
    </row>
    <row r="9597" spans="1:1">
      <c r="A9597" s="1" t="s">
        <v>4626</v>
      </c>
    </row>
    <row r="9598" spans="1:1">
      <c r="A9598" s="1" t="s">
        <v>4627</v>
      </c>
    </row>
    <row r="9599" spans="1:1">
      <c r="A9599" s="1" t="s">
        <v>4628</v>
      </c>
    </row>
    <row r="9600" spans="1:1">
      <c r="A9600" s="1" t="s">
        <v>4629</v>
      </c>
    </row>
    <row r="9601" spans="1:1">
      <c r="A9601" s="1" t="s">
        <v>4630</v>
      </c>
    </row>
    <row r="9602" spans="1:1">
      <c r="A9602" s="1" t="s">
        <v>4631</v>
      </c>
    </row>
    <row r="9603" spans="1:1">
      <c r="A9603" s="1" t="s">
        <v>4632</v>
      </c>
    </row>
    <row r="9604" spans="1:1">
      <c r="A9604" s="1" t="s">
        <v>4633</v>
      </c>
    </row>
    <row r="9605" spans="1:1">
      <c r="A9605" s="1" t="s">
        <v>4634</v>
      </c>
    </row>
    <row r="9606" spans="1:1">
      <c r="A9606" s="1" t="s">
        <v>4635</v>
      </c>
    </row>
    <row r="9607" spans="1:1">
      <c r="A9607" s="1" t="s">
        <v>4636</v>
      </c>
    </row>
    <row r="9608" spans="1:1">
      <c r="A9608" s="1" t="s">
        <v>4637</v>
      </c>
    </row>
    <row r="9609" spans="1:1">
      <c r="A9609" s="1" t="s">
        <v>4638</v>
      </c>
    </row>
    <row r="9610" spans="1:1">
      <c r="A9610" s="1" t="s">
        <v>4639</v>
      </c>
    </row>
    <row r="9611" spans="1:1">
      <c r="A9611" s="1" t="s">
        <v>4640</v>
      </c>
    </row>
    <row r="9612" spans="1:1">
      <c r="A9612" s="1" t="s">
        <v>4641</v>
      </c>
    </row>
    <row r="9613" spans="1:1">
      <c r="A9613" s="1" t="s">
        <v>4642</v>
      </c>
    </row>
    <row r="9614" spans="1:1">
      <c r="A9614" s="1" t="s">
        <v>4643</v>
      </c>
    </row>
    <row r="9615" spans="1:1">
      <c r="A9615" s="1" t="s">
        <v>4644</v>
      </c>
    </row>
    <row r="9616" spans="1:1">
      <c r="A9616" s="1" t="s">
        <v>4645</v>
      </c>
    </row>
    <row r="9617" spans="1:1">
      <c r="A9617" s="1" t="s">
        <v>4646</v>
      </c>
    </row>
    <row r="9618" spans="1:1">
      <c r="A9618" s="1" t="s">
        <v>4647</v>
      </c>
    </row>
    <row r="9619" spans="1:1">
      <c r="A9619" s="1" t="s">
        <v>4648</v>
      </c>
    </row>
    <row r="9620" spans="1:1">
      <c r="A9620" s="1" t="s">
        <v>4649</v>
      </c>
    </row>
    <row r="9621" spans="1:1">
      <c r="A9621" s="1" t="s">
        <v>4650</v>
      </c>
    </row>
    <row r="9622" spans="1:1">
      <c r="A9622" s="1" t="s">
        <v>4651</v>
      </c>
    </row>
    <row r="9623" spans="1:1">
      <c r="A9623" s="1" t="s">
        <v>4652</v>
      </c>
    </row>
    <row r="9624" spans="1:1">
      <c r="A9624" s="1" t="s">
        <v>4653</v>
      </c>
    </row>
    <row r="9625" spans="1:1">
      <c r="A9625" s="1" t="s">
        <v>4654</v>
      </c>
    </row>
    <row r="9626" spans="1:1">
      <c r="A9626" s="1" t="s">
        <v>4655</v>
      </c>
    </row>
    <row r="9627" spans="1:1">
      <c r="A9627" s="1" t="s">
        <v>4656</v>
      </c>
    </row>
    <row r="9628" spans="1:1">
      <c r="A9628" s="1" t="s">
        <v>4657</v>
      </c>
    </row>
    <row r="9629" spans="1:1">
      <c r="A9629" s="1" t="s">
        <v>4658</v>
      </c>
    </row>
    <row r="9630" spans="1:1">
      <c r="A9630" s="1" t="s">
        <v>4659</v>
      </c>
    </row>
    <row r="9631" spans="1:1">
      <c r="A9631" s="1" t="s">
        <v>4650</v>
      </c>
    </row>
    <row r="9632" spans="1:1">
      <c r="A9632" s="1" t="s">
        <v>4651</v>
      </c>
    </row>
    <row r="9633" spans="1:1">
      <c r="A9633" s="1" t="s">
        <v>4660</v>
      </c>
    </row>
    <row r="9634" spans="1:1">
      <c r="A9634" s="1" t="s">
        <v>4653</v>
      </c>
    </row>
    <row r="9635" spans="1:1">
      <c r="A9635" s="1" t="s">
        <v>4654</v>
      </c>
    </row>
    <row r="9636" spans="1:1">
      <c r="A9636" s="1" t="s">
        <v>4655</v>
      </c>
    </row>
    <row r="9637" spans="1:1">
      <c r="A9637" s="1" t="s">
        <v>4656</v>
      </c>
    </row>
    <row r="9638" spans="1:1">
      <c r="A9638" s="1" t="s">
        <v>4657</v>
      </c>
    </row>
    <row r="9639" spans="1:1">
      <c r="A9639" s="1" t="s">
        <v>4658</v>
      </c>
    </row>
    <row r="9640" spans="1:1">
      <c r="A9640" s="1" t="s">
        <v>4661</v>
      </c>
    </row>
    <row r="9641" spans="1:1">
      <c r="A9641" s="1" t="s">
        <v>4662</v>
      </c>
    </row>
    <row r="9642" spans="1:1">
      <c r="A9642" s="1" t="s">
        <v>4663</v>
      </c>
    </row>
    <row r="9643" spans="1:1">
      <c r="A9643" s="1" t="s">
        <v>4664</v>
      </c>
    </row>
    <row r="9644" spans="1:1">
      <c r="A9644" s="1" t="s">
        <v>4665</v>
      </c>
    </row>
    <row r="9645" spans="1:1">
      <c r="A9645" s="1" t="s">
        <v>4666</v>
      </c>
    </row>
    <row r="9646" spans="1:1">
      <c r="A9646" s="1" t="s">
        <v>4667</v>
      </c>
    </row>
    <row r="9647" spans="1:1">
      <c r="A9647" s="1" t="s">
        <v>4668</v>
      </c>
    </row>
    <row r="9648" spans="1:1">
      <c r="A9648" s="1" t="s">
        <v>4669</v>
      </c>
    </row>
    <row r="9649" spans="1:1">
      <c r="A9649" s="1" t="s">
        <v>4670</v>
      </c>
    </row>
    <row r="9650" spans="1:1">
      <c r="A9650" s="1" t="s">
        <v>4671</v>
      </c>
    </row>
    <row r="9651" spans="1:1">
      <c r="A9651" s="1" t="s">
        <v>4662</v>
      </c>
    </row>
    <row r="9652" spans="1:1">
      <c r="A9652" s="1" t="s">
        <v>4663</v>
      </c>
    </row>
    <row r="9653" spans="1:1">
      <c r="A9653" s="1" t="s">
        <v>4672</v>
      </c>
    </row>
    <row r="9654" spans="1:1">
      <c r="A9654" s="1" t="s">
        <v>4665</v>
      </c>
    </row>
    <row r="9655" spans="1:1">
      <c r="A9655" s="1" t="s">
        <v>4666</v>
      </c>
    </row>
    <row r="9656" spans="1:1">
      <c r="A9656" s="1" t="s">
        <v>4667</v>
      </c>
    </row>
    <row r="9657" spans="1:1">
      <c r="A9657" s="1" t="s">
        <v>4668</v>
      </c>
    </row>
    <row r="9658" spans="1:1">
      <c r="A9658" s="1" t="s">
        <v>4669</v>
      </c>
    </row>
    <row r="9659" spans="1:1">
      <c r="A9659" s="1" t="s">
        <v>4670</v>
      </c>
    </row>
    <row r="9660" spans="1:1">
      <c r="A9660" s="1" t="s">
        <v>4673</v>
      </c>
    </row>
    <row r="9661" spans="1:1">
      <c r="A9661" s="1" t="s">
        <v>4662</v>
      </c>
    </row>
    <row r="9662" spans="1:1">
      <c r="A9662" s="1" t="s">
        <v>4663</v>
      </c>
    </row>
    <row r="9663" spans="1:1">
      <c r="A9663" s="1" t="s">
        <v>4674</v>
      </c>
    </row>
    <row r="9664" spans="1:1">
      <c r="A9664" s="1" t="s">
        <v>4665</v>
      </c>
    </row>
    <row r="9665" spans="1:1">
      <c r="A9665" s="1" t="s">
        <v>4666</v>
      </c>
    </row>
    <row r="9666" spans="1:1">
      <c r="A9666" s="1" t="s">
        <v>4667</v>
      </c>
    </row>
    <row r="9667" spans="1:1">
      <c r="A9667" s="1" t="s">
        <v>4668</v>
      </c>
    </row>
    <row r="9668" spans="1:1">
      <c r="A9668" s="1" t="s">
        <v>4669</v>
      </c>
    </row>
    <row r="9669" spans="1:1">
      <c r="A9669" s="1" t="s">
        <v>4675</v>
      </c>
    </row>
    <row r="9670" spans="1:1">
      <c r="A9670" s="1" t="s">
        <v>4675</v>
      </c>
    </row>
    <row r="9671" spans="1:1">
      <c r="A9671" s="1" t="s">
        <v>4676</v>
      </c>
    </row>
    <row r="9672" spans="1:1">
      <c r="A9672" s="1" t="s">
        <v>4677</v>
      </c>
    </row>
    <row r="9673" spans="1:1">
      <c r="A9673" s="1" t="s">
        <v>4678</v>
      </c>
    </row>
    <row r="9674" spans="1:1">
      <c r="A9674" s="1" t="s">
        <v>4675</v>
      </c>
    </row>
    <row r="9675" spans="1:1">
      <c r="A9675" s="1" t="s">
        <v>4675</v>
      </c>
    </row>
    <row r="9676" spans="1:1">
      <c r="A9676" s="1" t="s">
        <v>4675</v>
      </c>
    </row>
    <row r="9677" spans="1:1">
      <c r="A9677" s="1" t="s">
        <v>4676</v>
      </c>
    </row>
    <row r="9678" spans="1:1">
      <c r="A9678" s="1" t="s">
        <v>4677</v>
      </c>
    </row>
    <row r="9679" spans="1:1">
      <c r="A9679" s="1" t="s">
        <v>4678</v>
      </c>
    </row>
    <row r="9680" spans="1:1">
      <c r="A9680" s="1" t="s">
        <v>4675</v>
      </c>
    </row>
    <row r="9681" spans="1:1">
      <c r="A9681" s="1" t="s">
        <v>4675</v>
      </c>
    </row>
    <row r="9682" spans="1:1">
      <c r="A9682" s="1" t="s">
        <v>4675</v>
      </c>
    </row>
    <row r="9683" spans="1:1">
      <c r="A9683" s="1" t="s">
        <v>4676</v>
      </c>
    </row>
    <row r="9684" spans="1:1">
      <c r="A9684" s="1" t="s">
        <v>4677</v>
      </c>
    </row>
    <row r="9685" spans="1:1">
      <c r="A9685" s="1" t="s">
        <v>4678</v>
      </c>
    </row>
    <row r="9686" spans="1:1">
      <c r="A9686" s="1" t="s">
        <v>4675</v>
      </c>
    </row>
    <row r="9687" spans="1:1">
      <c r="A9687" s="1" t="s">
        <v>4679</v>
      </c>
    </row>
    <row r="9688" spans="1:1">
      <c r="A9688" s="1" t="s">
        <v>4680</v>
      </c>
    </row>
    <row r="9689" spans="1:1">
      <c r="A9689" s="1" t="s">
        <v>4681</v>
      </c>
    </row>
    <row r="9690" spans="1:1">
      <c r="A9690" s="1" t="s">
        <v>4682</v>
      </c>
    </row>
    <row r="9691" spans="1:1">
      <c r="A9691" s="1" t="s">
        <v>4683</v>
      </c>
    </row>
    <row r="9692" spans="1:1">
      <c r="A9692" s="1" t="s">
        <v>4684</v>
      </c>
    </row>
    <row r="9693" spans="1:1">
      <c r="A9693" s="1" t="s">
        <v>4685</v>
      </c>
    </row>
    <row r="9694" spans="1:1">
      <c r="A9694" s="1" t="s">
        <v>4686</v>
      </c>
    </row>
    <row r="9695" spans="1:1">
      <c r="A9695" s="1" t="s">
        <v>4687</v>
      </c>
    </row>
    <row r="9696" spans="1:1">
      <c r="A9696" s="1" t="s">
        <v>4688</v>
      </c>
    </row>
    <row r="9697" spans="1:1">
      <c r="A9697" s="1" t="s">
        <v>4689</v>
      </c>
    </row>
    <row r="9698" spans="1:1">
      <c r="A9698" s="1" t="s">
        <v>4679</v>
      </c>
    </row>
    <row r="9699" spans="1:1">
      <c r="A9699" s="1" t="s">
        <v>4680</v>
      </c>
    </row>
    <row r="9700" spans="1:1">
      <c r="A9700" s="1" t="s">
        <v>4681</v>
      </c>
    </row>
    <row r="9701" spans="1:1">
      <c r="A9701" s="1" t="s">
        <v>4690</v>
      </c>
    </row>
    <row r="9702" spans="1:1">
      <c r="A9702" s="1" t="s">
        <v>4683</v>
      </c>
    </row>
    <row r="9703" spans="1:1">
      <c r="A9703" s="1" t="s">
        <v>4684</v>
      </c>
    </row>
    <row r="9704" spans="1:1">
      <c r="A9704" s="1" t="s">
        <v>4685</v>
      </c>
    </row>
    <row r="9705" spans="1:1">
      <c r="A9705" s="1" t="s">
        <v>4686</v>
      </c>
    </row>
    <row r="9706" spans="1:1">
      <c r="A9706" s="1" t="s">
        <v>4687</v>
      </c>
    </row>
    <row r="9707" spans="1:1">
      <c r="A9707" s="1" t="s">
        <v>4688</v>
      </c>
    </row>
    <row r="9708" spans="1:1">
      <c r="A9708" s="1" t="s">
        <v>4691</v>
      </c>
    </row>
    <row r="9709" spans="1:1">
      <c r="A9709" s="1" t="s">
        <v>4692</v>
      </c>
    </row>
    <row r="9710" spans="1:1">
      <c r="A9710" s="1" t="s">
        <v>4693</v>
      </c>
    </row>
    <row r="9711" spans="1:1">
      <c r="A9711" s="1" t="s">
        <v>4694</v>
      </c>
    </row>
    <row r="9712" spans="1:1">
      <c r="A9712" s="1" t="s">
        <v>4695</v>
      </c>
    </row>
    <row r="9713" spans="1:1">
      <c r="A9713" s="1" t="s">
        <v>4696</v>
      </c>
    </row>
    <row r="9714" spans="1:1">
      <c r="A9714" s="1" t="s">
        <v>4697</v>
      </c>
    </row>
    <row r="9715" spans="1:1">
      <c r="A9715" s="1" t="s">
        <v>4698</v>
      </c>
    </row>
    <row r="9716" spans="1:1">
      <c r="A9716" s="1" t="s">
        <v>4699</v>
      </c>
    </row>
    <row r="9717" spans="1:1">
      <c r="A9717" s="1" t="s">
        <v>4700</v>
      </c>
    </row>
    <row r="9718" spans="1:1">
      <c r="A9718" s="1" t="s">
        <v>4701</v>
      </c>
    </row>
    <row r="9719" spans="1:1">
      <c r="A9719" s="1" t="s">
        <v>4702</v>
      </c>
    </row>
    <row r="9720" spans="1:1">
      <c r="A9720" s="1" t="s">
        <v>4692</v>
      </c>
    </row>
    <row r="9721" spans="1:1">
      <c r="A9721" s="1" t="s">
        <v>4693</v>
      </c>
    </row>
    <row r="9722" spans="1:1">
      <c r="A9722" s="1" t="s">
        <v>4694</v>
      </c>
    </row>
    <row r="9723" spans="1:1">
      <c r="A9723" s="1" t="s">
        <v>4703</v>
      </c>
    </row>
    <row r="9724" spans="1:1">
      <c r="A9724" s="1" t="s">
        <v>4696</v>
      </c>
    </row>
    <row r="9725" spans="1:1">
      <c r="A9725" s="1" t="s">
        <v>4697</v>
      </c>
    </row>
    <row r="9726" spans="1:1">
      <c r="A9726" s="1" t="s">
        <v>4698</v>
      </c>
    </row>
    <row r="9727" spans="1:1">
      <c r="A9727" s="1" t="s">
        <v>4699</v>
      </c>
    </row>
    <row r="9728" spans="1:1">
      <c r="A9728" s="1" t="s">
        <v>4700</v>
      </c>
    </row>
    <row r="9729" spans="1:1">
      <c r="A9729" s="1" t="s">
        <v>4701</v>
      </c>
    </row>
    <row r="9730" spans="1:1">
      <c r="A9730" s="1" t="s">
        <v>4704</v>
      </c>
    </row>
    <row r="9731" spans="1:1">
      <c r="A9731" s="1" t="s">
        <v>4705</v>
      </c>
    </row>
    <row r="9732" spans="1:1">
      <c r="A9732" s="1" t="s">
        <v>4706</v>
      </c>
    </row>
    <row r="9733" spans="1:1">
      <c r="A9733" s="1" t="s">
        <v>4707</v>
      </c>
    </row>
    <row r="9734" spans="1:1">
      <c r="A9734" s="1" t="s">
        <v>4708</v>
      </c>
    </row>
    <row r="9735" spans="1:1">
      <c r="A9735" s="1" t="s">
        <v>4709</v>
      </c>
    </row>
    <row r="9736" spans="1:1">
      <c r="A9736" s="1" t="s">
        <v>4710</v>
      </c>
    </row>
    <row r="9737" spans="1:1">
      <c r="A9737" s="1" t="s">
        <v>4711</v>
      </c>
    </row>
    <row r="9738" spans="1:1">
      <c r="A9738" s="1" t="s">
        <v>4712</v>
      </c>
    </row>
    <row r="9739" spans="1:1">
      <c r="A9739" s="1" t="s">
        <v>4713</v>
      </c>
    </row>
    <row r="9740" spans="1:1">
      <c r="A9740" s="1" t="s">
        <v>4714</v>
      </c>
    </row>
    <row r="9741" spans="1:1">
      <c r="A9741" s="1" t="s">
        <v>4715</v>
      </c>
    </row>
    <row r="9742" spans="1:1">
      <c r="A9742" s="1" t="s">
        <v>4716</v>
      </c>
    </row>
    <row r="9743" spans="1:1">
      <c r="A9743" s="1" t="s">
        <v>4717</v>
      </c>
    </row>
    <row r="9744" spans="1:1">
      <c r="A9744" s="1" t="s">
        <v>4718</v>
      </c>
    </row>
    <row r="9745" spans="1:1">
      <c r="A9745" s="1" t="s">
        <v>4719</v>
      </c>
    </row>
    <row r="9746" spans="1:1">
      <c r="A9746" s="1" t="s">
        <v>4709</v>
      </c>
    </row>
    <row r="9747" spans="1:1">
      <c r="A9747" s="1" t="s">
        <v>4710</v>
      </c>
    </row>
    <row r="9748" spans="1:1">
      <c r="A9748" s="1" t="s">
        <v>4711</v>
      </c>
    </row>
    <row r="9749" spans="1:1">
      <c r="A9749" s="1" t="s">
        <v>4712</v>
      </c>
    </row>
    <row r="9750" spans="1:1">
      <c r="A9750" s="1" t="s">
        <v>4713</v>
      </c>
    </row>
    <row r="9751" spans="1:1">
      <c r="A9751" s="1" t="s">
        <v>4714</v>
      </c>
    </row>
    <row r="9752" spans="1:1">
      <c r="A9752" s="1" t="s">
        <v>4720</v>
      </c>
    </row>
    <row r="9753" spans="1:1">
      <c r="A9753" s="1" t="s">
        <v>4716</v>
      </c>
    </row>
    <row r="9754" spans="1:1">
      <c r="A9754" s="1" t="s">
        <v>4717</v>
      </c>
    </row>
    <row r="9755" spans="1:1">
      <c r="A9755" s="1" t="s">
        <v>4718</v>
      </c>
    </row>
    <row r="9756" spans="1:1">
      <c r="A9756" s="1" t="s">
        <v>4721</v>
      </c>
    </row>
    <row r="9757" spans="1:1">
      <c r="A9757" s="1" t="s">
        <v>4709</v>
      </c>
    </row>
    <row r="9758" spans="1:1">
      <c r="A9758" s="1" t="s">
        <v>4710</v>
      </c>
    </row>
    <row r="9759" spans="1:1">
      <c r="A9759" s="1" t="s">
        <v>4711</v>
      </c>
    </row>
    <row r="9760" spans="1:1">
      <c r="A9760" s="1" t="s">
        <v>4712</v>
      </c>
    </row>
    <row r="9761" spans="1:1">
      <c r="A9761" s="1" t="s">
        <v>4713</v>
      </c>
    </row>
    <row r="9762" spans="1:1">
      <c r="A9762" s="1" t="s">
        <v>4714</v>
      </c>
    </row>
    <row r="9763" spans="1:1">
      <c r="A9763" s="1" t="s">
        <v>4722</v>
      </c>
    </row>
    <row r="9764" spans="1:1">
      <c r="A9764" s="1" t="s">
        <v>4716</v>
      </c>
    </row>
    <row r="9765" spans="1:1">
      <c r="A9765" s="1" t="s">
        <v>4717</v>
      </c>
    </row>
    <row r="9766" spans="1:1">
      <c r="A9766" s="1" t="s">
        <v>4718</v>
      </c>
    </row>
    <row r="9767" spans="1:1">
      <c r="A9767" s="1" t="s">
        <v>4723</v>
      </c>
    </row>
    <row r="9768" spans="1:1">
      <c r="A9768" s="1" t="s">
        <v>4709</v>
      </c>
    </row>
    <row r="9769" spans="1:1">
      <c r="A9769" s="1" t="s">
        <v>4710</v>
      </c>
    </row>
    <row r="9770" spans="1:1">
      <c r="A9770" s="1" t="s">
        <v>4711</v>
      </c>
    </row>
    <row r="9771" spans="1:1">
      <c r="A9771" s="1" t="s">
        <v>4712</v>
      </c>
    </row>
    <row r="9772" spans="1:1">
      <c r="A9772" s="1" t="s">
        <v>4713</v>
      </c>
    </row>
    <row r="9773" spans="1:1">
      <c r="A9773" s="1" t="s">
        <v>4714</v>
      </c>
    </row>
    <row r="9774" spans="1:1">
      <c r="A9774" s="1" t="s">
        <v>4724</v>
      </c>
    </row>
    <row r="9775" spans="1:1">
      <c r="A9775" s="1" t="s">
        <v>4716</v>
      </c>
    </row>
    <row r="9776" spans="1:1">
      <c r="A9776" s="1" t="s">
        <v>4716</v>
      </c>
    </row>
    <row r="9777" spans="1:1">
      <c r="A9777" s="1" t="s">
        <v>4725</v>
      </c>
    </row>
    <row r="9778" spans="1:1">
      <c r="A9778" s="1" t="s">
        <v>4726</v>
      </c>
    </row>
    <row r="9779" spans="1:1">
      <c r="A9779" s="1" t="s">
        <v>4727</v>
      </c>
    </row>
    <row r="9780" spans="1:1">
      <c r="A9780" s="1" t="s">
        <v>4716</v>
      </c>
    </row>
    <row r="9781" spans="1:1">
      <c r="A9781" s="1" t="s">
        <v>4716</v>
      </c>
    </row>
    <row r="9782" spans="1:1">
      <c r="A9782" s="1" t="s">
        <v>4716</v>
      </c>
    </row>
    <row r="9783" spans="1:1">
      <c r="A9783" s="1" t="s">
        <v>4725</v>
      </c>
    </row>
    <row r="9784" spans="1:1">
      <c r="A9784" s="1" t="s">
        <v>4726</v>
      </c>
    </row>
    <row r="9785" spans="1:1">
      <c r="A9785" s="1" t="s">
        <v>4727</v>
      </c>
    </row>
    <row r="9786" spans="1:1">
      <c r="A9786" s="1" t="s">
        <v>4716</v>
      </c>
    </row>
    <row r="9787" spans="1:1">
      <c r="A9787" s="1" t="s">
        <v>4716</v>
      </c>
    </row>
    <row r="9788" spans="1:1">
      <c r="A9788" s="1" t="s">
        <v>4716</v>
      </c>
    </row>
    <row r="9789" spans="1:1">
      <c r="A9789" s="1" t="s">
        <v>4725</v>
      </c>
    </row>
    <row r="9790" spans="1:1">
      <c r="A9790" s="1" t="s">
        <v>4726</v>
      </c>
    </row>
    <row r="9791" spans="1:1">
      <c r="A9791" s="1" t="s">
        <v>4727</v>
      </c>
    </row>
    <row r="9792" spans="1:1">
      <c r="A9792" s="1" t="s">
        <v>4716</v>
      </c>
    </row>
    <row r="9793" spans="1:1">
      <c r="A9793" s="1" t="s">
        <v>4728</v>
      </c>
    </row>
    <row r="9794" spans="1:1">
      <c r="A9794" s="1" t="s">
        <v>4729</v>
      </c>
    </row>
    <row r="9795" spans="1:1">
      <c r="A9795" s="1" t="s">
        <v>4730</v>
      </c>
    </row>
    <row r="9796" spans="1:1">
      <c r="A9796" s="1" t="s">
        <v>4731</v>
      </c>
    </row>
    <row r="9797" spans="1:1">
      <c r="A9797" s="1" t="s">
        <v>4732</v>
      </c>
    </row>
    <row r="9798" spans="1:1">
      <c r="A9798" s="1" t="s">
        <v>4733</v>
      </c>
    </row>
    <row r="9799" spans="1:1">
      <c r="A9799" s="1" t="s">
        <v>4734</v>
      </c>
    </row>
    <row r="9800" spans="1:1">
      <c r="A9800" s="1" t="s">
        <v>4735</v>
      </c>
    </row>
    <row r="9801" spans="1:1">
      <c r="A9801" s="1" t="s">
        <v>4736</v>
      </c>
    </row>
    <row r="9802" spans="1:1">
      <c r="A9802" s="1" t="s">
        <v>4737</v>
      </c>
    </row>
    <row r="9803" spans="1:1">
      <c r="A9803" s="1" t="s">
        <v>4738</v>
      </c>
    </row>
    <row r="9804" spans="1:1">
      <c r="A9804" s="1" t="s">
        <v>4728</v>
      </c>
    </row>
    <row r="9805" spans="1:1">
      <c r="A9805" s="1" t="s">
        <v>4729</v>
      </c>
    </row>
    <row r="9806" spans="1:1">
      <c r="A9806" s="1" t="s">
        <v>4730</v>
      </c>
    </row>
    <row r="9807" spans="1:1">
      <c r="A9807" s="1" t="s">
        <v>4739</v>
      </c>
    </row>
    <row r="9808" spans="1:1">
      <c r="A9808" s="1" t="s">
        <v>4732</v>
      </c>
    </row>
    <row r="9809" spans="1:1">
      <c r="A9809" s="1" t="s">
        <v>4733</v>
      </c>
    </row>
    <row r="9810" spans="1:1">
      <c r="A9810" s="1" t="s">
        <v>4734</v>
      </c>
    </row>
    <row r="9811" spans="1:1">
      <c r="A9811" s="1" t="s">
        <v>4735</v>
      </c>
    </row>
    <row r="9812" spans="1:1">
      <c r="A9812" s="1" t="s">
        <v>4736</v>
      </c>
    </row>
    <row r="9813" spans="1:1">
      <c r="A9813" s="1" t="s">
        <v>4737</v>
      </c>
    </row>
    <row r="9814" spans="1:1">
      <c r="A9814" s="1" t="s">
        <v>4740</v>
      </c>
    </row>
    <row r="9815" spans="1:1">
      <c r="A9815" s="1" t="s">
        <v>4728</v>
      </c>
    </row>
    <row r="9816" spans="1:1">
      <c r="A9816" s="1" t="s">
        <v>4729</v>
      </c>
    </row>
    <row r="9817" spans="1:1">
      <c r="A9817" s="1" t="s">
        <v>4730</v>
      </c>
    </row>
    <row r="9818" spans="1:1">
      <c r="A9818" s="1" t="s">
        <v>4741</v>
      </c>
    </row>
    <row r="9819" spans="1:1">
      <c r="A9819" s="1" t="s">
        <v>4732</v>
      </c>
    </row>
    <row r="9820" spans="1:1">
      <c r="A9820" s="1" t="s">
        <v>4733</v>
      </c>
    </row>
    <row r="9821" spans="1:1">
      <c r="A9821" s="1" t="s">
        <v>4734</v>
      </c>
    </row>
    <row r="9822" spans="1:1">
      <c r="A9822" s="1" t="s">
        <v>4735</v>
      </c>
    </row>
    <row r="9823" spans="1:1">
      <c r="A9823" s="1" t="s">
        <v>4736</v>
      </c>
    </row>
    <row r="9824" spans="1:1">
      <c r="A9824" s="1" t="s">
        <v>4737</v>
      </c>
    </row>
    <row r="9825" spans="1:1">
      <c r="A9825" s="1" t="s">
        <v>4742</v>
      </c>
    </row>
    <row r="9826" spans="1:1">
      <c r="A9826" s="1" t="s">
        <v>4728</v>
      </c>
    </row>
    <row r="9827" spans="1:1">
      <c r="A9827" s="1" t="s">
        <v>4729</v>
      </c>
    </row>
    <row r="9828" spans="1:1">
      <c r="A9828" s="1" t="s">
        <v>4730</v>
      </c>
    </row>
    <row r="9829" spans="1:1">
      <c r="A9829" s="1" t="s">
        <v>4743</v>
      </c>
    </row>
    <row r="9830" spans="1:1">
      <c r="A9830" s="1" t="s">
        <v>4732</v>
      </c>
    </row>
    <row r="9831" spans="1:1">
      <c r="A9831" s="1" t="s">
        <v>4733</v>
      </c>
    </row>
    <row r="9832" spans="1:1">
      <c r="A9832" s="1" t="s">
        <v>4734</v>
      </c>
    </row>
    <row r="9833" spans="1:1">
      <c r="A9833" s="1" t="s">
        <v>4735</v>
      </c>
    </row>
    <row r="9834" spans="1:1">
      <c r="A9834" s="1" t="s">
        <v>4736</v>
      </c>
    </row>
    <row r="9835" spans="1:1">
      <c r="A9835" s="1" t="s">
        <v>4737</v>
      </c>
    </row>
    <row r="9836" spans="1:1">
      <c r="A9836" s="1" t="s">
        <v>4744</v>
      </c>
    </row>
    <row r="9837" spans="1:1">
      <c r="A9837" s="1" t="s">
        <v>4745</v>
      </c>
    </row>
    <row r="9838" spans="1:1">
      <c r="A9838" s="1" t="s">
        <v>4746</v>
      </c>
    </row>
    <row r="9839" spans="1:1">
      <c r="A9839" s="1" t="s">
        <v>4747</v>
      </c>
    </row>
    <row r="9840" spans="1:1">
      <c r="A9840" s="1" t="s">
        <v>4748</v>
      </c>
    </row>
    <row r="9841" spans="1:1">
      <c r="A9841" s="1" t="s">
        <v>4749</v>
      </c>
    </row>
    <row r="9842" spans="1:1">
      <c r="A9842" s="1" t="s">
        <v>4745</v>
      </c>
    </row>
    <row r="9843" spans="1:1">
      <c r="A9843" s="1" t="s">
        <v>4746</v>
      </c>
    </row>
    <row r="9844" spans="1:1">
      <c r="A9844" s="1" t="s">
        <v>4747</v>
      </c>
    </row>
    <row r="9845" spans="1:1">
      <c r="A9845" s="1" t="s">
        <v>4748</v>
      </c>
    </row>
    <row r="9846" spans="1:1">
      <c r="A9846" s="1" t="s">
        <v>4750</v>
      </c>
    </row>
    <row r="9847" spans="1:1">
      <c r="A9847" s="1" t="s">
        <v>4745</v>
      </c>
    </row>
    <row r="9848" spans="1:1">
      <c r="A9848" s="1" t="s">
        <v>4746</v>
      </c>
    </row>
    <row r="9849" spans="1:1">
      <c r="A9849" s="1" t="s">
        <v>4747</v>
      </c>
    </row>
    <row r="9850" spans="1:1">
      <c r="A9850" s="1" t="s">
        <v>4751</v>
      </c>
    </row>
    <row r="9851" spans="1:1">
      <c r="A9851" s="1" t="s">
        <v>4752</v>
      </c>
    </row>
    <row r="9852" spans="1:1">
      <c r="A9852" s="1" t="s">
        <v>4753</v>
      </c>
    </row>
    <row r="9853" spans="1:1">
      <c r="A9853" s="1" t="s">
        <v>4754</v>
      </c>
    </row>
    <row r="9854" spans="1:1">
      <c r="A9854" s="1" t="s">
        <v>4755</v>
      </c>
    </row>
    <row r="9855" spans="1:1">
      <c r="A9855" s="1" t="s">
        <v>4751</v>
      </c>
    </row>
    <row r="9856" spans="1:1">
      <c r="A9856" s="1" t="s">
        <v>4756</v>
      </c>
    </row>
    <row r="9857" spans="1:1">
      <c r="A9857" s="1" t="s">
        <v>4757</v>
      </c>
    </row>
    <row r="9858" spans="1:1">
      <c r="A9858" s="1" t="s">
        <v>4758</v>
      </c>
    </row>
    <row r="9859" spans="1:1">
      <c r="A9859" s="1" t="s">
        <v>4759</v>
      </c>
    </row>
    <row r="9860" spans="1:1">
      <c r="A9860" s="1" t="s">
        <v>4760</v>
      </c>
    </row>
    <row r="9861" spans="1:1">
      <c r="A9861" s="1" t="s">
        <v>4761</v>
      </c>
    </row>
    <row r="9862" spans="1:1">
      <c r="A9862" s="1" t="s">
        <v>4762</v>
      </c>
    </row>
    <row r="9863" spans="1:1">
      <c r="A9863" s="1" t="s">
        <v>4763</v>
      </c>
    </row>
    <row r="9864" spans="1:1">
      <c r="A9864" s="1" t="s">
        <v>4757</v>
      </c>
    </row>
    <row r="9865" spans="1:1">
      <c r="A9865" s="1" t="s">
        <v>4758</v>
      </c>
    </row>
    <row r="9866" spans="1:1">
      <c r="A9866" s="1" t="s">
        <v>4759</v>
      </c>
    </row>
    <row r="9867" spans="1:1">
      <c r="A9867" s="1" t="s">
        <v>4760</v>
      </c>
    </row>
    <row r="9868" spans="1:1">
      <c r="A9868" s="1" t="s">
        <v>4761</v>
      </c>
    </row>
    <row r="9869" spans="1:1">
      <c r="A9869" s="1" t="s">
        <v>4762</v>
      </c>
    </row>
    <row r="9870" spans="1:1">
      <c r="A9870" s="1" t="s">
        <v>4764</v>
      </c>
    </row>
    <row r="9871" spans="1:1">
      <c r="A9871" s="1" t="s">
        <v>4757</v>
      </c>
    </row>
    <row r="9872" spans="1:1">
      <c r="A9872" s="1" t="s">
        <v>4758</v>
      </c>
    </row>
    <row r="9873" spans="1:1">
      <c r="A9873" s="1" t="s">
        <v>4759</v>
      </c>
    </row>
    <row r="9874" spans="1:1">
      <c r="A9874" s="1" t="s">
        <v>4760</v>
      </c>
    </row>
    <row r="9875" spans="1:1">
      <c r="A9875" s="1" t="s">
        <v>4761</v>
      </c>
    </row>
    <row r="9876" spans="1:1">
      <c r="A9876" s="1" t="s">
        <v>4762</v>
      </c>
    </row>
    <row r="9877" spans="1:1">
      <c r="A9877" s="1" t="s">
        <v>4765</v>
      </c>
    </row>
    <row r="9878" spans="1:1">
      <c r="A9878" s="1" t="s">
        <v>4757</v>
      </c>
    </row>
    <row r="9879" spans="1:1">
      <c r="A9879" s="1" t="s">
        <v>4758</v>
      </c>
    </row>
    <row r="9880" spans="1:1">
      <c r="A9880" s="1" t="s">
        <v>4759</v>
      </c>
    </row>
    <row r="9881" spans="1:1">
      <c r="A9881" s="1" t="s">
        <v>4760</v>
      </c>
    </row>
    <row r="9882" spans="1:1">
      <c r="A9882" s="1" t="s">
        <v>4761</v>
      </c>
    </row>
    <row r="9883" spans="1:1">
      <c r="A9883" s="1" t="s">
        <v>4762</v>
      </c>
    </row>
    <row r="9884" spans="1:1">
      <c r="A9884" s="1" t="s">
        <v>4766</v>
      </c>
    </row>
    <row r="9885" spans="1:1">
      <c r="A9885" s="1" t="s">
        <v>4767</v>
      </c>
    </row>
    <row r="9886" spans="1:1">
      <c r="A9886" s="1" t="s">
        <v>4768</v>
      </c>
    </row>
    <row r="9887" spans="1:1">
      <c r="A9887" s="1" t="s">
        <v>4769</v>
      </c>
    </row>
    <row r="9888" spans="1:1">
      <c r="A9888" s="1" t="s">
        <v>4770</v>
      </c>
    </row>
    <row r="9889" spans="1:1">
      <c r="A9889" s="1" t="s">
        <v>4771</v>
      </c>
    </row>
    <row r="9890" spans="1:1">
      <c r="A9890" s="1" t="s">
        <v>4772</v>
      </c>
    </row>
    <row r="9891" spans="1:1">
      <c r="A9891" s="1" t="s">
        <v>4773</v>
      </c>
    </row>
    <row r="9892" spans="1:1">
      <c r="A9892" s="1" t="s">
        <v>4774</v>
      </c>
    </row>
    <row r="9893" spans="1:1">
      <c r="A9893" s="1" t="s">
        <v>4775</v>
      </c>
    </row>
    <row r="9894" spans="1:1">
      <c r="A9894" s="1" t="s">
        <v>4776</v>
      </c>
    </row>
    <row r="9895" spans="1:1">
      <c r="A9895" s="1" t="s">
        <v>4777</v>
      </c>
    </row>
    <row r="9896" spans="1:1">
      <c r="A9896" s="1" t="s">
        <v>4767</v>
      </c>
    </row>
    <row r="9897" spans="1:1">
      <c r="A9897" s="1" t="s">
        <v>4768</v>
      </c>
    </row>
    <row r="9898" spans="1:1">
      <c r="A9898" s="1" t="s">
        <v>4769</v>
      </c>
    </row>
    <row r="9899" spans="1:1">
      <c r="A9899" s="1" t="s">
        <v>4778</v>
      </c>
    </row>
    <row r="9900" spans="1:1">
      <c r="A9900" s="1" t="s">
        <v>4771</v>
      </c>
    </row>
    <row r="9901" spans="1:1">
      <c r="A9901" s="1" t="s">
        <v>4772</v>
      </c>
    </row>
    <row r="9902" spans="1:1">
      <c r="A9902" s="1" t="s">
        <v>4773</v>
      </c>
    </row>
    <row r="9903" spans="1:1">
      <c r="A9903" s="1" t="s">
        <v>4774</v>
      </c>
    </row>
    <row r="9904" spans="1:1">
      <c r="A9904" s="1" t="s">
        <v>4775</v>
      </c>
    </row>
    <row r="9905" spans="1:1">
      <c r="A9905" s="1" t="s">
        <v>4776</v>
      </c>
    </row>
    <row r="9906" spans="1:1">
      <c r="A9906" s="1" t="s">
        <v>4779</v>
      </c>
    </row>
    <row r="9907" spans="1:1">
      <c r="A9907" s="1" t="s">
        <v>4767</v>
      </c>
    </row>
    <row r="9908" spans="1:1">
      <c r="A9908" s="1" t="s">
        <v>4768</v>
      </c>
    </row>
    <row r="9909" spans="1:1">
      <c r="A9909" s="1" t="s">
        <v>4769</v>
      </c>
    </row>
    <row r="9910" spans="1:1">
      <c r="A9910" s="1" t="s">
        <v>4780</v>
      </c>
    </row>
    <row r="9911" spans="1:1">
      <c r="A9911" s="1" t="s">
        <v>4771</v>
      </c>
    </row>
    <row r="9912" spans="1:1">
      <c r="A9912" s="1" t="s">
        <v>4772</v>
      </c>
    </row>
    <row r="9913" spans="1:1">
      <c r="A9913" s="1" t="s">
        <v>4773</v>
      </c>
    </row>
    <row r="9914" spans="1:1">
      <c r="A9914" s="1" t="s">
        <v>4774</v>
      </c>
    </row>
    <row r="9915" spans="1:1">
      <c r="A9915" s="1" t="s">
        <v>4775</v>
      </c>
    </row>
    <row r="9916" spans="1:1">
      <c r="A9916" s="1" t="s">
        <v>4776</v>
      </c>
    </row>
    <row r="9917" spans="1:1">
      <c r="A9917" s="1" t="s">
        <v>4781</v>
      </c>
    </row>
    <row r="9918" spans="1:1">
      <c r="A9918" s="1" t="s">
        <v>4767</v>
      </c>
    </row>
    <row r="9919" spans="1:1">
      <c r="A9919" s="1" t="s">
        <v>4768</v>
      </c>
    </row>
    <row r="9920" spans="1:1">
      <c r="A9920" s="1" t="s">
        <v>4769</v>
      </c>
    </row>
    <row r="9921" spans="1:1">
      <c r="A9921" s="1" t="s">
        <v>4782</v>
      </c>
    </row>
    <row r="9922" spans="1:1">
      <c r="A9922" s="1" t="s">
        <v>4771</v>
      </c>
    </row>
    <row r="9923" spans="1:1">
      <c r="A9923" s="1" t="s">
        <v>4772</v>
      </c>
    </row>
    <row r="9924" spans="1:1">
      <c r="A9924" s="1" t="s">
        <v>4773</v>
      </c>
    </row>
    <row r="9925" spans="1:1">
      <c r="A9925" s="1" t="s">
        <v>4774</v>
      </c>
    </row>
    <row r="9926" spans="1:1">
      <c r="A9926" s="1" t="s">
        <v>4775</v>
      </c>
    </row>
    <row r="9927" spans="1:1">
      <c r="A9927" s="1" t="s">
        <v>4776</v>
      </c>
    </row>
    <row r="9928" spans="1:1">
      <c r="A9928" s="1" t="s">
        <v>4783</v>
      </c>
    </row>
    <row r="9929" spans="1:1">
      <c r="A9929" s="1" t="s">
        <v>4784</v>
      </c>
    </row>
    <row r="9930" spans="1:1">
      <c r="A9930" s="1" t="s">
        <v>4785</v>
      </c>
    </row>
    <row r="9931" spans="1:1">
      <c r="A9931" s="1" t="s">
        <v>4786</v>
      </c>
    </row>
    <row r="9932" spans="1:1">
      <c r="A9932" s="1" t="s">
        <v>4787</v>
      </c>
    </row>
    <row r="9933" spans="1:1">
      <c r="A9933" s="1" t="s">
        <v>4788</v>
      </c>
    </row>
    <row r="9934" spans="1:1">
      <c r="A9934" s="1" t="s">
        <v>4789</v>
      </c>
    </row>
    <row r="9935" spans="1:1">
      <c r="A9935" s="1" t="s">
        <v>4784</v>
      </c>
    </row>
    <row r="9936" spans="1:1">
      <c r="A9936" s="1" t="s">
        <v>4790</v>
      </c>
    </row>
    <row r="9937" spans="1:1">
      <c r="A9937" s="1" t="s">
        <v>4786</v>
      </c>
    </row>
    <row r="9938" spans="1:1">
      <c r="A9938" s="1" t="s">
        <v>4787</v>
      </c>
    </row>
    <row r="9939" spans="1:1">
      <c r="A9939" s="1" t="s">
        <v>4788</v>
      </c>
    </row>
    <row r="9940" spans="1:1">
      <c r="A9940" s="1" t="s">
        <v>4789</v>
      </c>
    </row>
    <row r="9941" spans="1:1">
      <c r="A9941" s="1" t="s">
        <v>4784</v>
      </c>
    </row>
    <row r="9942" spans="1:1">
      <c r="A9942" s="1" t="s">
        <v>4791</v>
      </c>
    </row>
    <row r="9943" spans="1:1">
      <c r="A9943" s="1" t="s">
        <v>4784</v>
      </c>
    </row>
    <row r="9944" spans="1:1">
      <c r="A9944" s="1" t="s">
        <v>4792</v>
      </c>
    </row>
    <row r="9945" spans="1:1">
      <c r="A9945" s="1" t="s">
        <v>4784</v>
      </c>
    </row>
    <row r="9946" spans="1:1">
      <c r="A9946" s="1" t="s">
        <v>4793</v>
      </c>
    </row>
    <row r="9947" spans="1:1">
      <c r="A9947" s="1" t="s">
        <v>4794</v>
      </c>
    </row>
    <row r="9948" spans="1:1">
      <c r="A9948" s="1" t="s">
        <v>4787</v>
      </c>
    </row>
    <row r="9949" spans="1:1">
      <c r="A9949" s="1" t="s">
        <v>4795</v>
      </c>
    </row>
    <row r="9950" spans="1:1">
      <c r="A9950" s="1" t="s">
        <v>4796</v>
      </c>
    </row>
    <row r="9951" spans="1:1">
      <c r="A9951" s="1" t="s">
        <v>4797</v>
      </c>
    </row>
    <row r="9952" spans="1:1">
      <c r="A9952" s="1" t="s">
        <v>4798</v>
      </c>
    </row>
    <row r="9953" spans="1:1">
      <c r="A9953" s="1" t="s">
        <v>4799</v>
      </c>
    </row>
    <row r="9954" spans="1:1">
      <c r="A9954" s="1" t="s">
        <v>4789</v>
      </c>
    </row>
    <row r="9955" spans="1:1">
      <c r="A9955" s="1" t="s">
        <v>4784</v>
      </c>
    </row>
    <row r="9956" spans="1:1">
      <c r="A9956" s="1" t="s">
        <v>4800</v>
      </c>
    </row>
    <row r="9957" spans="1:1">
      <c r="A9957" s="1" t="s">
        <v>4794</v>
      </c>
    </row>
    <row r="9958" spans="1:1">
      <c r="A9958" s="1" t="s">
        <v>4787</v>
      </c>
    </row>
    <row r="9959" spans="1:1">
      <c r="A9959" s="1" t="s">
        <v>4801</v>
      </c>
    </row>
    <row r="9960" spans="1:1">
      <c r="A9960" s="1" t="s">
        <v>4796</v>
      </c>
    </row>
    <row r="9961" spans="1:1">
      <c r="A9961" s="1" t="s">
        <v>4797</v>
      </c>
    </row>
    <row r="9962" spans="1:1">
      <c r="A9962" s="1" t="s">
        <v>4798</v>
      </c>
    </row>
    <row r="9963" spans="1:1">
      <c r="A9963" s="1" t="s">
        <v>4799</v>
      </c>
    </row>
    <row r="9964" spans="1:1">
      <c r="A9964" s="1" t="s">
        <v>4789</v>
      </c>
    </row>
    <row r="9965" spans="1:1">
      <c r="A9965" s="1" t="s">
        <v>4784</v>
      </c>
    </row>
    <row r="9966" spans="1:1">
      <c r="A9966" s="1" t="s">
        <v>4802</v>
      </c>
    </row>
    <row r="9967" spans="1:1">
      <c r="A9967" s="1" t="s">
        <v>4784</v>
      </c>
    </row>
    <row r="9968" spans="1:1">
      <c r="A9968" s="1" t="s">
        <v>4803</v>
      </c>
    </row>
    <row r="9969" spans="1:1">
      <c r="A9969" s="1" t="s">
        <v>4804</v>
      </c>
    </row>
    <row r="9970" spans="1:1">
      <c r="A9970" s="1" t="s">
        <v>4805</v>
      </c>
    </row>
    <row r="9971" spans="1:1">
      <c r="A9971" s="1" t="s">
        <v>4806</v>
      </c>
    </row>
    <row r="9972" spans="1:1">
      <c r="A9972" s="1" t="s">
        <v>4807</v>
      </c>
    </row>
    <row r="9973" spans="1:1">
      <c r="A9973" s="1" t="s">
        <v>4808</v>
      </c>
    </row>
    <row r="9974" spans="1:1">
      <c r="A9974" s="1" t="s">
        <v>4809</v>
      </c>
    </row>
    <row r="9975" spans="1:1">
      <c r="A9975" s="1" t="s">
        <v>4810</v>
      </c>
    </row>
    <row r="9976" spans="1:1">
      <c r="A9976" s="1" t="s">
        <v>4811</v>
      </c>
    </row>
    <row r="9977" spans="1:1">
      <c r="A9977" s="1" t="s">
        <v>4812</v>
      </c>
    </row>
    <row r="9978" spans="1:1">
      <c r="A9978" s="1" t="s">
        <v>4813</v>
      </c>
    </row>
    <row r="9979" spans="1:1">
      <c r="A9979" s="1" t="s">
        <v>4804</v>
      </c>
    </row>
    <row r="9980" spans="1:1">
      <c r="A9980" s="1" t="s">
        <v>4814</v>
      </c>
    </row>
    <row r="9981" spans="1:1">
      <c r="A9981" s="1" t="s">
        <v>4806</v>
      </c>
    </row>
    <row r="9982" spans="1:1">
      <c r="A9982" s="1" t="s">
        <v>4807</v>
      </c>
    </row>
    <row r="9983" spans="1:1">
      <c r="A9983" s="1" t="s">
        <v>4815</v>
      </c>
    </row>
    <row r="9984" spans="1:1">
      <c r="A9984" s="1" t="s">
        <v>4809</v>
      </c>
    </row>
    <row r="9985" spans="1:1">
      <c r="A9985" s="1" t="s">
        <v>4810</v>
      </c>
    </row>
    <row r="9986" spans="1:1">
      <c r="A9986" s="1" t="s">
        <v>4811</v>
      </c>
    </row>
    <row r="9987" spans="1:1">
      <c r="A9987" s="1" t="s">
        <v>4812</v>
      </c>
    </row>
    <row r="9988" spans="1:1">
      <c r="A9988" s="1" t="s">
        <v>4813</v>
      </c>
    </row>
    <row r="9989" spans="1:1">
      <c r="A9989" s="1" t="s">
        <v>4804</v>
      </c>
    </row>
    <row r="9990" spans="1:1">
      <c r="A9990" s="1" t="s">
        <v>4816</v>
      </c>
    </row>
    <row r="9991" spans="1:1">
      <c r="A9991" s="1" t="s">
        <v>4804</v>
      </c>
    </row>
    <row r="9992" spans="1:1">
      <c r="A9992" s="1" t="s">
        <v>4817</v>
      </c>
    </row>
    <row r="9993" spans="1:1">
      <c r="A9993" s="1" t="s">
        <v>4818</v>
      </c>
    </row>
    <row r="9994" spans="1:1">
      <c r="A9994" s="1" t="s">
        <v>4819</v>
      </c>
    </row>
    <row r="9995" spans="1:1">
      <c r="A9995" s="1" t="s">
        <v>4820</v>
      </c>
    </row>
    <row r="9996" spans="1:1">
      <c r="A9996" s="1" t="s">
        <v>4821</v>
      </c>
    </row>
    <row r="9997" spans="1:1">
      <c r="A9997" s="1" t="s">
        <v>4820</v>
      </c>
    </row>
    <row r="9998" spans="1:1">
      <c r="A9998" s="1" t="s">
        <v>4822</v>
      </c>
    </row>
    <row r="9999" spans="1:1">
      <c r="A9999" s="1" t="s">
        <v>4823</v>
      </c>
    </row>
    <row r="10000" spans="1:1">
      <c r="A10000" s="1" t="s">
        <v>4824</v>
      </c>
    </row>
    <row r="10001" spans="1:1">
      <c r="A10001" s="1" t="s">
        <v>4825</v>
      </c>
    </row>
    <row r="10002" spans="1:1">
      <c r="A10002" s="1" t="s">
        <v>4826</v>
      </c>
    </row>
    <row r="10003" spans="1:1">
      <c r="A10003" s="1" t="s">
        <v>4827</v>
      </c>
    </row>
    <row r="10004" spans="1:1">
      <c r="A10004" s="1" t="s">
        <v>4828</v>
      </c>
    </row>
    <row r="10005" spans="1:1">
      <c r="A10005" s="1" t="s">
        <v>4829</v>
      </c>
    </row>
    <row r="10006" spans="1:1">
      <c r="A10006" s="1" t="s">
        <v>4830</v>
      </c>
    </row>
    <row r="10007" spans="1:1">
      <c r="A10007" s="1" t="s">
        <v>4831</v>
      </c>
    </row>
    <row r="10008" spans="1:1">
      <c r="A10008" s="1" t="s">
        <v>4832</v>
      </c>
    </row>
    <row r="10009" spans="1:1">
      <c r="A10009" s="1" t="s">
        <v>4833</v>
      </c>
    </row>
    <row r="10010" spans="1:1">
      <c r="A10010" s="1" t="s">
        <v>4834</v>
      </c>
    </row>
    <row r="10011" spans="1:1">
      <c r="A10011" s="1" t="s">
        <v>4835</v>
      </c>
    </row>
    <row r="10012" spans="1:1">
      <c r="A10012" s="1" t="s">
        <v>4836</v>
      </c>
    </row>
    <row r="10013" spans="1:1">
      <c r="A10013" s="1" t="s">
        <v>4827</v>
      </c>
    </row>
    <row r="10014" spans="1:1">
      <c r="A10014" s="1" t="s">
        <v>4828</v>
      </c>
    </row>
    <row r="10015" spans="1:1">
      <c r="A10015" s="1" t="s">
        <v>4837</v>
      </c>
    </row>
    <row r="10016" spans="1:1">
      <c r="A10016" s="1" t="s">
        <v>4830</v>
      </c>
    </row>
    <row r="10017" spans="1:1">
      <c r="A10017" s="1" t="s">
        <v>4831</v>
      </c>
    </row>
    <row r="10018" spans="1:1">
      <c r="A10018" s="1" t="s">
        <v>4832</v>
      </c>
    </row>
    <row r="10019" spans="1:1">
      <c r="A10019" s="1" t="s">
        <v>4833</v>
      </c>
    </row>
    <row r="10020" spans="1:1">
      <c r="A10020" s="1" t="s">
        <v>4834</v>
      </c>
    </row>
    <row r="10021" spans="1:1">
      <c r="A10021" s="1" t="s">
        <v>4835</v>
      </c>
    </row>
    <row r="10022" spans="1:1">
      <c r="A10022" s="1" t="s">
        <v>4838</v>
      </c>
    </row>
    <row r="10023" spans="1:1">
      <c r="A10023" s="1" t="s">
        <v>4827</v>
      </c>
    </row>
    <row r="10024" spans="1:1">
      <c r="A10024" s="1" t="s">
        <v>4828</v>
      </c>
    </row>
    <row r="10025" spans="1:1">
      <c r="A10025" s="1" t="s">
        <v>4839</v>
      </c>
    </row>
    <row r="10026" spans="1:1">
      <c r="A10026" s="1" t="s">
        <v>4830</v>
      </c>
    </row>
    <row r="10027" spans="1:1">
      <c r="A10027" s="1" t="s">
        <v>4831</v>
      </c>
    </row>
    <row r="10028" spans="1:1">
      <c r="A10028" s="1" t="s">
        <v>4832</v>
      </c>
    </row>
    <row r="10029" spans="1:1">
      <c r="A10029" s="1" t="s">
        <v>4833</v>
      </c>
    </row>
    <row r="10030" spans="1:1">
      <c r="A10030" s="1" t="s">
        <v>4834</v>
      </c>
    </row>
    <row r="10031" spans="1:1">
      <c r="A10031" s="1" t="s">
        <v>4835</v>
      </c>
    </row>
    <row r="10032" spans="1:1">
      <c r="A10032" s="1" t="s">
        <v>4840</v>
      </c>
    </row>
    <row r="10033" spans="1:1">
      <c r="A10033" s="1" t="s">
        <v>4827</v>
      </c>
    </row>
    <row r="10034" spans="1:1">
      <c r="A10034" s="1" t="s">
        <v>4828</v>
      </c>
    </row>
    <row r="10035" spans="1:1">
      <c r="A10035" s="1" t="s">
        <v>4841</v>
      </c>
    </row>
    <row r="10036" spans="1:1">
      <c r="A10036" s="1" t="s">
        <v>4830</v>
      </c>
    </row>
    <row r="10037" spans="1:1">
      <c r="A10037" s="1" t="s">
        <v>4831</v>
      </c>
    </row>
    <row r="10038" spans="1:1">
      <c r="A10038" s="1" t="s">
        <v>4832</v>
      </c>
    </row>
    <row r="10039" spans="1:1">
      <c r="A10039" s="1" t="s">
        <v>4833</v>
      </c>
    </row>
    <row r="10040" spans="1:1">
      <c r="A10040" s="1" t="s">
        <v>4834</v>
      </c>
    </row>
    <row r="10041" spans="1:1">
      <c r="A10041" s="1" t="s">
        <v>4835</v>
      </c>
    </row>
    <row r="10042" spans="1:1">
      <c r="A10042" s="1" t="s">
        <v>4842</v>
      </c>
    </row>
    <row r="10043" spans="1:1">
      <c r="A10043" s="1" t="s">
        <v>4843</v>
      </c>
    </row>
    <row r="10044" spans="1:1">
      <c r="A10044" s="1" t="s">
        <v>4844</v>
      </c>
    </row>
    <row r="10045" spans="1:1">
      <c r="A10045" s="1" t="s">
        <v>4845</v>
      </c>
    </row>
    <row r="10046" spans="1:1">
      <c r="A10046" s="1" t="s">
        <v>4846</v>
      </c>
    </row>
    <row r="10047" spans="1:1">
      <c r="A10047" s="1" t="s">
        <v>4847</v>
      </c>
    </row>
    <row r="10048" spans="1:1">
      <c r="A10048" s="1" t="s">
        <v>4848</v>
      </c>
    </row>
    <row r="10049" spans="1:1">
      <c r="A10049" s="1" t="s">
        <v>4849</v>
      </c>
    </row>
    <row r="10050" spans="1:1">
      <c r="A10050" s="1" t="s">
        <v>4850</v>
      </c>
    </row>
    <row r="10051" spans="1:1">
      <c r="A10051" s="1" t="s">
        <v>4851</v>
      </c>
    </row>
    <row r="10052" spans="1:1">
      <c r="A10052" s="1" t="s">
        <v>4852</v>
      </c>
    </row>
    <row r="10053" spans="1:1">
      <c r="A10053" s="1" t="s">
        <v>4843</v>
      </c>
    </row>
    <row r="10054" spans="1:1">
      <c r="A10054" s="1" t="s">
        <v>4844</v>
      </c>
    </row>
    <row r="10055" spans="1:1">
      <c r="A10055" s="1" t="s">
        <v>4853</v>
      </c>
    </row>
    <row r="10056" spans="1:1">
      <c r="A10056" s="1" t="s">
        <v>4846</v>
      </c>
    </row>
    <row r="10057" spans="1:1">
      <c r="A10057" s="1" t="s">
        <v>4847</v>
      </c>
    </row>
    <row r="10058" spans="1:1">
      <c r="A10058" s="1" t="s">
        <v>4848</v>
      </c>
    </row>
    <row r="10059" spans="1:1">
      <c r="A10059" s="1" t="s">
        <v>4849</v>
      </c>
    </row>
    <row r="10060" spans="1:1">
      <c r="A10060" s="1" t="s">
        <v>4850</v>
      </c>
    </row>
    <row r="10061" spans="1:1">
      <c r="A10061" s="1" t="s">
        <v>4851</v>
      </c>
    </row>
    <row r="10062" spans="1:1">
      <c r="A10062" s="1" t="s">
        <v>4854</v>
      </c>
    </row>
    <row r="10063" spans="1:1">
      <c r="A10063" s="1" t="s">
        <v>4843</v>
      </c>
    </row>
    <row r="10064" spans="1:1">
      <c r="A10064" s="1" t="s">
        <v>4844</v>
      </c>
    </row>
    <row r="10065" spans="1:1">
      <c r="A10065" s="1" t="s">
        <v>4855</v>
      </c>
    </row>
    <row r="10066" spans="1:1">
      <c r="A10066" s="1" t="s">
        <v>4846</v>
      </c>
    </row>
    <row r="10067" spans="1:1">
      <c r="A10067" s="1" t="s">
        <v>4847</v>
      </c>
    </row>
    <row r="10068" spans="1:1">
      <c r="A10068" s="1" t="s">
        <v>4848</v>
      </c>
    </row>
    <row r="10069" spans="1:1">
      <c r="A10069" s="1" t="s">
        <v>4849</v>
      </c>
    </row>
    <row r="10070" spans="1:1">
      <c r="A10070" s="1" t="s">
        <v>4850</v>
      </c>
    </row>
    <row r="10071" spans="1:1">
      <c r="A10071" s="1" t="s">
        <v>4851</v>
      </c>
    </row>
    <row r="10072" spans="1:1">
      <c r="A10072" s="1" t="s">
        <v>4856</v>
      </c>
    </row>
    <row r="10073" spans="1:1">
      <c r="A10073" s="1" t="s">
        <v>4843</v>
      </c>
    </row>
    <row r="10074" spans="1:1">
      <c r="A10074" s="1" t="s">
        <v>4844</v>
      </c>
    </row>
    <row r="10075" spans="1:1">
      <c r="A10075" s="1" t="s">
        <v>4857</v>
      </c>
    </row>
    <row r="10076" spans="1:1">
      <c r="A10076" s="1" t="s">
        <v>4846</v>
      </c>
    </row>
    <row r="10077" spans="1:1">
      <c r="A10077" s="1" t="s">
        <v>4847</v>
      </c>
    </row>
    <row r="10078" spans="1:1">
      <c r="A10078" s="1" t="s">
        <v>4848</v>
      </c>
    </row>
    <row r="10079" spans="1:1">
      <c r="A10079" s="1" t="s">
        <v>4849</v>
      </c>
    </row>
    <row r="10080" spans="1:1">
      <c r="A10080" s="1" t="s">
        <v>4850</v>
      </c>
    </row>
    <row r="10081" spans="1:1">
      <c r="A10081" s="1" t="s">
        <v>4851</v>
      </c>
    </row>
    <row r="10082" spans="1:1">
      <c r="A10082" s="1" t="s">
        <v>4858</v>
      </c>
    </row>
    <row r="10083" spans="1:1">
      <c r="A10083" s="1" t="s">
        <v>4859</v>
      </c>
    </row>
    <row r="10084" spans="1:1">
      <c r="A10084" s="1" t="s">
        <v>4860</v>
      </c>
    </row>
    <row r="10085" spans="1:1">
      <c r="A10085" s="1" t="s">
        <v>4861</v>
      </c>
    </row>
    <row r="10086" spans="1:1">
      <c r="A10086" s="1" t="s">
        <v>4862</v>
      </c>
    </row>
    <row r="10087" spans="1:1">
      <c r="A10087" s="1" t="s">
        <v>4863</v>
      </c>
    </row>
    <row r="10088" spans="1:1">
      <c r="A10088" s="1" t="s">
        <v>4864</v>
      </c>
    </row>
    <row r="10089" spans="1:1">
      <c r="A10089" s="1" t="s">
        <v>4865</v>
      </c>
    </row>
    <row r="10090" spans="1:1">
      <c r="A10090" s="1" t="s">
        <v>4866</v>
      </c>
    </row>
    <row r="10091" spans="1:1">
      <c r="A10091" s="1" t="s">
        <v>4867</v>
      </c>
    </row>
    <row r="10092" spans="1:1">
      <c r="A10092" s="1" t="s">
        <v>4868</v>
      </c>
    </row>
    <row r="10093" spans="1:1">
      <c r="A10093" s="1" t="s">
        <v>4869</v>
      </c>
    </row>
    <row r="10094" spans="1:1">
      <c r="A10094" s="1" t="s">
        <v>4870</v>
      </c>
    </row>
    <row r="10095" spans="1:1">
      <c r="A10095" s="1" t="s">
        <v>4861</v>
      </c>
    </row>
    <row r="10096" spans="1:1">
      <c r="A10096" s="1" t="s">
        <v>4862</v>
      </c>
    </row>
    <row r="10097" spans="1:1">
      <c r="A10097" s="1" t="s">
        <v>4871</v>
      </c>
    </row>
    <row r="10098" spans="1:1">
      <c r="A10098" s="1" t="s">
        <v>4864</v>
      </c>
    </row>
    <row r="10099" spans="1:1">
      <c r="A10099" s="1" t="s">
        <v>4865</v>
      </c>
    </row>
    <row r="10100" spans="1:1">
      <c r="A10100" s="1" t="s">
        <v>4866</v>
      </c>
    </row>
    <row r="10101" spans="1:1">
      <c r="A10101" s="1" t="s">
        <v>4867</v>
      </c>
    </row>
    <row r="10102" spans="1:1">
      <c r="A10102" s="1" t="s">
        <v>4868</v>
      </c>
    </row>
    <row r="10103" spans="1:1">
      <c r="A10103" s="1" t="s">
        <v>4869</v>
      </c>
    </row>
    <row r="10104" spans="1:1">
      <c r="A10104" s="1" t="s">
        <v>4872</v>
      </c>
    </row>
    <row r="10105" spans="1:1">
      <c r="A10105" s="1" t="s">
        <v>4861</v>
      </c>
    </row>
    <row r="10106" spans="1:1">
      <c r="A10106" s="1" t="s">
        <v>4862</v>
      </c>
    </row>
    <row r="10107" spans="1:1">
      <c r="A10107" s="1" t="s">
        <v>4873</v>
      </c>
    </row>
    <row r="10108" spans="1:1">
      <c r="A10108" s="1" t="s">
        <v>4864</v>
      </c>
    </row>
    <row r="10109" spans="1:1">
      <c r="A10109" s="1" t="s">
        <v>4865</v>
      </c>
    </row>
    <row r="10110" spans="1:1">
      <c r="A10110" s="1" t="s">
        <v>4866</v>
      </c>
    </row>
    <row r="10111" spans="1:1">
      <c r="A10111" s="1" t="s">
        <v>4867</v>
      </c>
    </row>
    <row r="10112" spans="1:1">
      <c r="A10112" s="1" t="s">
        <v>4868</v>
      </c>
    </row>
    <row r="10113" spans="1:1">
      <c r="A10113" s="1" t="s">
        <v>4869</v>
      </c>
    </row>
    <row r="10114" spans="1:1">
      <c r="A10114" s="1" t="s">
        <v>4874</v>
      </c>
    </row>
    <row r="10115" spans="1:1">
      <c r="A10115" s="1" t="s">
        <v>4861</v>
      </c>
    </row>
    <row r="10116" spans="1:1">
      <c r="A10116" s="1" t="s">
        <v>4862</v>
      </c>
    </row>
    <row r="10117" spans="1:1">
      <c r="A10117" s="1" t="s">
        <v>4875</v>
      </c>
    </row>
    <row r="10118" spans="1:1">
      <c r="A10118" s="1" t="s">
        <v>4864</v>
      </c>
    </row>
    <row r="10119" spans="1:1">
      <c r="A10119" s="1" t="s">
        <v>4865</v>
      </c>
    </row>
    <row r="10120" spans="1:1">
      <c r="A10120" s="1" t="s">
        <v>4866</v>
      </c>
    </row>
    <row r="10121" spans="1:1">
      <c r="A10121" s="1" t="s">
        <v>4867</v>
      </c>
    </row>
    <row r="10122" spans="1:1">
      <c r="A10122" s="1" t="s">
        <v>4868</v>
      </c>
    </row>
    <row r="10123" spans="1:1">
      <c r="A10123" s="1" t="s">
        <v>4869</v>
      </c>
    </row>
    <row r="10124" spans="1:1">
      <c r="A10124" s="1" t="s">
        <v>4876</v>
      </c>
    </row>
    <row r="10125" spans="1:1">
      <c r="A10125" s="1" t="s">
        <v>4877</v>
      </c>
    </row>
    <row r="10126" spans="1:1">
      <c r="A10126" s="1" t="s">
        <v>4878</v>
      </c>
    </row>
    <row r="10127" spans="1:1">
      <c r="A10127" s="1" t="s">
        <v>4879</v>
      </c>
    </row>
    <row r="10128" spans="1:1">
      <c r="A10128" s="1" t="s">
        <v>4880</v>
      </c>
    </row>
    <row r="10129" spans="1:1">
      <c r="A10129" s="1" t="s">
        <v>4881</v>
      </c>
    </row>
    <row r="10130" spans="1:1">
      <c r="A10130" s="1" t="s">
        <v>4882</v>
      </c>
    </row>
    <row r="10131" spans="1:1">
      <c r="A10131" s="1" t="s">
        <v>4883</v>
      </c>
    </row>
    <row r="10132" spans="1:1">
      <c r="A10132" s="1" t="s">
        <v>4884</v>
      </c>
    </row>
    <row r="10133" spans="1:1">
      <c r="A10133" s="1" t="s">
        <v>4885</v>
      </c>
    </row>
    <row r="10134" spans="1:1">
      <c r="A10134" s="1" t="s">
        <v>4886</v>
      </c>
    </row>
    <row r="10135" spans="1:1">
      <c r="A10135" s="1" t="s">
        <v>4877</v>
      </c>
    </row>
    <row r="10136" spans="1:1">
      <c r="A10136" s="1" t="s">
        <v>4878</v>
      </c>
    </row>
    <row r="10137" spans="1:1">
      <c r="A10137" s="1" t="s">
        <v>4887</v>
      </c>
    </row>
    <row r="10138" spans="1:1">
      <c r="A10138" s="1" t="s">
        <v>4880</v>
      </c>
    </row>
    <row r="10139" spans="1:1">
      <c r="A10139" s="1" t="s">
        <v>4881</v>
      </c>
    </row>
    <row r="10140" spans="1:1">
      <c r="A10140" s="1" t="s">
        <v>4882</v>
      </c>
    </row>
    <row r="10141" spans="1:1">
      <c r="A10141" s="1" t="s">
        <v>4883</v>
      </c>
    </row>
    <row r="10142" spans="1:1">
      <c r="A10142" s="1" t="s">
        <v>4884</v>
      </c>
    </row>
    <row r="10143" spans="1:1">
      <c r="A10143" s="1" t="s">
        <v>4885</v>
      </c>
    </row>
    <row r="10144" spans="1:1">
      <c r="A10144" s="1" t="s">
        <v>4888</v>
      </c>
    </row>
    <row r="10145" spans="1:1">
      <c r="A10145" s="1" t="s">
        <v>4877</v>
      </c>
    </row>
    <row r="10146" spans="1:1">
      <c r="A10146" s="1" t="s">
        <v>4878</v>
      </c>
    </row>
    <row r="10147" spans="1:1">
      <c r="A10147" s="1" t="s">
        <v>4889</v>
      </c>
    </row>
    <row r="10148" spans="1:1">
      <c r="A10148" s="1" t="s">
        <v>4880</v>
      </c>
    </row>
    <row r="10149" spans="1:1">
      <c r="A10149" s="1" t="s">
        <v>4881</v>
      </c>
    </row>
    <row r="10150" spans="1:1">
      <c r="A10150" s="1" t="s">
        <v>4882</v>
      </c>
    </row>
    <row r="10151" spans="1:1">
      <c r="A10151" s="1" t="s">
        <v>4883</v>
      </c>
    </row>
    <row r="10152" spans="1:1">
      <c r="A10152" s="1" t="s">
        <v>4884</v>
      </c>
    </row>
    <row r="10153" spans="1:1">
      <c r="A10153" s="1" t="s">
        <v>4885</v>
      </c>
    </row>
    <row r="10154" spans="1:1">
      <c r="A10154" s="1" t="s">
        <v>4890</v>
      </c>
    </row>
    <row r="10155" spans="1:1">
      <c r="A10155" s="1" t="s">
        <v>4877</v>
      </c>
    </row>
    <row r="10156" spans="1:1">
      <c r="A10156" s="1" t="s">
        <v>4878</v>
      </c>
    </row>
    <row r="10157" spans="1:1">
      <c r="A10157" s="1" t="s">
        <v>4891</v>
      </c>
    </row>
    <row r="10158" spans="1:1">
      <c r="A10158" s="1" t="s">
        <v>4880</v>
      </c>
    </row>
    <row r="10159" spans="1:1">
      <c r="A10159" s="1" t="s">
        <v>4881</v>
      </c>
    </row>
    <row r="10160" spans="1:1">
      <c r="A10160" s="1" t="s">
        <v>4882</v>
      </c>
    </row>
    <row r="10161" spans="1:1">
      <c r="A10161" s="1" t="s">
        <v>4883</v>
      </c>
    </row>
    <row r="10162" spans="1:1">
      <c r="A10162" s="1" t="s">
        <v>4884</v>
      </c>
    </row>
    <row r="10163" spans="1:1">
      <c r="A10163" s="1" t="s">
        <v>4885</v>
      </c>
    </row>
    <row r="10164" spans="1:1">
      <c r="A10164" s="1" t="s">
        <v>4892</v>
      </c>
    </row>
    <row r="10165" spans="1:1">
      <c r="A10165" s="1" t="s">
        <v>4893</v>
      </c>
    </row>
    <row r="10166" spans="1:1">
      <c r="A10166" s="1" t="s">
        <v>4894</v>
      </c>
    </row>
    <row r="10167" spans="1:1">
      <c r="A10167" s="1" t="s">
        <v>4895</v>
      </c>
    </row>
    <row r="10168" spans="1:1">
      <c r="A10168" s="1" t="s">
        <v>4896</v>
      </c>
    </row>
    <row r="10169" spans="1:1">
      <c r="A10169" s="1" t="s">
        <v>4897</v>
      </c>
    </row>
    <row r="10170" spans="1:1">
      <c r="A10170" s="1" t="s">
        <v>4898</v>
      </c>
    </row>
    <row r="10171" spans="1:1">
      <c r="A10171" s="1" t="s">
        <v>4899</v>
      </c>
    </row>
    <row r="10172" spans="1:1">
      <c r="A10172" s="1" t="s">
        <v>4900</v>
      </c>
    </row>
    <row r="10173" spans="1:1">
      <c r="A10173" s="1" t="s">
        <v>4901</v>
      </c>
    </row>
    <row r="10174" spans="1:1">
      <c r="A10174" s="1" t="s">
        <v>4902</v>
      </c>
    </row>
    <row r="10175" spans="1:1">
      <c r="A10175" s="1" t="s">
        <v>4903</v>
      </c>
    </row>
    <row r="10176" spans="1:1">
      <c r="A10176" s="1" t="s">
        <v>4904</v>
      </c>
    </row>
    <row r="10177" spans="1:1">
      <c r="A10177" s="1" t="s">
        <v>4895</v>
      </c>
    </row>
    <row r="10178" spans="1:1">
      <c r="A10178" s="1" t="s">
        <v>4896</v>
      </c>
    </row>
    <row r="10179" spans="1:1">
      <c r="A10179" s="1" t="s">
        <v>4905</v>
      </c>
    </row>
    <row r="10180" spans="1:1">
      <c r="A10180" s="1" t="s">
        <v>4898</v>
      </c>
    </row>
    <row r="10181" spans="1:1">
      <c r="A10181" s="1" t="s">
        <v>4899</v>
      </c>
    </row>
    <row r="10182" spans="1:1">
      <c r="A10182" s="1" t="s">
        <v>4900</v>
      </c>
    </row>
    <row r="10183" spans="1:1">
      <c r="A10183" s="1" t="s">
        <v>4901</v>
      </c>
    </row>
    <row r="10184" spans="1:1">
      <c r="A10184" s="1" t="s">
        <v>4902</v>
      </c>
    </row>
    <row r="10185" spans="1:1">
      <c r="A10185" s="1" t="s">
        <v>4903</v>
      </c>
    </row>
    <row r="10186" spans="1:1">
      <c r="A10186" s="1" t="s">
        <v>4906</v>
      </c>
    </row>
    <row r="10187" spans="1:1">
      <c r="A10187" s="1" t="s">
        <v>4895</v>
      </c>
    </row>
    <row r="10188" spans="1:1">
      <c r="A10188" s="1" t="s">
        <v>4896</v>
      </c>
    </row>
    <row r="10189" spans="1:1">
      <c r="A10189" s="1" t="s">
        <v>4907</v>
      </c>
    </row>
    <row r="10190" spans="1:1">
      <c r="A10190" s="1" t="s">
        <v>4898</v>
      </c>
    </row>
    <row r="10191" spans="1:1">
      <c r="A10191" s="1" t="s">
        <v>4899</v>
      </c>
    </row>
    <row r="10192" spans="1:1">
      <c r="A10192" s="1" t="s">
        <v>4900</v>
      </c>
    </row>
    <row r="10193" spans="1:1">
      <c r="A10193" s="1" t="s">
        <v>4901</v>
      </c>
    </row>
    <row r="10194" spans="1:1">
      <c r="A10194" s="1" t="s">
        <v>4902</v>
      </c>
    </row>
    <row r="10195" spans="1:1">
      <c r="A10195" s="1" t="s">
        <v>4903</v>
      </c>
    </row>
    <row r="10196" spans="1:1">
      <c r="A10196" s="1" t="s">
        <v>4908</v>
      </c>
    </row>
    <row r="10197" spans="1:1">
      <c r="A10197" s="1" t="s">
        <v>4895</v>
      </c>
    </row>
    <row r="10198" spans="1:1">
      <c r="A10198" s="1" t="s">
        <v>4896</v>
      </c>
    </row>
    <row r="10199" spans="1:1">
      <c r="A10199" s="1" t="s">
        <v>4909</v>
      </c>
    </row>
    <row r="10200" spans="1:1">
      <c r="A10200" s="1" t="s">
        <v>4898</v>
      </c>
    </row>
    <row r="10201" spans="1:1">
      <c r="A10201" s="1" t="s">
        <v>4899</v>
      </c>
    </row>
    <row r="10202" spans="1:1">
      <c r="A10202" s="1" t="s">
        <v>4900</v>
      </c>
    </row>
    <row r="10203" spans="1:1">
      <c r="A10203" s="1" t="s">
        <v>4901</v>
      </c>
    </row>
    <row r="10204" spans="1:1">
      <c r="A10204" s="1" t="s">
        <v>4902</v>
      </c>
    </row>
    <row r="10205" spans="1:1">
      <c r="A10205" s="1" t="s">
        <v>4903</v>
      </c>
    </row>
    <row r="10206" spans="1:1">
      <c r="A10206" s="1" t="s">
        <v>4910</v>
      </c>
    </row>
    <row r="10207" spans="1:1">
      <c r="A10207" s="1" t="s">
        <v>4911</v>
      </c>
    </row>
    <row r="10208" spans="1:1">
      <c r="A10208" s="1" t="s">
        <v>4912</v>
      </c>
    </row>
    <row r="10209" spans="1:1">
      <c r="A10209" s="1" t="s">
        <v>4911</v>
      </c>
    </row>
    <row r="10210" spans="1:1">
      <c r="A10210" s="1" t="s">
        <v>4913</v>
      </c>
    </row>
    <row r="10211" spans="1:1">
      <c r="A10211" s="1" t="s">
        <v>4914</v>
      </c>
    </row>
    <row r="10212" spans="1:1">
      <c r="A10212" s="1" t="s">
        <v>4915</v>
      </c>
    </row>
    <row r="10213" spans="1:1">
      <c r="A10213" s="1" t="s">
        <v>4916</v>
      </c>
    </row>
    <row r="10214" spans="1:1">
      <c r="A10214" s="1" t="s">
        <v>4917</v>
      </c>
    </row>
    <row r="10215" spans="1:1">
      <c r="A10215" s="1" t="s">
        <v>4918</v>
      </c>
    </row>
    <row r="10216" spans="1:1">
      <c r="A10216" s="1" t="s">
        <v>4919</v>
      </c>
    </row>
    <row r="10217" spans="1:1">
      <c r="A10217" s="1" t="s">
        <v>4920</v>
      </c>
    </row>
    <row r="10218" spans="1:1">
      <c r="A10218" s="1" t="s">
        <v>4921</v>
      </c>
    </row>
    <row r="10219" spans="1:1">
      <c r="A10219" s="1" t="s">
        <v>4922</v>
      </c>
    </row>
    <row r="10220" spans="1:1">
      <c r="A10220" s="1" t="s">
        <v>4923</v>
      </c>
    </row>
    <row r="10221" spans="1:1">
      <c r="A10221" s="1" t="s">
        <v>4914</v>
      </c>
    </row>
    <row r="10222" spans="1:1">
      <c r="A10222" s="1" t="s">
        <v>4915</v>
      </c>
    </row>
    <row r="10223" spans="1:1">
      <c r="A10223" s="1" t="s">
        <v>4924</v>
      </c>
    </row>
    <row r="10224" spans="1:1">
      <c r="A10224" s="1" t="s">
        <v>4917</v>
      </c>
    </row>
    <row r="10225" spans="1:1">
      <c r="A10225" s="1" t="s">
        <v>4918</v>
      </c>
    </row>
    <row r="10226" spans="1:1">
      <c r="A10226" s="1" t="s">
        <v>4919</v>
      </c>
    </row>
    <row r="10227" spans="1:1">
      <c r="A10227" s="1" t="s">
        <v>4920</v>
      </c>
    </row>
    <row r="10228" spans="1:1">
      <c r="A10228" s="1" t="s">
        <v>4921</v>
      </c>
    </row>
    <row r="10229" spans="1:1">
      <c r="A10229" s="1" t="s">
        <v>4922</v>
      </c>
    </row>
    <row r="10230" spans="1:1">
      <c r="A10230" s="1" t="s">
        <v>4925</v>
      </c>
    </row>
    <row r="10231" spans="1:1">
      <c r="A10231" s="1" t="s">
        <v>4914</v>
      </c>
    </row>
    <row r="10232" spans="1:1">
      <c r="A10232" s="1" t="s">
        <v>4915</v>
      </c>
    </row>
    <row r="10233" spans="1:1">
      <c r="A10233" s="1" t="s">
        <v>4926</v>
      </c>
    </row>
    <row r="10234" spans="1:1">
      <c r="A10234" s="1" t="s">
        <v>4917</v>
      </c>
    </row>
    <row r="10235" spans="1:1">
      <c r="A10235" s="1" t="s">
        <v>4918</v>
      </c>
    </row>
    <row r="10236" spans="1:1">
      <c r="A10236" s="1" t="s">
        <v>4919</v>
      </c>
    </row>
    <row r="10237" spans="1:1">
      <c r="A10237" s="1" t="s">
        <v>4920</v>
      </c>
    </row>
    <row r="10238" spans="1:1">
      <c r="A10238" s="1" t="s">
        <v>4921</v>
      </c>
    </row>
    <row r="10239" spans="1:1">
      <c r="A10239" s="1" t="s">
        <v>4922</v>
      </c>
    </row>
    <row r="10240" spans="1:1">
      <c r="A10240" s="1" t="s">
        <v>4927</v>
      </c>
    </row>
    <row r="10241" spans="1:1">
      <c r="A10241" s="1" t="s">
        <v>4914</v>
      </c>
    </row>
    <row r="10242" spans="1:1">
      <c r="A10242" s="1" t="s">
        <v>4915</v>
      </c>
    </row>
    <row r="10243" spans="1:1">
      <c r="A10243" s="1" t="s">
        <v>4928</v>
      </c>
    </row>
    <row r="10244" spans="1:1">
      <c r="A10244" s="1" t="s">
        <v>4929</v>
      </c>
    </row>
    <row r="10245" spans="1:1">
      <c r="A10245" s="1" t="s">
        <v>4930</v>
      </c>
    </row>
    <row r="10246" spans="1:1">
      <c r="A10246" s="1" t="s">
        <v>4931</v>
      </c>
    </row>
    <row r="10247" spans="1:1">
      <c r="A10247" s="1" t="s">
        <v>4932</v>
      </c>
    </row>
    <row r="10248" spans="1:1">
      <c r="A10248" s="1" t="s">
        <v>4933</v>
      </c>
    </row>
    <row r="10249" spans="1:1">
      <c r="A10249" s="1" t="s">
        <v>4934</v>
      </c>
    </row>
    <row r="10250" spans="1:1">
      <c r="A10250" s="1" t="s">
        <v>4935</v>
      </c>
    </row>
    <row r="10251" spans="1:1">
      <c r="A10251" s="1" t="s">
        <v>4934</v>
      </c>
    </row>
    <row r="10252" spans="1:1">
      <c r="A10252" s="1" t="s">
        <v>4936</v>
      </c>
    </row>
    <row r="10253" spans="1:1">
      <c r="A10253" s="1" t="s">
        <v>4937</v>
      </c>
    </row>
    <row r="10254" spans="1:1">
      <c r="A10254" s="1" t="s">
        <v>4938</v>
      </c>
    </row>
    <row r="10255" spans="1:1">
      <c r="A10255" s="1" t="s">
        <v>4939</v>
      </c>
    </row>
    <row r="10256" spans="1:1">
      <c r="A10256" s="1" t="s">
        <v>4940</v>
      </c>
    </row>
    <row r="10257" spans="1:1">
      <c r="A10257" s="1" t="s">
        <v>4941</v>
      </c>
    </row>
    <row r="10258" spans="1:1">
      <c r="A10258" s="1" t="s">
        <v>4942</v>
      </c>
    </row>
    <row r="10259" spans="1:1">
      <c r="A10259" s="1" t="s">
        <v>4943</v>
      </c>
    </row>
    <row r="10260" spans="1:1">
      <c r="A10260" s="1" t="s">
        <v>4944</v>
      </c>
    </row>
    <row r="10261" spans="1:1">
      <c r="A10261" s="1" t="s">
        <v>4945</v>
      </c>
    </row>
    <row r="10262" spans="1:1">
      <c r="A10262" s="1" t="s">
        <v>4946</v>
      </c>
    </row>
    <row r="10263" spans="1:1">
      <c r="A10263" s="1" t="s">
        <v>4947</v>
      </c>
    </row>
    <row r="10264" spans="1:1">
      <c r="A10264" s="1" t="s">
        <v>4948</v>
      </c>
    </row>
    <row r="10265" spans="1:1">
      <c r="A10265" s="1" t="s">
        <v>4949</v>
      </c>
    </row>
    <row r="10266" spans="1:1">
      <c r="A10266" s="1" t="s">
        <v>4950</v>
      </c>
    </row>
    <row r="10267" spans="1:1">
      <c r="A10267" s="1" t="s">
        <v>4951</v>
      </c>
    </row>
    <row r="10268" spans="1:1">
      <c r="A10268" s="1" t="s">
        <v>4952</v>
      </c>
    </row>
    <row r="10269" spans="1:1">
      <c r="A10269" s="1" t="s">
        <v>4953</v>
      </c>
    </row>
    <row r="10270" spans="1:1">
      <c r="A10270" s="1" t="s">
        <v>4954</v>
      </c>
    </row>
    <row r="10271" spans="1:1">
      <c r="A10271" s="1" t="s">
        <v>4955</v>
      </c>
    </row>
    <row r="10272" spans="1:1">
      <c r="A10272" s="1" t="s">
        <v>4956</v>
      </c>
    </row>
    <row r="10273" spans="1:1">
      <c r="A10273" s="1" t="s">
        <v>4957</v>
      </c>
    </row>
    <row r="10274" spans="1:1">
      <c r="A10274" s="1" t="s">
        <v>4958</v>
      </c>
    </row>
    <row r="10275" spans="1:1">
      <c r="A10275" s="1" t="s">
        <v>4959</v>
      </c>
    </row>
    <row r="10276" spans="1:1">
      <c r="A10276" s="1" t="s">
        <v>4950</v>
      </c>
    </row>
    <row r="10277" spans="1:1">
      <c r="A10277" s="1" t="s">
        <v>4951</v>
      </c>
    </row>
    <row r="10278" spans="1:1">
      <c r="A10278" s="1" t="s">
        <v>4960</v>
      </c>
    </row>
    <row r="10279" spans="1:1">
      <c r="A10279" s="1" t="s">
        <v>4953</v>
      </c>
    </row>
    <row r="10280" spans="1:1">
      <c r="A10280" s="1" t="s">
        <v>4954</v>
      </c>
    </row>
    <row r="10281" spans="1:1">
      <c r="A10281" s="1" t="s">
        <v>4955</v>
      </c>
    </row>
    <row r="10282" spans="1:1">
      <c r="A10282" s="1" t="s">
        <v>4956</v>
      </c>
    </row>
    <row r="10283" spans="1:1">
      <c r="A10283" s="1" t="s">
        <v>4957</v>
      </c>
    </row>
    <row r="10284" spans="1:1">
      <c r="A10284" s="1" t="s">
        <v>4958</v>
      </c>
    </row>
    <row r="10285" spans="1:1">
      <c r="A10285" s="1" t="s">
        <v>4961</v>
      </c>
    </row>
    <row r="10286" spans="1:1">
      <c r="A10286" s="1" t="s">
        <v>4950</v>
      </c>
    </row>
    <row r="10287" spans="1:1">
      <c r="A10287" s="1" t="s">
        <v>4951</v>
      </c>
    </row>
    <row r="10288" spans="1:1">
      <c r="A10288" s="1" t="s">
        <v>4962</v>
      </c>
    </row>
    <row r="10289" spans="1:1">
      <c r="A10289" s="1" t="s">
        <v>4953</v>
      </c>
    </row>
    <row r="10290" spans="1:1">
      <c r="A10290" s="1" t="s">
        <v>4954</v>
      </c>
    </row>
    <row r="10291" spans="1:1">
      <c r="A10291" s="1" t="s">
        <v>4955</v>
      </c>
    </row>
    <row r="10292" spans="1:1">
      <c r="A10292" s="1" t="s">
        <v>4956</v>
      </c>
    </row>
    <row r="10293" spans="1:1">
      <c r="A10293" s="1" t="s">
        <v>4957</v>
      </c>
    </row>
    <row r="10294" spans="1:1">
      <c r="A10294" s="1" t="s">
        <v>4958</v>
      </c>
    </row>
    <row r="10295" spans="1:1">
      <c r="A10295" s="1" t="s">
        <v>4963</v>
      </c>
    </row>
    <row r="10296" spans="1:1">
      <c r="A10296" s="1" t="s">
        <v>4950</v>
      </c>
    </row>
    <row r="10297" spans="1:1">
      <c r="A10297" s="1" t="s">
        <v>4951</v>
      </c>
    </row>
    <row r="10298" spans="1:1">
      <c r="A10298" s="1" t="s">
        <v>4964</v>
      </c>
    </row>
    <row r="10299" spans="1:1">
      <c r="A10299" s="1" t="s">
        <v>4953</v>
      </c>
    </row>
    <row r="10300" spans="1:1">
      <c r="A10300" s="1" t="s">
        <v>4954</v>
      </c>
    </row>
    <row r="10301" spans="1:1">
      <c r="A10301" s="1" t="s">
        <v>4955</v>
      </c>
    </row>
    <row r="10302" spans="1:1">
      <c r="A10302" s="1" t="s">
        <v>4956</v>
      </c>
    </row>
    <row r="10303" spans="1:1">
      <c r="A10303" s="1" t="s">
        <v>4957</v>
      </c>
    </row>
    <row r="10304" spans="1:1">
      <c r="A10304" s="1" t="s">
        <v>4958</v>
      </c>
    </row>
    <row r="10305" spans="1:1">
      <c r="A10305" s="1" t="s">
        <v>4965</v>
      </c>
    </row>
    <row r="10306" spans="1:1">
      <c r="A10306" s="1" t="s">
        <v>4966</v>
      </c>
    </row>
    <row r="10307" spans="1:1">
      <c r="A10307" s="1" t="s">
        <v>4967</v>
      </c>
    </row>
    <row r="10308" spans="1:1">
      <c r="A10308" s="1" t="s">
        <v>4968</v>
      </c>
    </row>
    <row r="10309" spans="1:1">
      <c r="A10309" s="1" t="s">
        <v>4969</v>
      </c>
    </row>
    <row r="10310" spans="1:1">
      <c r="A10310" s="1" t="s">
        <v>4970</v>
      </c>
    </row>
    <row r="10311" spans="1:1">
      <c r="A10311" s="1" t="s">
        <v>4971</v>
      </c>
    </row>
    <row r="10312" spans="1:1">
      <c r="A10312" s="1" t="s">
        <v>4972</v>
      </c>
    </row>
    <row r="10313" spans="1:1">
      <c r="A10313" s="1" t="s">
        <v>4973</v>
      </c>
    </row>
    <row r="10314" spans="1:1">
      <c r="A10314" s="1" t="s">
        <v>4974</v>
      </c>
    </row>
    <row r="10315" spans="1:1">
      <c r="A10315" s="1" t="s">
        <v>4975</v>
      </c>
    </row>
    <row r="10316" spans="1:1">
      <c r="A10316" s="1" t="s">
        <v>4966</v>
      </c>
    </row>
    <row r="10317" spans="1:1">
      <c r="A10317" s="1" t="s">
        <v>4967</v>
      </c>
    </row>
    <row r="10318" spans="1:1">
      <c r="A10318" s="1" t="s">
        <v>4976</v>
      </c>
    </row>
    <row r="10319" spans="1:1">
      <c r="A10319" s="1" t="s">
        <v>4969</v>
      </c>
    </row>
    <row r="10320" spans="1:1">
      <c r="A10320" s="1" t="s">
        <v>4970</v>
      </c>
    </row>
    <row r="10321" spans="1:1">
      <c r="A10321" s="1" t="s">
        <v>4971</v>
      </c>
    </row>
    <row r="10322" spans="1:1">
      <c r="A10322" s="1" t="s">
        <v>4972</v>
      </c>
    </row>
    <row r="10323" spans="1:1">
      <c r="A10323" s="1" t="s">
        <v>4973</v>
      </c>
    </row>
    <row r="10324" spans="1:1">
      <c r="A10324" s="1" t="s">
        <v>4974</v>
      </c>
    </row>
    <row r="10325" spans="1:1">
      <c r="A10325" s="1" t="s">
        <v>4977</v>
      </c>
    </row>
    <row r="10326" spans="1:1">
      <c r="A10326" s="1" t="s">
        <v>4966</v>
      </c>
    </row>
    <row r="10327" spans="1:1">
      <c r="A10327" s="1" t="s">
        <v>4967</v>
      </c>
    </row>
    <row r="10328" spans="1:1">
      <c r="A10328" s="1" t="s">
        <v>4978</v>
      </c>
    </row>
    <row r="10329" spans="1:1">
      <c r="A10329" s="1" t="s">
        <v>4969</v>
      </c>
    </row>
    <row r="10330" spans="1:1">
      <c r="A10330" s="1" t="s">
        <v>4970</v>
      </c>
    </row>
    <row r="10331" spans="1:1">
      <c r="A10331" s="1" t="s">
        <v>4971</v>
      </c>
    </row>
    <row r="10332" spans="1:1">
      <c r="A10332" s="1" t="s">
        <v>4972</v>
      </c>
    </row>
    <row r="10333" spans="1:1">
      <c r="A10333" s="1" t="s">
        <v>4973</v>
      </c>
    </row>
    <row r="10334" spans="1:1">
      <c r="A10334" s="1" t="s">
        <v>4974</v>
      </c>
    </row>
    <row r="10335" spans="1:1">
      <c r="A10335" s="1" t="s">
        <v>4979</v>
      </c>
    </row>
    <row r="10336" spans="1:1">
      <c r="A10336" s="1" t="s">
        <v>4966</v>
      </c>
    </row>
    <row r="10337" spans="1:1">
      <c r="A10337" s="1" t="s">
        <v>4967</v>
      </c>
    </row>
    <row r="10338" spans="1:1">
      <c r="A10338" s="1" t="s">
        <v>4980</v>
      </c>
    </row>
    <row r="10339" spans="1:1">
      <c r="A10339" s="1" t="s">
        <v>4969</v>
      </c>
    </row>
    <row r="10340" spans="1:1">
      <c r="A10340" s="1" t="s">
        <v>4970</v>
      </c>
    </row>
    <row r="10341" spans="1:1">
      <c r="A10341" s="1" t="s">
        <v>4971</v>
      </c>
    </row>
    <row r="10342" spans="1:1">
      <c r="A10342" s="1" t="s">
        <v>4972</v>
      </c>
    </row>
    <row r="10343" spans="1:1">
      <c r="A10343" s="1" t="s">
        <v>4973</v>
      </c>
    </row>
    <row r="10344" spans="1:1">
      <c r="A10344" s="1" t="s">
        <v>4974</v>
      </c>
    </row>
    <row r="10345" spans="1:1">
      <c r="A10345" s="1" t="s">
        <v>4981</v>
      </c>
    </row>
    <row r="10346" spans="1:1">
      <c r="A10346" s="1" t="s">
        <v>4982</v>
      </c>
    </row>
    <row r="10347" spans="1:1">
      <c r="A10347" s="1" t="s">
        <v>4983</v>
      </c>
    </row>
    <row r="10348" spans="1:1">
      <c r="A10348" s="1" t="s">
        <v>4984</v>
      </c>
    </row>
    <row r="10349" spans="1:1">
      <c r="A10349" s="1" t="s">
        <v>4985</v>
      </c>
    </row>
    <row r="10350" spans="1:1">
      <c r="A10350" s="1" t="s">
        <v>4986</v>
      </c>
    </row>
    <row r="10351" spans="1:1">
      <c r="A10351" s="1" t="s">
        <v>4987</v>
      </c>
    </row>
    <row r="10352" spans="1:1">
      <c r="A10352" s="1" t="s">
        <v>4985</v>
      </c>
    </row>
    <row r="10353" spans="1:1">
      <c r="A10353" s="1" t="s">
        <v>4986</v>
      </c>
    </row>
    <row r="10354" spans="1:1">
      <c r="A10354" s="1" t="s">
        <v>4987</v>
      </c>
    </row>
    <row r="10355" spans="1:1">
      <c r="A10355" s="1" t="s">
        <v>4985</v>
      </c>
    </row>
    <row r="10356" spans="1:1">
      <c r="A10356" s="1" t="s">
        <v>4986</v>
      </c>
    </row>
    <row r="10357" spans="1:1">
      <c r="A10357" s="1" t="s">
        <v>4987</v>
      </c>
    </row>
    <row r="10358" spans="1:1">
      <c r="A10358" s="1" t="s">
        <v>4988</v>
      </c>
    </row>
    <row r="10359" spans="1:1">
      <c r="A10359" s="1" t="s">
        <v>4989</v>
      </c>
    </row>
    <row r="10360" spans="1:1">
      <c r="A10360" s="1" t="s">
        <v>4990</v>
      </c>
    </row>
    <row r="10361" spans="1:1">
      <c r="A10361" s="1" t="s">
        <v>4988</v>
      </c>
    </row>
    <row r="10362" spans="1:1">
      <c r="A10362" s="1" t="s">
        <v>4989</v>
      </c>
    </row>
    <row r="10363" spans="1:1">
      <c r="A10363" s="1" t="s">
        <v>4990</v>
      </c>
    </row>
    <row r="10364" spans="1:1">
      <c r="A10364" s="1" t="s">
        <v>4988</v>
      </c>
    </row>
    <row r="10365" spans="1:1">
      <c r="A10365" s="1" t="s">
        <v>4989</v>
      </c>
    </row>
    <row r="10366" spans="1:1">
      <c r="A10366" s="1" t="s">
        <v>4990</v>
      </c>
    </row>
    <row r="10367" spans="1:1">
      <c r="A10367" s="1" t="s">
        <v>4991</v>
      </c>
    </row>
    <row r="10368" spans="1:1">
      <c r="A10368" s="1" t="s">
        <v>4992</v>
      </c>
    </row>
    <row r="10369" spans="1:1">
      <c r="A10369" s="1" t="s">
        <v>4993</v>
      </c>
    </row>
    <row r="10370" spans="1:1">
      <c r="A10370" s="1" t="s">
        <v>4994</v>
      </c>
    </row>
    <row r="10371" spans="1:1">
      <c r="A10371" s="1" t="s">
        <v>4995</v>
      </c>
    </row>
    <row r="10372" spans="1:1">
      <c r="A10372" s="1" t="s">
        <v>4996</v>
      </c>
    </row>
    <row r="10373" spans="1:1">
      <c r="A10373" s="1" t="s">
        <v>4997</v>
      </c>
    </row>
    <row r="10374" spans="1:1">
      <c r="A10374" s="1" t="s">
        <v>4998</v>
      </c>
    </row>
    <row r="10375" spans="1:1">
      <c r="A10375" s="1" t="s">
        <v>4999</v>
      </c>
    </row>
    <row r="10376" spans="1:1">
      <c r="A10376" s="1" t="s">
        <v>5000</v>
      </c>
    </row>
    <row r="10377" spans="1:1">
      <c r="A10377" s="1" t="s">
        <v>5001</v>
      </c>
    </row>
    <row r="10378" spans="1:1">
      <c r="A10378" s="1" t="s">
        <v>5002</v>
      </c>
    </row>
    <row r="10379" spans="1:1">
      <c r="A10379" s="1" t="s">
        <v>5003</v>
      </c>
    </row>
    <row r="10380" spans="1:1">
      <c r="A10380" s="1" t="s">
        <v>5004</v>
      </c>
    </row>
    <row r="10381" spans="1:1">
      <c r="A10381" s="1" t="s">
        <v>5003</v>
      </c>
    </row>
    <row r="10382" spans="1:1">
      <c r="A10382" s="1" t="s">
        <v>5005</v>
      </c>
    </row>
    <row r="10383" spans="1:1">
      <c r="A10383" s="1" t="s">
        <v>5006</v>
      </c>
    </row>
    <row r="10384" spans="1:1">
      <c r="A10384" s="1" t="s">
        <v>5007</v>
      </c>
    </row>
    <row r="10385" spans="1:1">
      <c r="A10385" s="1" t="s">
        <v>5008</v>
      </c>
    </row>
    <row r="10386" spans="1:1">
      <c r="A10386" s="1" t="s">
        <v>5009</v>
      </c>
    </row>
    <row r="10387" spans="1:1">
      <c r="A10387" s="1" t="s">
        <v>5010</v>
      </c>
    </row>
    <row r="10388" spans="1:1">
      <c r="A10388" s="1" t="s">
        <v>5011</v>
      </c>
    </row>
    <row r="10389" spans="1:1">
      <c r="A10389" s="1" t="s">
        <v>5012</v>
      </c>
    </row>
    <row r="10390" spans="1:1">
      <c r="A10390" s="1" t="s">
        <v>5013</v>
      </c>
    </row>
    <row r="10391" spans="1:1">
      <c r="A10391" s="1" t="s">
        <v>5014</v>
      </c>
    </row>
    <row r="10392" spans="1:1">
      <c r="A10392" s="1" t="s">
        <v>5015</v>
      </c>
    </row>
    <row r="10393" spans="1:1">
      <c r="A10393" s="1" t="s">
        <v>5016</v>
      </c>
    </row>
    <row r="10394" spans="1:1">
      <c r="A10394" s="1" t="s">
        <v>5017</v>
      </c>
    </row>
    <row r="10395" spans="1:1">
      <c r="A10395" s="1" t="s">
        <v>5018</v>
      </c>
    </row>
    <row r="10396" spans="1:1">
      <c r="A10396" s="1" t="s">
        <v>5019</v>
      </c>
    </row>
    <row r="10397" spans="1:1">
      <c r="A10397" s="1" t="s">
        <v>5020</v>
      </c>
    </row>
    <row r="10398" spans="1:1">
      <c r="A10398" s="1" t="s">
        <v>5021</v>
      </c>
    </row>
    <row r="10399" spans="1:1">
      <c r="A10399" s="1" t="s">
        <v>5022</v>
      </c>
    </row>
    <row r="10400" spans="1:1">
      <c r="A10400" s="1" t="s">
        <v>5023</v>
      </c>
    </row>
    <row r="10401" spans="1:1">
      <c r="A10401" s="1" t="s">
        <v>5024</v>
      </c>
    </row>
    <row r="10402" spans="1:1">
      <c r="A10402" s="1" t="s">
        <v>5025</v>
      </c>
    </row>
    <row r="10403" spans="1:1">
      <c r="A10403" s="1" t="s">
        <v>5026</v>
      </c>
    </row>
    <row r="10404" spans="1:1">
      <c r="A10404" s="1" t="s">
        <v>5027</v>
      </c>
    </row>
    <row r="10405" spans="1:1">
      <c r="A10405" s="1" t="s">
        <v>5028</v>
      </c>
    </row>
    <row r="10406" spans="1:1">
      <c r="A10406" s="1" t="s">
        <v>5029</v>
      </c>
    </row>
    <row r="10407" spans="1:1">
      <c r="A10407" s="1" t="s">
        <v>5030</v>
      </c>
    </row>
    <row r="10408" spans="1:1">
      <c r="A10408" s="1" t="s">
        <v>5031</v>
      </c>
    </row>
    <row r="10409" spans="1:1">
      <c r="A10409" s="1" t="s">
        <v>5032</v>
      </c>
    </row>
    <row r="10410" spans="1:1">
      <c r="A10410" s="1" t="s">
        <v>5033</v>
      </c>
    </row>
    <row r="10411" spans="1:1">
      <c r="A10411" s="1" t="s">
        <v>5034</v>
      </c>
    </row>
    <row r="10412" spans="1:1">
      <c r="A10412" s="1" t="s">
        <v>5035</v>
      </c>
    </row>
    <row r="10413" spans="1:1">
      <c r="A10413" s="1" t="s">
        <v>5036</v>
      </c>
    </row>
    <row r="10414" spans="1:1">
      <c r="A10414" s="1" t="s">
        <v>5037</v>
      </c>
    </row>
    <row r="10415" spans="1:1">
      <c r="A10415" s="1" t="s">
        <v>5039</v>
      </c>
    </row>
    <row r="10416" spans="1:1">
      <c r="A10416" s="1" t="s">
        <v>5039</v>
      </c>
    </row>
    <row r="10417" spans="1:1">
      <c r="A10417" s="1" t="s">
        <v>5039</v>
      </c>
    </row>
    <row r="10418" spans="1:1">
      <c r="A10418" s="1" t="s">
        <v>5040</v>
      </c>
    </row>
    <row r="10419" spans="1:1">
      <c r="A10419" s="1" t="s">
        <v>5041</v>
      </c>
    </row>
    <row r="10420" spans="1:1">
      <c r="A10420" s="1" t="s">
        <v>5042</v>
      </c>
    </row>
    <row r="10421" spans="1:1">
      <c r="A10421" s="1" t="s">
        <v>5040</v>
      </c>
    </row>
    <row r="10422" spans="1:1">
      <c r="A10422" s="1" t="s">
        <v>5041</v>
      </c>
    </row>
    <row r="10423" spans="1:1">
      <c r="A10423" s="1" t="s">
        <v>5042</v>
      </c>
    </row>
    <row r="10424" spans="1:1">
      <c r="A10424" s="1" t="s">
        <v>5040</v>
      </c>
    </row>
    <row r="10425" spans="1:1">
      <c r="A10425" s="1" t="s">
        <v>5041</v>
      </c>
    </row>
    <row r="10426" spans="1:1">
      <c r="A10426" s="1" t="s">
        <v>5042</v>
      </c>
    </row>
    <row r="10427" spans="1:1">
      <c r="A10427" s="1" t="s">
        <v>5044</v>
      </c>
    </row>
    <row r="10428" spans="1:1">
      <c r="A10428" s="1" t="s">
        <v>5045</v>
      </c>
    </row>
    <row r="10429" spans="1:1">
      <c r="A10429" s="1" t="s">
        <v>5046</v>
      </c>
    </row>
    <row r="10430" spans="1:1">
      <c r="A10430" s="1" t="s">
        <v>5044</v>
      </c>
    </row>
    <row r="10431" spans="1:1">
      <c r="A10431" s="1" t="s">
        <v>5045</v>
      </c>
    </row>
    <row r="10432" spans="1:1">
      <c r="A10432" s="1" t="s">
        <v>5046</v>
      </c>
    </row>
    <row r="10433" spans="1:1">
      <c r="A10433" s="1" t="s">
        <v>5044</v>
      </c>
    </row>
    <row r="10434" spans="1:1">
      <c r="A10434" s="1" t="s">
        <v>5045</v>
      </c>
    </row>
    <row r="10435" spans="1:1">
      <c r="A10435" s="1" t="s">
        <v>5046</v>
      </c>
    </row>
    <row r="10436" spans="1:1">
      <c r="A10436" s="1" t="s">
        <v>5044</v>
      </c>
    </row>
    <row r="10437" spans="1:1">
      <c r="A10437" s="1" t="s">
        <v>5045</v>
      </c>
    </row>
    <row r="10438" spans="1:1">
      <c r="A10438" s="1" t="s">
        <v>5046</v>
      </c>
    </row>
    <row r="10439" spans="1:1">
      <c r="A10439" s="1" t="s">
        <v>5044</v>
      </c>
    </row>
    <row r="10440" spans="1:1">
      <c r="A10440" s="1" t="s">
        <v>5045</v>
      </c>
    </row>
    <row r="10441" spans="1:1">
      <c r="A10441" s="1" t="s">
        <v>5046</v>
      </c>
    </row>
    <row r="10442" spans="1:1">
      <c r="A10442" s="1" t="s">
        <v>5044</v>
      </c>
    </row>
    <row r="10443" spans="1:1">
      <c r="A10443" s="1" t="s">
        <v>5045</v>
      </c>
    </row>
    <row r="10444" spans="1:1">
      <c r="A10444" s="1" t="s">
        <v>5046</v>
      </c>
    </row>
    <row r="10445" spans="1:1">
      <c r="A10445" s="1" t="s">
        <v>5047</v>
      </c>
    </row>
    <row r="10446" spans="1:1">
      <c r="A10446" s="1" t="s">
        <v>5048</v>
      </c>
    </row>
    <row r="10447" spans="1:1">
      <c r="A10447" s="1" t="s">
        <v>5049</v>
      </c>
    </row>
    <row r="10448" spans="1:1">
      <c r="A10448" s="1" t="s">
        <v>5047</v>
      </c>
    </row>
    <row r="10449" spans="1:1">
      <c r="A10449" s="1" t="s">
        <v>5048</v>
      </c>
    </row>
    <row r="10450" spans="1:1">
      <c r="A10450" s="1" t="s">
        <v>5049</v>
      </c>
    </row>
    <row r="10451" spans="1:1">
      <c r="A10451" s="1" t="s">
        <v>5047</v>
      </c>
    </row>
    <row r="10452" spans="1:1">
      <c r="A10452" s="1" t="s">
        <v>5048</v>
      </c>
    </row>
    <row r="10453" spans="1:1">
      <c r="A10453" s="1" t="s">
        <v>5049</v>
      </c>
    </row>
  </sheetData>
  <pageMargins left="0.75" right="0.75" top="1" bottom="1" header="0.5" footer="0.5"/>
  <headerFooter alignWithMargins="0"/>
</worksheet>
</file>

<file path=customUI/_rels/customUI14.xml.rels><?xml version="1.0" encoding="UTF-8" standalone="yes"?>
<Relationships xmlns="http://schemas.openxmlformats.org/package/2006/relationships"><Relationship Id="doc" Type="http://schemas.openxmlformats.org/officeDocument/2006/relationships/image" Target="images/doc.png"/><Relationship Id="update_3" Type="http://schemas.openxmlformats.org/officeDocument/2006/relationships/image" Target="images/update_3.png"/><Relationship Id="arrow_green_down" Type="http://schemas.openxmlformats.org/officeDocument/2006/relationships/image" Target="images/arrow_green_down.png"/><Relationship Id="arrow_green_up" Type="http://schemas.openxmlformats.org/officeDocument/2006/relationships/image" Target="images/arrow_green_up.png"/><Relationship Id="dtt" Type="http://schemas.openxmlformats.org/officeDocument/2006/relationships/image" Target="images/dtt.png"/><Relationship Id="clean_3" Type="http://schemas.openxmlformats.org/officeDocument/2006/relationships/image" Target="images/clean_3.png"/><Relationship Id="configuration_2" Type="http://schemas.openxmlformats.org/officeDocument/2006/relationships/image" Target="images/configuration_2.png"/></Relationships>
</file>

<file path=customUI/customUI14.xml><?xml version="1.0" encoding="utf-8"?>
<customUI xmlns="http://schemas.microsoft.com/office/2009/07/customui">
  <ribbon>
    <tabs>
      <tab id="customTab" label="CA PPM" insertAfterMso="TabHome">
        <group id="customGroup1" label="Tools">
          <button id="config_worksheet" label="Settings" size="large" onAction="Sheet_Configuration" image="configuration_2"/>
          <button id="update_worksheet" label="Update" size="large" onAction="UpdatePnL" image="update_3"/>
          <button id="clean_worksheet" label="Clean" size="large" onAction="Clean_Worksheet" image="clean_3"/>
        </group>
        <group id="customGroup2" label="PnL">
          <button id="load_pnl" label="Load" size="large" onAction="Import_PnL" image="arrow_green_down"/>
          <button id="upload_lkp" label="Upload" size="large" onAction="Upload_Form_Forecast" image="arrow_green_up"/>
        </group>
        <group id="customGroup4" label="Sheets">
          <button id="sheet_p_o" label="Project Overview" size="large" onAction="Sheet_Project_Overview" image="doc"/>
          <button id="sheet_inv" label="Investments" size="large" onAction="Sheet_Investments" image="doc"/>
          <button id="sheet_pnl" label="PnL" size="large" onAction="Sheet_PnL" image="doc"/>
          <button id="sheet_forecast" label="Forecast" size="large" onAction="Sheet_Forecast" image="doc"/>
        </group>
        <group id="customGroup5" label="All rights reserved">
          <button id="dtt" label="Deloitte" size="large" image="dt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CONFIGURAÇÕES</vt:lpstr>
      <vt:lpstr>ResourceInformation</vt:lpstr>
      <vt:lpstr>LookupInformation</vt:lpstr>
      <vt:lpstr>Project Overview</vt:lpstr>
      <vt:lpstr>Sales</vt:lpstr>
      <vt:lpstr>PnL</vt:lpstr>
      <vt:lpstr>Investments</vt:lpstr>
      <vt:lpstr>Sheet1</vt:lpstr>
      <vt:lpstr>APOIO</vt:lpstr>
      <vt:lpstr>APOIO2</vt:lpstr>
      <vt:lpstr>DEBUG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Chuba, Breno Ganeo (BR - Sao Paulo)</dc:creator>
  <cp:lastModifiedBy>Silva, Lincoln Lopes da (BR - Sao Paulo)</cp:lastModifiedBy>
  <dcterms:created xsi:type="dcterms:W3CDTF">2015-03-10T17:22:30Z</dcterms:created>
  <dcterms:modified xsi:type="dcterms:W3CDTF">2019-06-25T23:15:55Z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-651160768</vt:i4>
  </property>
  <property fmtid="{D5CDD505-2E9C-101B-9397-08002B2CF9AE}" pid="3" name="_NewReviewCycle">
    <vt:lpwstr/>
  </property>
  <property fmtid="{D5CDD505-2E9C-101B-9397-08002B2CF9AE}" pid="4" name="_EmailSubject">
    <vt:lpwstr>Kick Off EP Innovation Projects</vt:lpwstr>
  </property>
  <property fmtid="{D5CDD505-2E9C-101B-9397-08002B2CF9AE}" pid="5" name="_AuthorEmail">
    <vt:lpwstr>Marcelo.Lazzaris@sanofi.com</vt:lpwstr>
  </property>
  <property fmtid="{D5CDD505-2E9C-101B-9397-08002B2CF9AE}" pid="6" name="_AuthorEmailDisplayName">
    <vt:lpwstr>Lazzaris, Marcelo /BR</vt:lpwstr>
  </property>
  <property fmtid="{D5CDD505-2E9C-101B-9397-08002B2CF9AE}" pid="7" name="_ReviewingToolsShownOnce">
    <vt:lpwstr/>
  </property>
</Properties>
</file>
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0" yWindow="0" windowWidth="20490" windowHeight="7365"/>
  </bookViews>
  <sheets>
    <sheet name="CONFIGURAÇÕES" sheetId="5" r:id="rId1"/>
    <sheet name="2-CUSTOS REALIZADOS" sheetId="6" r:id="rId2"/>
    <sheet name="2-CUSTOS REALIZADOS - LOTE" sheetId="2" r:id="rId3"/>
    <sheet name="APOIO" sheetId="3" r:id="rId4"/>
    <sheet name="DEBUG" sheetId="4" r:id="rId5"/>
  </sheets>
  <functionGroups builtInGroupCount="18"/>
  <externalReferences>
    <externalReference r:id="rId6"/>
  </externalReferences>
  <definedNames>
    <definedName name="_xlnm._FilterDatabase" localSheetId="3" hidden="1">APOIO!$A$1:$F$2000</definedName>
    <definedName name="Tarefa">[1]APOIO!#REF!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0" i="2" l="1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B200" i="2"/>
  <c r="B199" i="2"/>
  <c r="B198" i="2"/>
  <c r="B197" i="2"/>
  <c r="D197" i="2" s="1"/>
  <c r="B196" i="2"/>
  <c r="B195" i="2"/>
  <c r="Y195" i="2" s="1"/>
  <c r="B194" i="2"/>
  <c r="B193" i="2"/>
  <c r="Z193" i="2" s="1"/>
  <c r="B192" i="2"/>
  <c r="B191" i="2"/>
  <c r="B190" i="2"/>
  <c r="D190" i="2" s="1"/>
  <c r="B189" i="2"/>
  <c r="B188" i="2"/>
  <c r="B187" i="2"/>
  <c r="Y187" i="2" s="1"/>
  <c r="B186" i="2"/>
  <c r="B185" i="2"/>
  <c r="Z185" i="2" s="1"/>
  <c r="B184" i="2"/>
  <c r="B183" i="2"/>
  <c r="B182" i="2"/>
  <c r="B181" i="2"/>
  <c r="D181" i="2" s="1"/>
  <c r="B180" i="2"/>
  <c r="B179" i="2"/>
  <c r="Y179" i="2" s="1"/>
  <c r="B178" i="2"/>
  <c r="B177" i="2"/>
  <c r="Z177" i="2" s="1"/>
  <c r="B176" i="2"/>
  <c r="B175" i="2"/>
  <c r="B174" i="2"/>
  <c r="B173" i="2"/>
  <c r="B172" i="2"/>
  <c r="B171" i="2"/>
  <c r="Y171" i="2" s="1"/>
  <c r="B170" i="2"/>
  <c r="B169" i="2"/>
  <c r="Z169" i="2" s="1"/>
  <c r="B168" i="2"/>
  <c r="B167" i="2"/>
  <c r="B166" i="2"/>
  <c r="B165" i="2"/>
  <c r="D165" i="2" s="1"/>
  <c r="B164" i="2"/>
  <c r="B163" i="2"/>
  <c r="Y163" i="2" s="1"/>
  <c r="B162" i="2"/>
  <c r="B161" i="2"/>
  <c r="Z161" i="2" s="1"/>
  <c r="B160" i="2"/>
  <c r="B159" i="2"/>
  <c r="B158" i="2"/>
  <c r="D158" i="2" s="1"/>
  <c r="B157" i="2"/>
  <c r="B156" i="2"/>
  <c r="B155" i="2"/>
  <c r="Y155" i="2" s="1"/>
  <c r="B154" i="2"/>
  <c r="B153" i="2"/>
  <c r="Z153" i="2" s="1"/>
  <c r="B152" i="2"/>
  <c r="B151" i="2"/>
  <c r="B150" i="2"/>
  <c r="B149" i="2"/>
  <c r="D149" i="2" s="1"/>
  <c r="B148" i="2"/>
  <c r="B147" i="2"/>
  <c r="Y147" i="2" s="1"/>
  <c r="B146" i="2"/>
  <c r="B145" i="2"/>
  <c r="Z145" i="2" s="1"/>
  <c r="B144" i="2"/>
  <c r="B143" i="2"/>
  <c r="B142" i="2"/>
  <c r="B141" i="2"/>
  <c r="B140" i="2"/>
  <c r="B139" i="2"/>
  <c r="Y139" i="2" s="1"/>
  <c r="B138" i="2"/>
  <c r="B137" i="2"/>
  <c r="Z137" i="2" s="1"/>
  <c r="B136" i="2"/>
  <c r="B135" i="2"/>
  <c r="B134" i="2"/>
  <c r="B133" i="2"/>
  <c r="D133" i="2" s="1"/>
  <c r="B132" i="2"/>
  <c r="B131" i="2"/>
  <c r="Y131" i="2" s="1"/>
  <c r="B130" i="2"/>
  <c r="B129" i="2"/>
  <c r="Z129" i="2" s="1"/>
  <c r="B128" i="2"/>
  <c r="B127" i="2"/>
  <c r="B126" i="2"/>
  <c r="B125" i="2"/>
  <c r="B124" i="2"/>
  <c r="B123" i="2"/>
  <c r="Y123" i="2" s="1"/>
  <c r="B122" i="2"/>
  <c r="B121" i="2"/>
  <c r="Z121" i="2" s="1"/>
  <c r="B120" i="2"/>
  <c r="B119" i="2"/>
  <c r="B118" i="2"/>
  <c r="B117" i="2"/>
  <c r="D117" i="2" s="1"/>
  <c r="B116" i="2"/>
  <c r="B115" i="2"/>
  <c r="Y115" i="2" s="1"/>
  <c r="B114" i="2"/>
  <c r="B113" i="2"/>
  <c r="Z113" i="2" s="1"/>
  <c r="B112" i="2"/>
  <c r="B111" i="2"/>
  <c r="B110" i="2"/>
  <c r="B109" i="2"/>
  <c r="B108" i="2"/>
  <c r="B107" i="2"/>
  <c r="Y107" i="2" s="1"/>
  <c r="B106" i="2"/>
  <c r="B105" i="2"/>
  <c r="Z105" i="2" s="1"/>
  <c r="B104" i="2"/>
  <c r="B103" i="2"/>
  <c r="B102" i="2"/>
  <c r="B101" i="2"/>
  <c r="D101" i="2" s="1"/>
  <c r="B100" i="2"/>
  <c r="B99" i="2"/>
  <c r="Y99" i="2" s="1"/>
  <c r="B98" i="2"/>
  <c r="B97" i="2"/>
  <c r="Z97" i="2" s="1"/>
  <c r="B96" i="2"/>
  <c r="B95" i="2"/>
  <c r="B94" i="2"/>
  <c r="D94" i="2" s="1"/>
  <c r="B93" i="2"/>
  <c r="B92" i="2"/>
  <c r="B91" i="2"/>
  <c r="Y91" i="2" s="1"/>
  <c r="B90" i="2"/>
  <c r="B89" i="2"/>
  <c r="Z89" i="2" s="1"/>
  <c r="B88" i="2"/>
  <c r="B87" i="2"/>
  <c r="B86" i="2"/>
  <c r="B85" i="2"/>
  <c r="D85" i="2" s="1"/>
  <c r="B84" i="2"/>
  <c r="B83" i="2"/>
  <c r="Y83" i="2" s="1"/>
  <c r="B82" i="2"/>
  <c r="B81" i="2"/>
  <c r="Z81" i="2" s="1"/>
  <c r="B80" i="2"/>
  <c r="B79" i="2"/>
  <c r="B78" i="2"/>
  <c r="B77" i="2"/>
  <c r="B76" i="2"/>
  <c r="B75" i="2"/>
  <c r="Y75" i="2" s="1"/>
  <c r="B74" i="2"/>
  <c r="B73" i="2"/>
  <c r="Z73" i="2" s="1"/>
  <c r="B72" i="2"/>
  <c r="B71" i="2"/>
  <c r="B70" i="2"/>
  <c r="B69" i="2"/>
  <c r="D69" i="2" s="1"/>
  <c r="B68" i="2"/>
  <c r="D68" i="2" s="1"/>
  <c r="B67" i="2"/>
  <c r="Y67" i="2" s="1"/>
  <c r="B66" i="2"/>
  <c r="B65" i="2"/>
  <c r="Z65" i="2" s="1"/>
  <c r="B64" i="2"/>
  <c r="D64" i="2" s="1"/>
  <c r="B63" i="2"/>
  <c r="B62" i="2"/>
  <c r="B61" i="2"/>
  <c r="D61" i="2" s="1"/>
  <c r="B60" i="2"/>
  <c r="B59" i="2"/>
  <c r="Y59" i="2" s="1"/>
  <c r="B58" i="2"/>
  <c r="B57" i="2"/>
  <c r="Z57" i="2" s="1"/>
  <c r="B56" i="2"/>
  <c r="B55" i="2"/>
  <c r="B54" i="2"/>
  <c r="B53" i="2"/>
  <c r="D53" i="2" s="1"/>
  <c r="B52" i="2"/>
  <c r="D52" i="2" s="1"/>
  <c r="B51" i="2"/>
  <c r="Y51" i="2" s="1"/>
  <c r="B50" i="2"/>
  <c r="B49" i="2"/>
  <c r="D49" i="2" s="1"/>
  <c r="B48" i="2"/>
  <c r="D48" i="2" s="1"/>
  <c r="B47" i="2"/>
  <c r="B46" i="2"/>
  <c r="B45" i="2"/>
  <c r="D45" i="2" s="1"/>
  <c r="B44" i="2"/>
  <c r="B43" i="2"/>
  <c r="Y43" i="2" s="1"/>
  <c r="B42" i="2"/>
  <c r="B41" i="2"/>
  <c r="D41" i="2" s="1"/>
  <c r="B40" i="2"/>
  <c r="B39" i="2"/>
  <c r="B38" i="2"/>
  <c r="B37" i="2"/>
  <c r="D37" i="2" s="1"/>
  <c r="B36" i="2"/>
  <c r="D36" i="2" s="1"/>
  <c r="B35" i="2"/>
  <c r="Y35" i="2" s="1"/>
  <c r="B34" i="2"/>
  <c r="B33" i="2"/>
  <c r="D33" i="2" s="1"/>
  <c r="B32" i="2"/>
  <c r="D32" i="2" s="1"/>
  <c r="B31" i="2"/>
  <c r="B30" i="2"/>
  <c r="B29" i="2"/>
  <c r="D29" i="2" s="1"/>
  <c r="B28" i="2"/>
  <c r="B27" i="2"/>
  <c r="Y27" i="2" s="1"/>
  <c r="B26" i="2"/>
  <c r="B25" i="2"/>
  <c r="D25" i="2" s="1"/>
  <c r="B24" i="2"/>
  <c r="D24" i="2" s="1"/>
  <c r="B23" i="2"/>
  <c r="B22" i="2"/>
  <c r="B21" i="2"/>
  <c r="D21" i="2" s="1"/>
  <c r="B20" i="2"/>
  <c r="B19" i="2"/>
  <c r="Y19" i="2" s="1"/>
  <c r="B18" i="2"/>
  <c r="B17" i="2"/>
  <c r="D17" i="2" s="1"/>
  <c r="B16" i="2"/>
  <c r="D16" i="2" s="1"/>
  <c r="B15" i="2"/>
  <c r="B14" i="2"/>
  <c r="B13" i="2"/>
  <c r="D13" i="2" s="1"/>
  <c r="B12" i="2"/>
  <c r="B11" i="2"/>
  <c r="Y11" i="2" s="1"/>
  <c r="B10" i="2"/>
  <c r="Y10" i="2" s="1"/>
  <c r="D161" i="2" l="1"/>
  <c r="D185" i="2"/>
  <c r="D123" i="2"/>
  <c r="D139" i="2"/>
  <c r="D81" i="2"/>
  <c r="D147" i="2"/>
  <c r="D171" i="2"/>
  <c r="D195" i="2"/>
  <c r="D107" i="2"/>
  <c r="D155" i="2"/>
  <c r="D179" i="2"/>
  <c r="D75" i="2"/>
  <c r="D91" i="2"/>
  <c r="D105" i="2"/>
  <c r="D121" i="2"/>
  <c r="D137" i="2"/>
  <c r="D153" i="2"/>
  <c r="D163" i="2"/>
  <c r="D177" i="2"/>
  <c r="D187" i="2"/>
  <c r="Y145" i="2"/>
  <c r="Z83" i="2"/>
  <c r="Y177" i="2"/>
  <c r="Z115" i="2"/>
  <c r="D83" i="2"/>
  <c r="D97" i="2"/>
  <c r="D113" i="2"/>
  <c r="D129" i="2"/>
  <c r="D145" i="2"/>
  <c r="D169" i="2"/>
  <c r="D193" i="2"/>
  <c r="Y81" i="2"/>
  <c r="Z19" i="2"/>
  <c r="Z147" i="2"/>
  <c r="D73" i="2"/>
  <c r="D89" i="2"/>
  <c r="D99" i="2"/>
  <c r="D115" i="2"/>
  <c r="D131" i="2"/>
  <c r="Y113" i="2"/>
  <c r="Z51" i="2"/>
  <c r="Z179" i="2"/>
  <c r="Z14" i="2"/>
  <c r="Y14" i="2"/>
  <c r="Z18" i="2"/>
  <c r="Y18" i="2"/>
  <c r="Z22" i="2"/>
  <c r="Y22" i="2"/>
  <c r="Z26" i="2"/>
  <c r="Y26" i="2"/>
  <c r="Z30" i="2"/>
  <c r="D30" i="2"/>
  <c r="Y30" i="2"/>
  <c r="Z34" i="2"/>
  <c r="Y34" i="2"/>
  <c r="D34" i="2"/>
  <c r="Z38" i="2"/>
  <c r="Y38" i="2"/>
  <c r="D38" i="2"/>
  <c r="Z42" i="2"/>
  <c r="Y42" i="2"/>
  <c r="D42" i="2"/>
  <c r="Z46" i="2"/>
  <c r="D46" i="2"/>
  <c r="Y46" i="2"/>
  <c r="Z50" i="2"/>
  <c r="Y50" i="2"/>
  <c r="D50" i="2"/>
  <c r="Y54" i="2"/>
  <c r="Z54" i="2"/>
  <c r="D54" i="2"/>
  <c r="Y58" i="2"/>
  <c r="Z58" i="2"/>
  <c r="D58" i="2"/>
  <c r="Y62" i="2"/>
  <c r="Z62" i="2"/>
  <c r="D62" i="2"/>
  <c r="Y66" i="2"/>
  <c r="Z66" i="2"/>
  <c r="D66" i="2"/>
  <c r="Y70" i="2"/>
  <c r="Z70" i="2"/>
  <c r="D70" i="2"/>
  <c r="Y74" i="2"/>
  <c r="Z74" i="2"/>
  <c r="D74" i="2"/>
  <c r="Y78" i="2"/>
  <c r="Z78" i="2"/>
  <c r="Y82" i="2"/>
  <c r="Z82" i="2"/>
  <c r="D82" i="2"/>
  <c r="Y86" i="2"/>
  <c r="Z86" i="2"/>
  <c r="D86" i="2"/>
  <c r="Y90" i="2"/>
  <c r="Z90" i="2"/>
  <c r="D90" i="2"/>
  <c r="Y94" i="2"/>
  <c r="Z94" i="2"/>
  <c r="Y98" i="2"/>
  <c r="Z98" i="2"/>
  <c r="D98" i="2"/>
  <c r="Y102" i="2"/>
  <c r="Z102" i="2"/>
  <c r="D102" i="2"/>
  <c r="Y106" i="2"/>
  <c r="Z106" i="2"/>
  <c r="D106" i="2"/>
  <c r="Y110" i="2"/>
  <c r="Z110" i="2"/>
  <c r="Y114" i="2"/>
  <c r="Z114" i="2"/>
  <c r="D114" i="2"/>
  <c r="Y118" i="2"/>
  <c r="Z118" i="2"/>
  <c r="D118" i="2"/>
  <c r="Y122" i="2"/>
  <c r="Z122" i="2"/>
  <c r="D122" i="2"/>
  <c r="Y126" i="2"/>
  <c r="Z126" i="2"/>
  <c r="Y130" i="2"/>
  <c r="Z130" i="2"/>
  <c r="D130" i="2"/>
  <c r="Y134" i="2"/>
  <c r="Z134" i="2"/>
  <c r="D134" i="2"/>
  <c r="Y138" i="2"/>
  <c r="Z138" i="2"/>
  <c r="D138" i="2"/>
  <c r="Y142" i="2"/>
  <c r="Z142" i="2"/>
  <c r="Y146" i="2"/>
  <c r="Z146" i="2"/>
  <c r="D146" i="2"/>
  <c r="Y150" i="2"/>
  <c r="Z150" i="2"/>
  <c r="D150" i="2"/>
  <c r="Y154" i="2"/>
  <c r="Z154" i="2"/>
  <c r="D154" i="2"/>
  <c r="Y158" i="2"/>
  <c r="Z158" i="2"/>
  <c r="Y162" i="2"/>
  <c r="Z162" i="2"/>
  <c r="D162" i="2"/>
  <c r="Y166" i="2"/>
  <c r="Z166" i="2"/>
  <c r="D166" i="2"/>
  <c r="Y170" i="2"/>
  <c r="Z170" i="2"/>
  <c r="D170" i="2"/>
  <c r="Y174" i="2"/>
  <c r="Z174" i="2"/>
  <c r="Y178" i="2"/>
  <c r="Z178" i="2"/>
  <c r="D178" i="2"/>
  <c r="Y182" i="2"/>
  <c r="Z182" i="2"/>
  <c r="D182" i="2"/>
  <c r="Y186" i="2"/>
  <c r="Z186" i="2"/>
  <c r="D186" i="2"/>
  <c r="Y190" i="2"/>
  <c r="Z190" i="2"/>
  <c r="Y194" i="2"/>
  <c r="Z194" i="2"/>
  <c r="D194" i="2"/>
  <c r="Y198" i="2"/>
  <c r="Z198" i="2"/>
  <c r="D198" i="2"/>
  <c r="D14" i="2"/>
  <c r="D22" i="2"/>
  <c r="D78" i="2"/>
  <c r="D142" i="2"/>
  <c r="Z16" i="2"/>
  <c r="Y16" i="2"/>
  <c r="Z24" i="2"/>
  <c r="Y24" i="2"/>
  <c r="Z32" i="2"/>
  <c r="Y32" i="2"/>
  <c r="Z40" i="2"/>
  <c r="Y40" i="2"/>
  <c r="Z48" i="2"/>
  <c r="Y48" i="2"/>
  <c r="Z56" i="2"/>
  <c r="Y56" i="2"/>
  <c r="Z64" i="2"/>
  <c r="Y64" i="2"/>
  <c r="Z72" i="2"/>
  <c r="Y72" i="2"/>
  <c r="D72" i="2"/>
  <c r="Z80" i="2"/>
  <c r="Y80" i="2"/>
  <c r="D80" i="2"/>
  <c r="Z88" i="2"/>
  <c r="Y88" i="2"/>
  <c r="D88" i="2"/>
  <c r="Z92" i="2"/>
  <c r="Y92" i="2"/>
  <c r="D92" i="2"/>
  <c r="Z96" i="2"/>
  <c r="Y96" i="2"/>
  <c r="D96" i="2"/>
  <c r="Z100" i="2"/>
  <c r="Y100" i="2"/>
  <c r="D100" i="2"/>
  <c r="Z104" i="2"/>
  <c r="Y104" i="2"/>
  <c r="D104" i="2"/>
  <c r="Z112" i="2"/>
  <c r="Y112" i="2"/>
  <c r="D112" i="2"/>
  <c r="Z116" i="2"/>
  <c r="Y116" i="2"/>
  <c r="D116" i="2"/>
  <c r="Z120" i="2"/>
  <c r="Y120" i="2"/>
  <c r="D120" i="2"/>
  <c r="Z124" i="2"/>
  <c r="Y124" i="2"/>
  <c r="D124" i="2"/>
  <c r="Z128" i="2"/>
  <c r="Y128" i="2"/>
  <c r="D128" i="2"/>
  <c r="Z132" i="2"/>
  <c r="Y132" i="2"/>
  <c r="D132" i="2"/>
  <c r="Z136" i="2"/>
  <c r="Y136" i="2"/>
  <c r="D136" i="2"/>
  <c r="Z140" i="2"/>
  <c r="Y140" i="2"/>
  <c r="D140" i="2"/>
  <c r="Z144" i="2"/>
  <c r="Y144" i="2"/>
  <c r="D144" i="2"/>
  <c r="Z148" i="2"/>
  <c r="Y148" i="2"/>
  <c r="D148" i="2"/>
  <c r="Z152" i="2"/>
  <c r="Y152" i="2"/>
  <c r="D152" i="2"/>
  <c r="Z156" i="2"/>
  <c r="Y156" i="2"/>
  <c r="D156" i="2"/>
  <c r="Z160" i="2"/>
  <c r="Y160" i="2"/>
  <c r="D160" i="2"/>
  <c r="Z164" i="2"/>
  <c r="Y164" i="2"/>
  <c r="D164" i="2"/>
  <c r="Z168" i="2"/>
  <c r="Y168" i="2"/>
  <c r="D168" i="2"/>
  <c r="Z172" i="2"/>
  <c r="Y172" i="2"/>
  <c r="D172" i="2"/>
  <c r="Z176" i="2"/>
  <c r="Y176" i="2"/>
  <c r="D176" i="2"/>
  <c r="Z180" i="2"/>
  <c r="Y180" i="2"/>
  <c r="D180" i="2"/>
  <c r="Z184" i="2"/>
  <c r="Y184" i="2"/>
  <c r="D184" i="2"/>
  <c r="Z188" i="2"/>
  <c r="Y188" i="2"/>
  <c r="D188" i="2"/>
  <c r="Z192" i="2"/>
  <c r="Y192" i="2"/>
  <c r="D192" i="2"/>
  <c r="Z196" i="2"/>
  <c r="Y196" i="2"/>
  <c r="D196" i="2"/>
  <c r="Z200" i="2"/>
  <c r="Y200" i="2"/>
  <c r="D200" i="2"/>
  <c r="D18" i="2"/>
  <c r="D26" i="2"/>
  <c r="D40" i="2"/>
  <c r="D56" i="2"/>
  <c r="D110" i="2"/>
  <c r="Z12" i="2"/>
  <c r="Y12" i="2"/>
  <c r="Z20" i="2"/>
  <c r="Y20" i="2"/>
  <c r="Z28" i="2"/>
  <c r="Y28" i="2"/>
  <c r="Z36" i="2"/>
  <c r="Y36" i="2"/>
  <c r="Z44" i="2"/>
  <c r="Y44" i="2"/>
  <c r="Z52" i="2"/>
  <c r="Y52" i="2"/>
  <c r="Z60" i="2"/>
  <c r="Y60" i="2"/>
  <c r="Z68" i="2"/>
  <c r="Y68" i="2"/>
  <c r="Z76" i="2"/>
  <c r="Y76" i="2"/>
  <c r="D76" i="2"/>
  <c r="Z84" i="2"/>
  <c r="Y84" i="2"/>
  <c r="D84" i="2"/>
  <c r="Z108" i="2"/>
  <c r="Y108" i="2"/>
  <c r="D108" i="2"/>
  <c r="D12" i="2"/>
  <c r="D20" i="2"/>
  <c r="D28" i="2"/>
  <c r="D44" i="2"/>
  <c r="D60" i="2"/>
  <c r="D126" i="2"/>
  <c r="D174" i="2"/>
  <c r="Z15" i="2"/>
  <c r="Y15" i="2"/>
  <c r="Z23" i="2"/>
  <c r="Y23" i="2"/>
  <c r="Z31" i="2"/>
  <c r="Y31" i="2"/>
  <c r="Z39" i="2"/>
  <c r="Y39" i="2"/>
  <c r="Z47" i="2"/>
  <c r="Y47" i="2"/>
  <c r="Y55" i="2"/>
  <c r="Z55" i="2"/>
  <c r="Y63" i="2"/>
  <c r="Z63" i="2"/>
  <c r="Y71" i="2"/>
  <c r="Z71" i="2"/>
  <c r="Y79" i="2"/>
  <c r="Z79" i="2"/>
  <c r="Y87" i="2"/>
  <c r="Z87" i="2"/>
  <c r="Y95" i="2"/>
  <c r="Z95" i="2"/>
  <c r="Y103" i="2"/>
  <c r="Z103" i="2"/>
  <c r="Y111" i="2"/>
  <c r="Z111" i="2"/>
  <c r="Y119" i="2"/>
  <c r="Z119" i="2"/>
  <c r="Y127" i="2"/>
  <c r="Z127" i="2"/>
  <c r="Y135" i="2"/>
  <c r="Z135" i="2"/>
  <c r="Y143" i="2"/>
  <c r="Z143" i="2"/>
  <c r="Y151" i="2"/>
  <c r="Z151" i="2"/>
  <c r="Y159" i="2"/>
  <c r="Z159" i="2"/>
  <c r="Y167" i="2"/>
  <c r="Z167" i="2"/>
  <c r="Y175" i="2"/>
  <c r="Z175" i="2"/>
  <c r="Y183" i="2"/>
  <c r="Z183" i="2"/>
  <c r="Y191" i="2"/>
  <c r="Z191" i="2"/>
  <c r="Y199" i="2"/>
  <c r="Z199" i="2"/>
  <c r="D57" i="2"/>
  <c r="D65" i="2"/>
  <c r="D79" i="2"/>
  <c r="D95" i="2"/>
  <c r="D111" i="2"/>
  <c r="D127" i="2"/>
  <c r="D143" i="2"/>
  <c r="D159" i="2"/>
  <c r="D175" i="2"/>
  <c r="D191" i="2"/>
  <c r="Y73" i="2"/>
  <c r="Y105" i="2"/>
  <c r="Y137" i="2"/>
  <c r="Y169" i="2"/>
  <c r="Z11" i="2"/>
  <c r="Z43" i="2"/>
  <c r="Z75" i="2"/>
  <c r="Z107" i="2"/>
  <c r="Z139" i="2"/>
  <c r="Z171" i="2"/>
  <c r="Z13" i="2"/>
  <c r="Y13" i="2"/>
  <c r="Z17" i="2"/>
  <c r="Y17" i="2"/>
  <c r="Z21" i="2"/>
  <c r="Y21" i="2"/>
  <c r="Z25" i="2"/>
  <c r="Y25" i="2"/>
  <c r="Z29" i="2"/>
  <c r="Y29" i="2"/>
  <c r="Z33" i="2"/>
  <c r="Y33" i="2"/>
  <c r="Z37" i="2"/>
  <c r="Y37" i="2"/>
  <c r="Z41" i="2"/>
  <c r="Y41" i="2"/>
  <c r="Z45" i="2"/>
  <c r="Y45" i="2"/>
  <c r="Z49" i="2"/>
  <c r="Y49" i="2"/>
  <c r="Z53" i="2"/>
  <c r="Y53" i="2"/>
  <c r="Z61" i="2"/>
  <c r="Y61" i="2"/>
  <c r="Z69" i="2"/>
  <c r="Y69" i="2"/>
  <c r="Z77" i="2"/>
  <c r="Y77" i="2"/>
  <c r="Z85" i="2"/>
  <c r="Y85" i="2"/>
  <c r="Z93" i="2"/>
  <c r="Y93" i="2"/>
  <c r="Z101" i="2"/>
  <c r="Y101" i="2"/>
  <c r="Z109" i="2"/>
  <c r="Y109" i="2"/>
  <c r="Z117" i="2"/>
  <c r="Y117" i="2"/>
  <c r="Z125" i="2"/>
  <c r="Y125" i="2"/>
  <c r="Z133" i="2"/>
  <c r="Y133" i="2"/>
  <c r="Z141" i="2"/>
  <c r="Y141" i="2"/>
  <c r="Z149" i="2"/>
  <c r="Y149" i="2"/>
  <c r="Z157" i="2"/>
  <c r="Y157" i="2"/>
  <c r="Z165" i="2"/>
  <c r="Y165" i="2"/>
  <c r="Z173" i="2"/>
  <c r="Y173" i="2"/>
  <c r="Z181" i="2"/>
  <c r="Y181" i="2"/>
  <c r="Z189" i="2"/>
  <c r="Y189" i="2"/>
  <c r="Z197" i="2"/>
  <c r="Y197" i="2"/>
  <c r="D11" i="2"/>
  <c r="D15" i="2"/>
  <c r="D19" i="2"/>
  <c r="D23" i="2"/>
  <c r="D27" i="2"/>
  <c r="D31" i="2"/>
  <c r="D35" i="2"/>
  <c r="D39" i="2"/>
  <c r="D43" i="2"/>
  <c r="D47" i="2"/>
  <c r="D51" i="2"/>
  <c r="D55" i="2"/>
  <c r="D59" i="2"/>
  <c r="D63" i="2"/>
  <c r="D67" i="2"/>
  <c r="D71" i="2"/>
  <c r="D77" i="2"/>
  <c r="D87" i="2"/>
  <c r="D93" i="2"/>
  <c r="D103" i="2"/>
  <c r="D109" i="2"/>
  <c r="D119" i="2"/>
  <c r="D125" i="2"/>
  <c r="D135" i="2"/>
  <c r="D141" i="2"/>
  <c r="D151" i="2"/>
  <c r="D157" i="2"/>
  <c r="D167" i="2"/>
  <c r="D173" i="2"/>
  <c r="D183" i="2"/>
  <c r="D189" i="2"/>
  <c r="D199" i="2"/>
  <c r="Y57" i="2"/>
  <c r="Y89" i="2"/>
  <c r="Y121" i="2"/>
  <c r="Y153" i="2"/>
  <c r="Y185" i="2"/>
  <c r="Z27" i="2"/>
  <c r="Z59" i="2"/>
  <c r="Z91" i="2"/>
  <c r="Z123" i="2"/>
  <c r="Z155" i="2"/>
  <c r="Z187" i="2"/>
  <c r="Y65" i="2"/>
  <c r="Y97" i="2"/>
  <c r="Y129" i="2"/>
  <c r="Y161" i="2"/>
  <c r="Y193" i="2"/>
  <c r="Z35" i="2"/>
  <c r="Z67" i="2"/>
  <c r="Z99" i="2"/>
  <c r="Z131" i="2"/>
  <c r="Z163" i="2"/>
  <c r="Z195" i="2"/>
  <c r="Z10" i="2"/>
  <c r="D10" i="2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T200" i="6"/>
  <c r="T199" i="6"/>
  <c r="T198" i="6"/>
  <c r="T197" i="6"/>
  <c r="T196" i="6"/>
  <c r="T195" i="6"/>
  <c r="T194" i="6"/>
  <c r="T193" i="6"/>
  <c r="T192" i="6"/>
  <c r="T191" i="6"/>
  <c r="T190" i="6"/>
  <c r="T189" i="6"/>
  <c r="T188" i="6"/>
  <c r="T187" i="6"/>
  <c r="T186" i="6"/>
  <c r="T185" i="6"/>
  <c r="T184" i="6"/>
  <c r="T183" i="6"/>
  <c r="T182" i="6"/>
  <c r="T181" i="6"/>
  <c r="T180" i="6"/>
  <c r="T179" i="6"/>
  <c r="T178" i="6"/>
  <c r="T177" i="6"/>
  <c r="T176" i="6"/>
  <c r="T175" i="6"/>
  <c r="T174" i="6"/>
  <c r="T173" i="6"/>
  <c r="T172" i="6"/>
  <c r="T171" i="6"/>
  <c r="T170" i="6"/>
  <c r="T169" i="6"/>
  <c r="T168" i="6"/>
  <c r="T167" i="6"/>
  <c r="T166" i="6"/>
  <c r="T165" i="6"/>
  <c r="T164" i="6"/>
  <c r="T163" i="6"/>
  <c r="T162" i="6"/>
  <c r="T161" i="6"/>
  <c r="T160" i="6"/>
  <c r="T159" i="6"/>
  <c r="T158" i="6"/>
  <c r="T157" i="6"/>
  <c r="T156" i="6"/>
  <c r="T155" i="6"/>
  <c r="T154" i="6"/>
  <c r="T153" i="6"/>
  <c r="T152" i="6"/>
  <c r="T151" i="6"/>
  <c r="T150" i="6"/>
  <c r="T149" i="6"/>
  <c r="T148" i="6"/>
  <c r="T14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W7" i="6"/>
  <c r="W5" i="6"/>
  <c r="L9" i="6" l="1"/>
  <c r="J9" i="6"/>
  <c r="I9" i="6"/>
  <c r="G9" i="6"/>
  <c r="D30" i="5" l="1"/>
  <c r="T5" i="6"/>
  <c r="L5" i="6"/>
  <c r="J5" i="6"/>
  <c r="I5" i="6"/>
  <c r="G5" i="6"/>
  <c r="E5" i="6"/>
  <c r="D5" i="6"/>
  <c r="B5" i="6"/>
  <c r="C9" i="6"/>
  <c r="R5" i="2" l="1"/>
  <c r="P5" i="2"/>
  <c r="N5" i="2"/>
  <c r="L5" i="2"/>
  <c r="K5" i="2"/>
  <c r="I5" i="2"/>
  <c r="G5" i="2"/>
  <c r="F5" i="2"/>
  <c r="B5" i="2"/>
  <c r="Z5" i="2" s="1"/>
  <c r="V5" i="2"/>
  <c r="D5" i="2" l="1"/>
  <c r="Y5" i="2"/>
</calcChain>
</file>

<file path=xl/sharedStrings.xml><?xml version="1.0" encoding="utf-8"?>
<sst xmlns="http://schemas.openxmlformats.org/spreadsheetml/2006/main" count="6938" uniqueCount="1681">
  <si>
    <t>Proxy?</t>
  </si>
  <si>
    <t>Endereço:</t>
  </si>
  <si>
    <t>Porta:</t>
  </si>
  <si>
    <t>Usuário:</t>
  </si>
  <si>
    <t>Senha:</t>
  </si>
  <si>
    <t>Servidor:</t>
  </si>
  <si>
    <t>Usuário (e-mail):</t>
  </si>
  <si>
    <t>Debug</t>
  </si>
  <si>
    <t>Debug detalhado?</t>
  </si>
  <si>
    <t>Não</t>
  </si>
  <si>
    <t>QUERY CODE</t>
  </si>
  <si>
    <t>QUERY FILTER</t>
  </si>
  <si>
    <t>First row</t>
  </si>
  <si>
    <t>First Column</t>
  </si>
  <si>
    <t>Last Column</t>
  </si>
  <si>
    <t>all_info_tarefas_proj</t>
  </si>
  <si>
    <t>all_info_departamento</t>
  </si>
  <si>
    <t>all_user_lov2</t>
  </si>
  <si>
    <t>all_user_lov1</t>
  </si>
  <si>
    <t>all_info_periodo_fiscal</t>
  </si>
  <si>
    <t>all_info_chargecode</t>
  </si>
  <si>
    <t>all_info_recursos</t>
  </si>
  <si>
    <t>all_info_classe_transacao</t>
  </si>
  <si>
    <t>.</t>
  </si>
  <si>
    <t>CENTRALIZADO</t>
  </si>
  <si>
    <t>Código do Projeto</t>
  </si>
  <si>
    <t>ID_INVESTIMENTO</t>
  </si>
  <si>
    <t>TAREFA</t>
  </si>
  <si>
    <t>TASK_ID</t>
  </si>
  <si>
    <t>RECURSO</t>
  </si>
  <si>
    <t>RESOURCE_ID</t>
  </si>
  <si>
    <t>RESOURCE TRANSCLASS</t>
  </si>
  <si>
    <t>ID TIPO CUSTO
Código de encargo
Charge Code</t>
  </si>
  <si>
    <t>TIPO CLASSE DE TRANSAÇÃO</t>
  </si>
  <si>
    <t>ID CLASSE DE TRANSAÇÃO
Transclass</t>
  </si>
  <si>
    <t>TIPO CLASSE DE TRANSAÇÃO
Trans Type</t>
  </si>
  <si>
    <t>CÓDIGO DE ENTRADA</t>
  </si>
  <si>
    <t>ID COD ETAPA
Cód tipo de entrada
Type Code</t>
  </si>
  <si>
    <t>ESTABELECIMENTO</t>
  </si>
  <si>
    <t>ID ESTAB
VALOR 1 USR</t>
  </si>
  <si>
    <t>FORNECEDOR</t>
  </si>
  <si>
    <t>ID FORN
VALOR 2 USR</t>
  </si>
  <si>
    <t>DATA DA TRANSAÇÃO</t>
  </si>
  <si>
    <t>QUANTIDADE</t>
  </si>
  <si>
    <t>CUSTO UNITÁRIO</t>
  </si>
  <si>
    <t>CUSTO TOTAL</t>
  </si>
  <si>
    <t>OBSERVAÇÕES</t>
  </si>
  <si>
    <t>ENVIADO COM SUCESSO?</t>
  </si>
  <si>
    <t>2016-08-26_10:54 - -------------Início da exportação transações de projeto-------------</t>
  </si>
  <si>
    <t>2016-08-26_10:54 - Arquivo xog sendo gravado em: C:\xog_rumo_all_financial\xog_transaction_lote_20160826_105402.xml</t>
  </si>
  <si>
    <t>2016-08-26_10:54 - -------------Fim da exportação transações de projeto-------------</t>
  </si>
  <si>
    <t>2016-08-26_10:54 - Arquivo xog sendo gravado em: C:\xog_rumo_all_financial\xog_transaction_lote_20160826_105404.xml</t>
  </si>
  <si>
    <t>2016-08-26_10:54 - Proxy identificado</t>
  </si>
  <si>
    <t>2016-08-26_10:54 - Ambiente selecionado: DEV</t>
  </si>
  <si>
    <t>2016-08-26_10:54 - Escrevendo tarefas...</t>
  </si>
  <si>
    <t>2016-08-26_10:56 - Proxy identificado</t>
  </si>
  <si>
    <t>2016-08-26_10:56 - Ambiente selecionado: DEV</t>
  </si>
  <si>
    <t>2016-08-26_10:56 - Escrevendo tarefas...</t>
  </si>
  <si>
    <t>2016-08-26_10:56 - Escrevendo locais...</t>
  </si>
  <si>
    <t>2016-08-26_10:56 - Escrevendo períodos...</t>
  </si>
  <si>
    <t>2016-08-26_10:56 - Escrevendo fornecedores...</t>
  </si>
  <si>
    <t>2016-08-26_10:56 - Escrevendo departamentos...</t>
  </si>
  <si>
    <t>2016-08-26_10:56 - Escrevendo centros de custo...</t>
  </si>
  <si>
    <t>2016-08-26_10:56 - Escrevendo recursos e classes de transacao...</t>
  </si>
  <si>
    <t>2016-08-26_10:56 - Escrevendo classes de transacao...</t>
  </si>
  <si>
    <t>all_cc_all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</si>
  <si>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&lt;Code&gt;all_info_classe_transacao&lt;/Code&gt;
      &lt;Records&gt;
        &lt;Record&gt;
          &lt;classe_tran_id&gt;AMVs&lt;/classe_tran_id&gt;
          &lt;classe_tran&gt;Aparelho de Mudança de Via&lt;/classe_tran&gt;
          &lt;transtype&gt;M&lt;/transtype&gt;
        &lt;/Record&gt;
        &lt;Record&gt;
          &lt;classe_tran_id&gt;ATIVOS&lt;/classe_tran_id&gt;
          &lt;classe_tran&gt;Ativos&lt;/classe_tran&gt;
          &lt;transtype&gt;X&lt;/transtype&gt;
        &lt;/Record&gt;
        &lt;Record&gt;
          &lt;classe_tran_id&gt;CUSTO1&lt;/classe_tran_id&gt;
          &lt;classe_tran&gt;Custo 1&lt;/classe_tran&gt;
          &lt;transtype&gt;X&lt;/transtype&gt;
        &lt;/Record&gt;
        &lt;Record&gt;
          &lt;classe_tran_id&gt;CUSTO10&lt;/classe_tran_id&gt;
          &lt;classe_tran&gt;Custo 10&lt;/classe_tran&gt;
          &lt;transtype&gt;X&lt;/transtype&gt;
        &lt;/Record&gt;
        &lt;Record&gt;
          &lt;classe_tran_id&gt;CUSTO2&lt;/classe_tran_id&gt;
          &lt;classe_tran&gt;Custo 2&lt;/classe_tran&gt;
          &lt;transtype&gt;X&lt;/transtype&gt;
        &lt;/Record&gt;
        &lt;Record&gt;
          &lt;classe_tran_id&gt;CUSTO3&lt;/classe_tran_id&gt;
          &lt;classe_tran&gt;Custo 3&lt;/classe_tran&gt;
          &lt;transtype&gt;X&lt;/transtype&gt;
        &lt;/Record&gt;
        &lt;Record&gt;
          &lt;classe_tran_id&gt;CUSTO4&lt;/classe_tran_id&gt;
          &lt;classe_tran&gt;Custo 4&lt;/classe_tran&gt;
          &lt;transtype&gt;X&lt;/transtype&gt;
        &lt;/Record&gt;
        &lt;Record&gt;
          &lt;classe_tran_id&gt;CUSTO5&lt;/classe_tran_id&gt;
          &lt;classe_tran&gt;Custo 5&lt;/classe_tran&gt;
          &lt;transtype&gt;X&lt;/transtype&gt;
        &lt;/Record&gt;
        &lt;Record&gt;
          &lt;classe_tran_id&gt;CUSTO6&lt;/classe_tran_id&gt;
          &lt;classe_tran&gt;Custo 6&lt;/classe_tran&gt;
          &lt;transtype&gt;X&lt;/transtype&gt;
        &lt;/Record&gt;
        &lt;Record&gt;
          &lt;classe_tran_id&gt;CUSTO7&lt;/classe_tran_id&gt;
          &lt;classe_tran&gt;Custo 7&lt;/classe_tran&gt;
          &lt;transtype&gt;X&lt;/transtype&gt;
        &lt;/Record&gt;
        &lt;Record&gt;
          &lt;classe_tran_id&gt;CUSTO8&lt;/classe_tran_id&gt;
          &lt;classe_tran&gt;Custo 8&lt;/classe_tran&gt;
          &lt;transtype&gt;X&lt;/transtype&gt;
        &lt;/Record&gt;
        &lt;Record&gt;
          &lt;classe_tran_id&gt;CUSTO9&lt;/classe_tran_id&gt;
          &lt;classe_tran&gt;Custo 9&lt;/classe_tran&gt;
          &lt;transtype&gt;X&lt;/transtype&gt;
        &lt;/Record&gt;
        &lt;Record&gt;
          &lt;classe_tran_id&gt;Dormente&lt;/classe_tran_id&gt;
          &lt;classe_tran&gt;Material de Infra&lt;/classe_tran&gt;
          &lt;transtype&gt;M&lt;/transtype&gt;
        &lt;/Record&gt;
        &lt;Record&gt;
          &lt;classe_tran_id&gt;EQUIP&lt;/classe_tran_id&gt;
          &lt;classe_tran&gt;Equipamento&lt;/classe_tran&gt;
          &lt;transtype&gt;Q&lt;/transtype&gt;
        &lt;/Record&gt;
        &lt;Record&gt;
          &lt;classe_tran_id&gt;EXIGÊNC.&lt;/classe_tran_id&gt;
          &lt;classe_tran&gt;Exigências&lt;/classe_tran&gt;
          &lt;transtype&gt;X&lt;/transtype&gt;
        &lt;/Record&gt;
        &lt;Record&gt;
          &lt;classe_tran_id&gt;INFRA&lt;/classe_tran_id&gt;
          &lt;classe_tran&gt;Serviços de Infraestrutura&lt;/classe_tran&gt;
          &lt;transtype&gt;X&lt;/transtype&gt;
        &lt;/Record&gt;
        &lt;Record&gt;
          &lt;classe_tran_id&gt;INFRAEST&lt;/classe_tran_id&gt;
          &lt;classe_tran&gt;Infraestrutura - Material&lt;/classe_tran&gt;
          &lt;transtype&gt;M&lt;/transtype&gt;
        &lt;/Record&gt;
        &lt;Record&gt;
          &lt;classe_tran_id&gt;INTLABOR&lt;/classe_tran_id&gt;
          &lt;classe_tran&gt;Mão-de-obra interna&lt;/classe_tran&gt;
          &lt;transtype&gt;L&lt;/transtype&gt;
        &lt;/Record&gt;
        &lt;Record&gt;
          &lt;classe_tran_id&gt;Lastro&lt;/classe_tran_id&gt;
          &lt;classe_tran&gt;Lastro - Material&lt;/classe_tran&gt;
          &lt;transtype&gt;M&lt;/transtype&gt;
        &lt;/Record&gt;
        &lt;Record&gt;
          &lt;classe_tran_id&gt;LOGI&lt;/classe_tran_id&gt;
          &lt;classe_tran&gt;Logística&lt;/classe_tran&gt;
          &lt;transtype&gt;X&lt;/transtype&gt;
        &lt;/Record&gt;
        &lt;Record&gt;
          &lt;classe_tran_id&gt;MAT&lt;/classe_tran_id&gt;
          &lt;classe_tran&gt;Material&lt;/classe_tran&gt;
          &lt;transtype&gt;X&lt;/transtype&gt;
        &lt;/Record&gt;
        &lt;Record&gt;
          &lt;classe_tran_id&gt;MATERIAL&lt;/classe_tran_id&gt;
          &lt;classe_tran&gt;Material&lt;/classe_tran&gt;
          &lt;transtype&gt;M&lt;/transtype&gt;
        &lt;/Record&gt;
        &lt;Record&gt;
          &lt;classe_tran_id&gt;Metálico&lt;/classe_tran_id&gt;
          &lt;classe_tran&gt;Metalicos - Material&lt;/classe_tran&gt;
          &lt;transtype&gt;M&lt;/transtype&gt;
        &lt;/Record&gt;
        &lt;Record&gt;
          &lt;classe_tran_id&gt;MOP&lt;/classe_tran_id&gt;
          &lt;classe_tran&gt;Mão de Obra - Próprio&lt;/classe_tran&gt;
          &lt;transtype&gt;X&lt;/transtype&gt;
        &lt;/Record&gt;
        &lt;Record&gt;
          &lt;classe_tran_id&gt;MOT&lt;/classe_tran_id&gt;
          &lt;classe_tran&gt;Mão de Obra -Terceiro&lt;/classe_tran&gt;
          &lt;transtype&gt;X&lt;/transtype&gt;
        &lt;/Record&gt;
        &lt;Record&gt;
          &lt;classe_tran_id&gt;OAE&lt;/classe_tran_id&gt;
          &lt;classe_tran&gt;Obra de Arte Especial&lt;/classe_tran&gt;
          &lt;transtype&gt;X&lt;/transtype&gt;
        &lt;/Record&gt;
        &lt;Record&gt;
          &lt;classe_tran_id&gt;OUT&lt;/classe_tran_id&gt;
          &lt;classe_tran&gt;Outros&lt;/classe_tran&gt;
          &lt;transtype&gt;X&lt;/transtype&gt;
        &lt;/Record&gt;
        &lt;Record&gt;
          &lt;classe_tran_id&gt;SERV&lt;/classe_tran_id&gt;
          &lt;classe_tran&gt;Serviços&lt;/classe_tran&gt;
          &lt;transtype&gt;X&lt;/transtype&gt;
        &lt;/Record&gt;
        &lt;Record&gt;
          &lt;classe_tran_id&gt;SUPER&lt;/classe_tran_id&gt;
          &lt;classe_tran&gt;Serviços de Superestrutura&lt;/classe_tran&gt;
          &lt;transtype&gt;X&lt;/transtype&gt;
        &lt;/Record&gt;
        &lt;Record&gt;
          &lt;classe_tran_id&gt;SUPEREST&lt;/classe_tran_id&gt;
          &lt;classe_tran&gt;Superestrutura - Material&lt;/classe_tran&gt;
          &lt;transtype&gt;M&lt;/transtype&gt;
        &lt;/Record&gt;
        &lt;Record&gt;
          &lt;classe_tran_id&gt;TILICSOF&lt;/classe_tran_id&gt;
          &lt;classe_tran&gt;Licenças e Softwares&lt;/classe_tran&gt;
          &lt;transtype&gt;X&lt;/transtype&gt;
        &lt;/Record&gt;
        &lt;Record&gt;
          &lt;classe_tran_id&gt;Trilho&lt;/classe_tran_id&gt;
          &lt;classe_tran&gt;Trilho - Material&lt;/classe_tran&gt;
          &lt;transtype&gt;M&lt;/transtype&gt;
        &lt;/Record&gt;
        &lt;Record&gt;
          &lt;classe_tran_id&gt;VIAGEM&lt;/classe_tran_id&gt;
          &lt;classe_tran&gt;Viagem&lt;/classe_tran&gt;
          &lt;transtype&gt;X&lt;/transtype&gt;
        &lt;/Record&gt;
      &lt;/Records&gt;
      &lt;Slice&gt;
        &lt;Number&gt;0&lt;/Number&gt;
        &lt;Size&gt;33&lt;/Size&gt;
        &lt;Total&gt;33&lt;/Total&gt;
      &lt;/Slice&gt;
    &lt;/QueryResult&gt;
  &lt;/soapenv:Body&gt;
&lt;/soapenv:Envelope&gt;
</t>
  </si>
  <si>
    <t>INV_NAME</t>
  </si>
  <si>
    <t>TASK_NAME</t>
  </si>
  <si>
    <t>CONCATENATE</t>
  </si>
  <si>
    <t>DEPARTAMENTO</t>
  </si>
  <si>
    <t>ID_DEPARTAMENTO</t>
  </si>
  <si>
    <t>ID_FORNECEDOR</t>
  </si>
  <si>
    <t>ID_ESTABELECIMENTO</t>
  </si>
  <si>
    <t>ID_PERIODO</t>
  </si>
  <si>
    <t>PERIODO</t>
  </si>
  <si>
    <t>PERIODO_INICIO</t>
  </si>
  <si>
    <t>PERIODO_FIM</t>
  </si>
  <si>
    <t>COD_ENCARGO</t>
  </si>
  <si>
    <t>ID_COD_ENCARGO</t>
  </si>
  <si>
    <t>ID_RECURSO</t>
  </si>
  <si>
    <t>CLASSE_TRANSACAO</t>
  </si>
  <si>
    <t>TIPO_TRANSACAO</t>
  </si>
  <si>
    <t>ID_CLASSE_TRANSACAO</t>
  </si>
  <si>
    <t>TIPO CLASSE TRANSAÇÃO</t>
  </si>
  <si>
    <t>2016-08-26_10:59 - Proxy identificado</t>
  </si>
  <si>
    <t>2016-08-26_10:59 - Ambiente selecionado: DEV</t>
  </si>
  <si>
    <t>2016-08-26_10:59 - Escrevendo tarefas...</t>
  </si>
  <si>
    <t>2016-08-26_10:59 - Escrevendo locais...</t>
  </si>
  <si>
    <t>2016-08-26_10:59 - Escrevendo períodos...</t>
  </si>
  <si>
    <t>2016-08-26_10:59 - Escrevendo fornecedores...</t>
  </si>
  <si>
    <t>2016-08-26_10:59 - Escrevendo departamentos...</t>
  </si>
  <si>
    <t>2016-08-26_10:59 - Escrevendo centros de custo...</t>
  </si>
  <si>
    <t>2016-08-26_10:59 - Escrevendo recursos e classes de transacao...</t>
  </si>
  <si>
    <t>2016-08-26_10:59 - Escrevendo classes de transacao...</t>
  </si>
  <si>
    <t>2016-08-26_11:00 - Proxy identificado</t>
  </si>
  <si>
    <t>2016-08-26_11:00 - Ambiente selecionado: DEV</t>
  </si>
  <si>
    <t>2016-08-26_11:00 - Escrevendo tarefas...</t>
  </si>
  <si>
    <t>2016-08-26_11:00 - Escrevendo locais...</t>
  </si>
  <si>
    <t>2016-08-26_11:00 - Escrevendo períodos...</t>
  </si>
  <si>
    <t>2016-08-26_11:00 - Escrevendo fornecedores...</t>
  </si>
  <si>
    <t>2016-08-26_11:00 - Escrevendo departamentos...</t>
  </si>
  <si>
    <t>2016-08-26_11:00 - Escrevendo centros de custo...</t>
  </si>
  <si>
    <t>2016-08-26_11:00 - Escrevendo recursos e classes de transacao...</t>
  </si>
  <si>
    <t>2016-08-26_11:00 - Escrevendo classes de transacao...</t>
  </si>
  <si>
    <t>2016-08-26_11:01 - Escrevendo classes de transacao...</t>
  </si>
  <si>
    <t>2016-08-26_11:01 - Proxy identificado</t>
  </si>
  <si>
    <t>2016-08-26_11:01 - Ambiente selecionado: DEV</t>
  </si>
  <si>
    <t>2016-08-26_11:01 - Escrevendo tarefas...</t>
  </si>
  <si>
    <t>2016-08-26_11:01 - Escrevendo locais...</t>
  </si>
  <si>
    <t>2016-08-26_11:01 - Escrevendo períodos...</t>
  </si>
  <si>
    <t>2016-08-26_11:01 - Escrevendo fornecedores...</t>
  </si>
  <si>
    <t>2016-08-26_11:01 - Escrevendo departamentos...</t>
  </si>
  <si>
    <t>2016-08-26_11:01 - Escrevendo centros de custo...</t>
  </si>
  <si>
    <t>2016-08-26_11:01 - Escrevendo recursos e classes de transacao...</t>
  </si>
  <si>
    <t>CÓDIGO DE ENCARGO</t>
  </si>
  <si>
    <t>2016-08-26_11:06 - -------------Início da exportação transações de projeto-------------</t>
  </si>
  <si>
    <t>2016-08-26_11:06 - Arquivo xog sendo gravado em: C:\xog_rumo_all_financial\xog_transaction_lote_20160826_110603.xml</t>
  </si>
  <si>
    <t>2016-08-26_11:06 - -------------Fim da exportação transações de projeto-------------</t>
  </si>
  <si>
    <t>2016-08-26_11:06 - Arquivo xog sendo gravado em: C:\xog_rumo_all_financial\xog_transaction_lote_20160826_110605.xml</t>
  </si>
  <si>
    <t>2016-08-26_11:07 - -------------Início da exportação transações de projeto-------------</t>
  </si>
  <si>
    <t>2016-08-26_11:07 - Arquivo xog sendo gravado em: C:\xog_rumo_all_financial\xog_transaction_lote_20160826_110756.xml</t>
  </si>
  <si>
    <t>2016-08-26_11:07 - Proxy identificado</t>
  </si>
  <si>
    <t>2016-08-26_11:07 - Ambiente selecionado: DEV</t>
  </si>
  <si>
    <t>2016-08-26_11:07 -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</si>
  <si>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2016-08-26_11:07 - Enviando requisição de login</t>
  </si>
  <si>
    <t>2016-08-26_11:07 - Login realizado. SessionID capturado: 9365206__C8238F9C-2890-4A17-BD2A-272EB0C33757</t>
  </si>
  <si>
    <t>2016-08-26_11:07 - Chamando mensagem de requisição</t>
  </si>
  <si>
    <t>2016-08-26_11:07 - Capturando resultado final</t>
  </si>
  <si>
    <t>2016-08-26_11:07 - Efetuando logout</t>
  </si>
  <si>
    <t>2016-08-26_11:07 - Logout realizado</t>
  </si>
  <si>
    <t>2016-08-26_11:07 - -------------Fim da exportação transações de projeto-------------</t>
  </si>
  <si>
    <t>2016-08-26_11:08 - -------------Início da exportação transações de projeto-------------</t>
  </si>
  <si>
    <t>2016-08-26_11:08 - Arquivo xog sendo gravado em: C:\xog_rumo_all_financial\xog_transaction_lote_20160826_110800.xml</t>
  </si>
  <si>
    <t>2016-08-26_11:08 - Proxy identificado</t>
  </si>
  <si>
    <t>2016-08-26_11:08 - Ambiente selecionado: DEV</t>
  </si>
  <si>
    <t>2016-08-26_11:08 -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</si>
  <si>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2016-08-26_11:08 - Enviando requisição de login</t>
  </si>
  <si>
    <t>2016-08-26_11:08 - Login realizado. SessionID capturado: 9365207__A8BC0300-3718-4EBE-AAA8-B919560098BC</t>
  </si>
  <si>
    <t>2016-08-26_11:08 - Chamando mensagem de requisição</t>
  </si>
  <si>
    <t>2016-08-26_11:08 - Capturando resultado final</t>
  </si>
  <si>
    <t>2016-08-26_11:08 - Efetuando logout</t>
  </si>
  <si>
    <t>2016-08-26_11:08 - Logout realizado</t>
  </si>
  <si>
    <t>2016-08-26_11:08 - -------------Fim da exportação transações de projeto-------------</t>
  </si>
  <si>
    <t>2016-08-26_11:12 - -------------Início da exportação transações de projeto-------------</t>
  </si>
  <si>
    <t>2016-08-26_11:12 - Arquivo xog sendo gravado em: C:\xog_rumo_all_financial\xog_transaction_lote_20160826_111210.xml</t>
  </si>
  <si>
    <t>2016-08-26_11:12 - Proxy identificado</t>
  </si>
  <si>
    <t>2016-08-26_11:12 - Ambiente selecionado: DEV</t>
  </si>
  <si>
    <t>2016-08-26_11:12 -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</si>
  <si>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2016-08-26_11:12 - Enviando requisição de login</t>
  </si>
  <si>
    <t>2016-08-26_11:12 - Login realizado. SessionID capturado: 9365210__39699FAE-40F5-4952-A90E-ACB6F79EE257</t>
  </si>
  <si>
    <t>2016-08-26_11:12 - Chamando mensagem de requisição</t>
  </si>
  <si>
    <t>2016-08-26_11:12 - Capturando resultado final</t>
  </si>
  <si>
    <t>2016-08-26_11:12 - Efetuando logout</t>
  </si>
  <si>
    <t>2016-08-26_11:12 - Logout realizado</t>
  </si>
  <si>
    <t>2016-08-26_11:12 - -------------Fim da exportação transações de projeto-------------</t>
  </si>
  <si>
    <t>2016-08-26_11:12 - Arquivo xog sendo gravado em: C:\xog_rumo_all_financial\xog_transaction_lote_20160826_111214.xml</t>
  </si>
  <si>
    <t>2016-08-26_11:12 - Login realizado. SessionID capturado: 9365211__03EF9C9B-BDDC-44D7-9449-21170F366A4A</t>
  </si>
  <si>
    <t>2016-08-26_11:15 - Proxy identificado</t>
  </si>
  <si>
    <t>2016-08-26_11:15 - Ambiente selecionado: DEV</t>
  </si>
  <si>
    <t>2016-08-26_11:15 - Escrevendo tarefas...</t>
  </si>
  <si>
    <t>2016-08-26_11:15 - Escrevendo locais...</t>
  </si>
  <si>
    <t>2016-08-26_11:15 - Escrevendo períodos...</t>
  </si>
  <si>
    <t>2016-08-26_11:15 - Escrevendo fornecedores...</t>
  </si>
  <si>
    <t>2016-08-26_11:15 - Escrevendo departamentos...</t>
  </si>
  <si>
    <t>2016-08-26_11:15 - Escrevendo centros de custo...</t>
  </si>
  <si>
    <t>2016-08-26_11:15 - Escrevendo recursos e classes de transacao...</t>
  </si>
  <si>
    <t>2016-08-26_11:15 - Escrevendo classes de transacao...</t>
  </si>
  <si>
    <t>2016-08-26_11:16 - Proxy identificado</t>
  </si>
  <si>
    <t>2016-08-26_11:16 - Ambiente selecionado: DEV</t>
  </si>
  <si>
    <t>2016-08-26_11:17 - -------------Início da exportação transações de projeto-------------</t>
  </si>
  <si>
    <t>2016-08-26_11:17 - Arquivo xog sendo gravado em: C:\xog_rumo_all_financial\xog_transaction_lote_20160826_111738.xml</t>
  </si>
  <si>
    <t>2016-08-26_11:17 - Proxy identificado</t>
  </si>
  <si>
    <t>2016-08-26_11:17 - Ambiente selecionado: DEV</t>
  </si>
  <si>
    <t>2016-08-26_11:17 -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</si>
  <si>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2016-08-26_11:17 - Enviando requisição de login</t>
  </si>
  <si>
    <t>2016-08-26_11:17 - Login realizado. SessionID capturado: 9365221__FC30CD44-C26E-423E-ADE1-63717ABF33F1</t>
  </si>
  <si>
    <t>2016-08-26_11:17 - Chamando mensagem de requisição</t>
  </si>
  <si>
    <t>2016-08-26_11:17 - Capturando resultado final</t>
  </si>
  <si>
    <t>2016-08-26_11:17 - Efetuando logout</t>
  </si>
  <si>
    <t>2016-08-26_11:17 - Logout realizado</t>
  </si>
  <si>
    <t>2016-08-26_11:17 - -------------Fim da exportação transações de projeto-------------</t>
  </si>
  <si>
    <t>2016-08-26_11:17 - Arquivo xog sendo gravado em: C:\xog_rumo_all_financial\xog_transaction_lote_20160826_111741.xml</t>
  </si>
  <si>
    <t>2016-08-26_11:17 - Login realizado. SessionID capturado: 9365222__CFD121C3-C11A-46A2-9B70-518577F04DFA</t>
  </si>
  <si>
    <t>NOME DO PROJETO:</t>
  </si>
  <si>
    <t>2016-08-26_13:59 - Proxy identificado</t>
  </si>
  <si>
    <t>2016-08-26_13:59 - Ambiente selecionado: DEV</t>
  </si>
  <si>
    <t>2016-08-26_13:59 - Escrevendo tarefas...</t>
  </si>
  <si>
    <t>2016-08-26_13:59 - Escrevendo locais...</t>
  </si>
  <si>
    <t>2016-08-26_13:59 - Escrevendo períodos...</t>
  </si>
  <si>
    <t>2016-08-26_13:59 - Escrevendo fornecedores...</t>
  </si>
  <si>
    <t>2016-08-26_13:59 - Escrevendo departamentos...</t>
  </si>
  <si>
    <t>2016-08-26_13:59 - Escrevendo centros de custo...</t>
  </si>
  <si>
    <t>2016-08-26_13:59 - Escrevendo recursos e classes de transacao...</t>
  </si>
  <si>
    <t>2016-08-26_13:59 - Escrevendo classes de transacao...</t>
  </si>
  <si>
    <t>2016-08-26_14:03 - Proxy identificado</t>
  </si>
  <si>
    <t>2016-08-26_14:03 - Ambiente selecionado: DEV</t>
  </si>
  <si>
    <t>2016-08-26_14:04 - Escrevendo tarefas...</t>
  </si>
  <si>
    <t>2016-08-26_14:04 - Escrevendo locais...</t>
  </si>
  <si>
    <t>all_info_task_proj</t>
  </si>
  <si>
    <t>2016-08-26_14:05 - Proxy identificado</t>
  </si>
  <si>
    <t>2016-08-26_14:05 - Ambiente selecionado: DEV</t>
  </si>
  <si>
    <t>2016-08-26_14:05 - Escrevendo tarefas...</t>
  </si>
  <si>
    <t>2016-08-26_14:05 - Escrevendo locais...</t>
  </si>
  <si>
    <t>2016-08-26_14:05 - Escrevendo períodos...</t>
  </si>
  <si>
    <t>2016-08-26_14:05 - Escrevendo fornecedores...</t>
  </si>
  <si>
    <t>2016-08-26_14:05 - Escrevendo departamentos...</t>
  </si>
  <si>
    <t>2016-08-26_14:05 - Escrevendo centros de custo...</t>
  </si>
  <si>
    <t>2016-08-26_14:05 - Escrevendo recursos e classes de transacao...</t>
  </si>
  <si>
    <t>2016-08-26_14:05 - Escrevendo classes de transacao...</t>
  </si>
  <si>
    <t>2016-08-26_14:06 - Escrevendo tarefas...</t>
  </si>
  <si>
    <t>2016-08-26_14:06 - Escrevendo locais...</t>
  </si>
  <si>
    <t>2016-08-26_14:06 - Escrevendo períodos...</t>
  </si>
  <si>
    <t>2016-08-26_14:06 - Escrevendo fornecedores...</t>
  </si>
  <si>
    <t>2016-08-26_14:06 - Escrevendo departamentos...</t>
  </si>
  <si>
    <t>2016-08-26_14:06 - Escrevendo centros de custo...</t>
  </si>
  <si>
    <t>2016-08-26_14:06 - Escrevendo recursos e classes de transacao...</t>
  </si>
  <si>
    <t>2016-08-26_14:06 - Escrevendo classes de transacao...</t>
  </si>
  <si>
    <t>2016-08-26_14:06 - Proxy identificado</t>
  </si>
  <si>
    <t>2016-08-26_14:06 - Ambiente selecionado: DEV</t>
  </si>
  <si>
    <t>2016-08-26_14:25 - Proxy identificado</t>
  </si>
  <si>
    <t>2016-08-26_14:25 - Ambiente selecionado: DEV</t>
  </si>
  <si>
    <t>2016-08-26_14:25 - Escrevendo tarefas...</t>
  </si>
  <si>
    <t>2016-08-26_14:25 - Escrevendo locais...</t>
  </si>
  <si>
    <t>2016-08-26_14:25 - Escrevendo períodos...</t>
  </si>
  <si>
    <t>2016-08-26_14:25 - Escrevendo fornecedores...</t>
  </si>
  <si>
    <t>2016-08-26_14:25 - Escrevendo departamentos...</t>
  </si>
  <si>
    <t>2016-08-26_14:25 - Escrevendo centros de custo...</t>
  </si>
  <si>
    <t>2016-08-26_14:25 - Escrevendo recursos e classes de transacao...</t>
  </si>
  <si>
    <t>2016-08-26_14:25 - Escrevendo classes de transacao...</t>
  </si>
  <si>
    <t>2016-08-26_14:31 - Proxy identificado</t>
  </si>
  <si>
    <t>2016-08-26_14:31 - Ambiente selecionado: DEV</t>
  </si>
  <si>
    <t>2016-08-26_14:31 - Escrevendo tarefas...</t>
  </si>
  <si>
    <t>2016-08-26_14:31 - Escrevendo locais...</t>
  </si>
  <si>
    <t>2016-08-26_14:31 - Escrevendo períodos...</t>
  </si>
  <si>
    <t>2016-08-26_14:31 - Escrevendo fornecedores...</t>
  </si>
  <si>
    <t>2016-08-26_14:31 - Escrevendo departamentos...</t>
  </si>
  <si>
    <t>2016-08-26_14:31 - Escrevendo centros de custo...</t>
  </si>
  <si>
    <t>2016-08-26_14:31 - Escrevendo recursos e classes de transacao...</t>
  </si>
  <si>
    <t>2016-08-26_14:31 - Escrevendo classes de transacao...</t>
  </si>
  <si>
    <t>2016-08-26_14:37 - Proxy identificado</t>
  </si>
  <si>
    <t>2016-08-26_14:37 - Ambiente selecionado: DEV</t>
  </si>
  <si>
    <t>2016-08-26_14:37 - Escrevendo tarefas...</t>
  </si>
  <si>
    <t>2016-08-26_14:37 - Escrevendo locais...</t>
  </si>
  <si>
    <t>2016-08-26_14:37 - Escrevendo períodos...</t>
  </si>
  <si>
    <t>2016-08-26_14:37 - Escrevendo fornecedores...</t>
  </si>
  <si>
    <t>2016-08-26_14:37 - Escrevendo departamentos...</t>
  </si>
  <si>
    <t>2016-08-26_14:37 - Escrevendo centros de custo...</t>
  </si>
  <si>
    <t>2016-08-26_14:37 - Escrevendo recursos e classes de transacao...</t>
  </si>
  <si>
    <t>2016-08-26_14:37 - Escrevendo classes de transacao...</t>
  </si>
  <si>
    <t>2016-08-26_14:38 - Proxy identificado</t>
  </si>
  <si>
    <t>2016-08-26_14:38 - Ambiente selecionado: DEV</t>
  </si>
  <si>
    <t>2016-08-26_14:38 - Escrevendo tarefas...</t>
  </si>
  <si>
    <t>2016-08-26_14:38 - Escrevendo locais...</t>
  </si>
  <si>
    <t>2016-08-26_14:38 - Escrevendo períodos...</t>
  </si>
  <si>
    <t>2016-08-26_14:38 - Escrevendo fornecedores...</t>
  </si>
  <si>
    <t>2016-08-26_14:38 - Escrevendo departamentos...</t>
  </si>
  <si>
    <t>2016-08-26_14:38 - Escrevendo centros de custo...</t>
  </si>
  <si>
    <t>2016-08-26_14:38 - Escrevendo recursos e classes de transacao...</t>
  </si>
  <si>
    <t>2016-08-26_14:38 - Escrevendo classes de transacao...</t>
  </si>
  <si>
    <t>2016-08-26_14:42 - Proxy identificado</t>
  </si>
  <si>
    <t>2016-08-26_14:42 - Ambiente selecionado: DEV</t>
  </si>
  <si>
    <t>2016-08-26_14:42 - Escrevendo tarefas...</t>
  </si>
  <si>
    <t>2016-08-26_14:42 - Escrevendo locais...</t>
  </si>
  <si>
    <t>2016-08-26_14:42 - Escrevendo períodos...</t>
  </si>
  <si>
    <t>2016-08-26_14:42 - Escrevendo fornecedores...</t>
  </si>
  <si>
    <t>2016-08-26_14:42 - Escrevendo departamentos...</t>
  </si>
  <si>
    <t>2016-08-26_14:42 - Escrevendo centros de custo...</t>
  </si>
  <si>
    <t>2016-08-26_14:42 - Escrevendo recursos e classes de transacao...</t>
  </si>
  <si>
    <t>2016-08-26_14:42 - Escrevendo classes de transacao...</t>
  </si>
  <si>
    <t>2016-08-26_14:44 - Escrevendo classes de transacao...</t>
  </si>
  <si>
    <t>2016-08-26_14:44 - Proxy identificado</t>
  </si>
  <si>
    <t>2016-08-26_14:44 - Ambiente selecionado: DEV</t>
  </si>
  <si>
    <t>2016-08-26_14:44 - Escrevendo tarefas...</t>
  </si>
  <si>
    <t>2016-08-26_14:44 - Escrevendo locais...</t>
  </si>
  <si>
    <t>2016-08-26_14:44 - Escrevendo períodos...</t>
  </si>
  <si>
    <t>2016-08-26_14:44 - Escrevendo fornecedores...</t>
  </si>
  <si>
    <t>2016-08-26_14:44 - Escrevendo departamentos...</t>
  </si>
  <si>
    <t>2016-08-26_14:44 - Escrevendo centros de custo...</t>
  </si>
  <si>
    <t>2016-08-26_14:44 - Escrevendo recursos e classes de transacao...</t>
  </si>
  <si>
    <t>2016-08-26_14:45 - Proxy identificado</t>
  </si>
  <si>
    <t>2016-08-26_14:45 - Ambiente selecionado: DEV</t>
  </si>
  <si>
    <t>2016-08-26_14:45 - Escrevendo tarefas...</t>
  </si>
  <si>
    <t>2016-08-26_14:45 - Escrevendo locais...</t>
  </si>
  <si>
    <t>2016-08-26_14:45 - Escrevendo períodos...</t>
  </si>
  <si>
    <t>2016-08-26_14:45 - Escrevendo fornecedores...</t>
  </si>
  <si>
    <t>2016-08-26_14:45 - Escrevendo departamentos...</t>
  </si>
  <si>
    <t>2016-08-26_14:45 - Escrevendo centros de custo...</t>
  </si>
  <si>
    <t>2016-08-26_14:45 - Escrevendo recursos e classes de transacao...</t>
  </si>
  <si>
    <t>2016-08-26_14:45 - Escrevendo classes de transacao...</t>
  </si>
  <si>
    <t>2016-08-26_14:46 - Escrevendo classes de transacao...</t>
  </si>
  <si>
    <t>2016-08-26_14:46 - Proxy identificado</t>
  </si>
  <si>
    <t>2016-08-26_14:46 - Ambiente selecionado: DEV</t>
  </si>
  <si>
    <t>2016-08-26_14:46 - Escrevendo tarefas...</t>
  </si>
  <si>
    <t>2016-08-26_14:46 - Escrevendo locais...</t>
  </si>
  <si>
    <t>2016-08-26_14:46 - Escrevendo períodos...</t>
  </si>
  <si>
    <t>2016-08-26_14:46 - Escrevendo fornecedores...</t>
  </si>
  <si>
    <t>2016-08-26_14:46 - Escrevendo departamentos...</t>
  </si>
  <si>
    <t>2016-08-26_14:46 - Escrevendo centros de custo...</t>
  </si>
  <si>
    <t>2016-08-26_14:46 - Escrevendo recursos e classes de transacao...</t>
  </si>
  <si>
    <t>2016-08-26_14:47 - Proxy identificado</t>
  </si>
  <si>
    <t>2016-08-26_14:47 - Ambiente selecionado: DEV</t>
  </si>
  <si>
    <t>2016-08-26_14:47 - Escrevendo tarefas...</t>
  </si>
  <si>
    <t>2016-08-26_14:47 - Escrevendo locais...</t>
  </si>
  <si>
    <t>2016-08-26_14:47 - Escrevendo períodos...</t>
  </si>
  <si>
    <t>2016-08-26_14:47 - Escrevendo fornecedores...</t>
  </si>
  <si>
    <t>2016-08-26_14:47 - Escrevendo departamentos...</t>
  </si>
  <si>
    <t>2016-08-26_14:48 - Escrevendo centros de custo...</t>
  </si>
  <si>
    <t>2016-08-26_14:48 - Escrevendo recursos e classes de transacao...</t>
  </si>
  <si>
    <t>2016-08-26_14:48 - Escrevendo classes de transacao...</t>
  </si>
  <si>
    <t>2016-08-26_14:48 - Proxy identificado</t>
  </si>
  <si>
    <t>2016-08-26_14:48 - Ambiente selecionado: DEV</t>
  </si>
  <si>
    <t>2016-08-26_14:48 - Escrevendo tarefas...</t>
  </si>
  <si>
    <t>2016-08-26_14:48 - Escrevendo locais...</t>
  </si>
  <si>
    <t>2016-08-26_14:48 - Escrevendo períodos...</t>
  </si>
  <si>
    <t>2016-08-26_14:48 - Escrevendo fornecedores...</t>
  </si>
  <si>
    <t>2016-08-26_14:48 - Escrevendo departamentos...</t>
  </si>
  <si>
    <t>2016-08-26_14:49 - Escrevendo classes de transacao...</t>
  </si>
  <si>
    <t>2016-08-26_14:49 - Proxy identificado</t>
  </si>
  <si>
    <t>2016-08-26_14:49 - Ambiente selecionado: DEV</t>
  </si>
  <si>
    <t>2016-08-26_14:49 - Escrevendo tarefas...</t>
  </si>
  <si>
    <t>2016-08-26_14:49 - Escrevendo locais...</t>
  </si>
  <si>
    <t>2016-08-26_14:49 - Escrevendo períodos...</t>
  </si>
  <si>
    <t>2016-08-26_14:49 - Escrevendo fornecedores...</t>
  </si>
  <si>
    <t>2016-08-26_14:49 - Escrevendo departamentos...</t>
  </si>
  <si>
    <t>2016-08-26_14:49 - Escrevendo centros de custo...</t>
  </si>
  <si>
    <t>2016-08-26_14:49 - Escrevendo recursos e classes de transacao...</t>
  </si>
  <si>
    <t>2016-08-26_14:54 - Proxy identificado</t>
  </si>
  <si>
    <t>2016-08-26_14:54 - Ambiente selecionado: DEV</t>
  </si>
  <si>
    <t>2016-08-26_14:54 - Escrevendo tarefas...</t>
  </si>
  <si>
    <t>2016-08-26_14:54 - Escrevendo locais...</t>
  </si>
  <si>
    <t>2016-08-26_14:54 - Escrevendo períodos...</t>
  </si>
  <si>
    <t>2016-08-26_14:54 - Escrevendo fornecedores...</t>
  </si>
  <si>
    <t>2016-08-26_14:54 - Escrevendo departamentos...</t>
  </si>
  <si>
    <t>2016-08-26_14:54 - Escrevendo centros de custo...</t>
  </si>
  <si>
    <t>2016-08-26_14:54 - Escrevendo recursos e classes de transacao...</t>
  </si>
  <si>
    <t>2016-08-26_14:54 - Escrevendo classes de transacao...</t>
  </si>
  <si>
    <t>2016-08-26_14:55 - Escrevendo períodos...</t>
  </si>
  <si>
    <t>2016-08-26_14:55 - Escrevendo fornecedores...</t>
  </si>
  <si>
    <t>2016-08-26_14:55 - Escrevendo departamentos...</t>
  </si>
  <si>
    <t>2016-08-26_14:55 - Escrevendo centros de custo...</t>
  </si>
  <si>
    <t>2016-08-26_14:55 - Escrevendo recursos e classes de transacao...</t>
  </si>
  <si>
    <t>2016-08-26_14:55 - Escrevendo classes de transacao...</t>
  </si>
  <si>
    <t>2016-08-26_14:55 - Proxy identificado</t>
  </si>
  <si>
    <t>2016-08-26_14:55 - Ambiente selecionado: DEV</t>
  </si>
  <si>
    <t>2016-08-26_14:55 - Escrevendo tarefas...</t>
  </si>
  <si>
    <t>2016-08-26_14:55 - Escrevendo locais...</t>
  </si>
  <si>
    <t>2016-08-26_14:56 - Escrevendo tarefas...</t>
  </si>
  <si>
    <t>2016-08-26_14:56 - Escrevendo locais...</t>
  </si>
  <si>
    <t>2016-08-26_14:56 - Escrevendo períodos...</t>
  </si>
  <si>
    <t>2016-08-26_14:56 - Escrevendo fornecedores...</t>
  </si>
  <si>
    <t>2016-08-26_14:56 - Escrevendo departamentos...</t>
  </si>
  <si>
    <t>2016-08-26_14:56 - Escrevendo centros de custo...</t>
  </si>
  <si>
    <t>2016-08-26_14:56 - Escrevendo recursos e classes de transacao...</t>
  </si>
  <si>
    <t>2016-08-26_14:56 - Escrevendo classes de transacao...</t>
  </si>
  <si>
    <t>2016-08-26_14:56 - Proxy identificado</t>
  </si>
  <si>
    <t>2016-08-26_14:56 - Ambiente selecionado: DEV</t>
  </si>
  <si>
    <t>2016-08-26_14:57 - Escrevendo classes de transacao...</t>
  </si>
  <si>
    <t>2016-08-26_14:57 - Proxy identificado</t>
  </si>
  <si>
    <t>2016-08-26_14:57 - Ambiente selecionado: DEV</t>
  </si>
  <si>
    <t>2016-08-26_14:57 - Escrevendo tarefas...</t>
  </si>
  <si>
    <t>2016-08-26_14:57 - Escrevendo locais...</t>
  </si>
  <si>
    <t>2016-08-26_14:57 - Escrevendo períodos...</t>
  </si>
  <si>
    <t>2016-08-26_14:57 - Escrevendo fornecedores...</t>
  </si>
  <si>
    <t>2016-08-26_14:57 - Escrevendo departamentos...</t>
  </si>
  <si>
    <t>2016-08-26_14:57 - Escrevendo centros de custo...</t>
  </si>
  <si>
    <t>2016-08-26_14:57 - Escrevendo recursos e classes de transacao...</t>
  </si>
  <si>
    <t>2016-08-26_14:58 - Proxy identificado</t>
  </si>
  <si>
    <t>2016-08-26_14:58 - Ambiente selecionado: DEV</t>
  </si>
  <si>
    <t>2016-08-26_14:58 - Escrevendo tarefas...</t>
  </si>
  <si>
    <t>2016-08-26_14:58 - Escrevendo locais...</t>
  </si>
  <si>
    <t>2016-08-26_14:58 - Escrevendo períodos...</t>
  </si>
  <si>
    <t>2016-08-26_14:58 - Escrevendo fornecedores...</t>
  </si>
  <si>
    <t>2016-08-26_14:58 - Escrevendo departamentos...</t>
  </si>
  <si>
    <t>2016-08-26_14:58 - Escrevendo centros de custo...</t>
  </si>
  <si>
    <t>2016-08-26_14:58 - Escrevendo recursos e classes de transacao...</t>
  </si>
  <si>
    <t>2016-08-26_14:58 - Escrevendo classes de transacao...</t>
  </si>
  <si>
    <t>2016-08-26_15:05 - -------------Início da exportação transações de projeto-------------</t>
  </si>
  <si>
    <t>2016-08-26_15:05 - Arquivo xog sendo gravado em: C:\xog_rumo_all_financial\xog_transaction_lote_20160826_150555.xml</t>
  </si>
  <si>
    <t>2016-08-26_15:06 - -------------Início da exportação transações de projeto-------------</t>
  </si>
  <si>
    <t>2016-08-26_15:06 - Arquivo xog sendo gravado em: C:\xog_rumo_all_financial\xog_transaction_lote_20160826_150632.xml</t>
  </si>
  <si>
    <t>2016-08-26_15:06 - -------------Fim da exportação transações de projeto-------------</t>
  </si>
  <si>
    <t>2016-08-26_15:06 - Arquivo xog sendo gravado em: C:\xog_rumo_all_financial\xog_transaction_lote_20160826_150634.xml</t>
  </si>
  <si>
    <t>2016-08-26_15:06 - Arquivo xog sendo gravado em: C:\xog_rumo_all_financial\xog_transaction_lote_20160826_150659.xml</t>
  </si>
  <si>
    <t>2016-08-26_15:06 - Proxy identificado</t>
  </si>
  <si>
    <t>2016-08-26_15:06 - Ambiente selecionado: DEV</t>
  </si>
  <si>
    <t>2016-08-26_15:06 -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</si>
  <si>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2016-08-26_15:06 - Enviando requisição de login</t>
  </si>
  <si>
    <t>2016-08-26_15:07 - Login realizado. SessionID capturado: 9365361__BC7C09B0-3E87-4099-881B-22ADC977D295</t>
  </si>
  <si>
    <t>2016-08-26_15:07 - Chamando mensagem de requisição</t>
  </si>
  <si>
    <t>2016-08-26_15:07 - Capturando resultado final</t>
  </si>
  <si>
    <t>2016-08-26_15:07 - Efetuando logout</t>
  </si>
  <si>
    <t>2016-08-26_15:07 - Logout realizado</t>
  </si>
  <si>
    <t>2016-08-26_15:07 - -------------Fim da exportação transações de projeto-------------</t>
  </si>
  <si>
    <t>2016-08-26_15:07 - -------------Início da exportação transações de projeto-------------</t>
  </si>
  <si>
    <t>2016-08-26_15:07 - Arquivo xog sendo gravado em: C:\xog_rumo_all_financial\xog_transaction_lote_20160826_150702.xml</t>
  </si>
  <si>
    <t>2016-08-26_15:07 - Proxy identificado</t>
  </si>
  <si>
    <t>2016-08-26_15:07 - Ambiente selecionado: DEV</t>
  </si>
  <si>
    <t>2016-08-26_15:07 -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</si>
  <si>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2016-08-26_15:07 - Enviando requisição de login</t>
  </si>
  <si>
    <t>2016-08-26_15:07 - Login realizado. SessionID capturado: 9365362__ABD02697-6C6A-4963-8DF3-CCDBD407D4CE</t>
  </si>
  <si>
    <t>2016-08-26_15:07 - Arquivo xog sendo gravado em: C:\xog_rumo_all_financial\xog_transaction_lote_20160826_150729.xml</t>
  </si>
  <si>
    <t>2016-08-26_15:08 - -------------Início da exportação transações de projeto-------------</t>
  </si>
  <si>
    <t>2016-08-26_15:08 - Arquivo xog sendo gravado em: C:\xog_rumo_all_financial\xog_transaction_lote_20160826_150812.xml</t>
  </si>
  <si>
    <t>2016-08-26_15:08 - -------------Fim da exportação transações de projeto-------------</t>
  </si>
  <si>
    <t>2016-08-26_15:08 - Arquivo xog sendo gravado em: C:\xog_rumo_all_financial\xog_transaction_lote_20160826_150814.xml</t>
  </si>
  <si>
    <t>2016-08-26_15:09 - -------------Início da exportação transações de projeto-------------</t>
  </si>
  <si>
    <t>2016-08-26_15:09 - Arquivo xog sendo gravado em: C:\xog_rumo_all_financial\xog_transaction_lote_20160826_150940.xml</t>
  </si>
  <si>
    <t>2016-08-26_15:09 - Proxy identificado</t>
  </si>
  <si>
    <t>2016-08-26_15:09 - Ambiente selecionado: DEV</t>
  </si>
  <si>
    <t>2016-08-26_15:09 -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</si>
  <si>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2016-08-26_15:09 - Enviando requisição de login</t>
  </si>
  <si>
    <t>2016-08-26_15:09 - Login realizado. SessionID capturado: 9365364__972668E6-041A-411E-87EF-B411BAD75DDF</t>
  </si>
  <si>
    <t>2016-08-26_15:09 - Chamando mensagem de requisição</t>
  </si>
  <si>
    <t>2016-08-26_15:09 - Capturando resultado final</t>
  </si>
  <si>
    <t>2016-08-26_15:09 - Efetuando logout</t>
  </si>
  <si>
    <t>2016-08-26_15:09 - Logout realizado</t>
  </si>
  <si>
    <t>2016-08-26_15:09 - -------------Fim da exportação transações de projeto-------------</t>
  </si>
  <si>
    <t>2016-08-26_15:09 - Arquivo xog sendo gravado em: C:\xog_rumo_all_financial\xog_transaction_lote_20160826_150943.xml</t>
  </si>
  <si>
    <t>2016-08-26_15:09 - Login realizado. SessionID capturado: 9365365__A67BF9DA-DA0A-421B-B6CE-397580972293</t>
  </si>
  <si>
    <t>2016-08-26_15:11 - -------------Início da exportação transações de projeto-------------</t>
  </si>
  <si>
    <t>2016-08-26_15:11 - Arquivo xog sendo gravado em: C:\xog_rumo_all_financial\xog_transaction_lote_20160826_151143.xml</t>
  </si>
  <si>
    <t>2016-08-26_15:11 - Proxy identificado</t>
  </si>
  <si>
    <t>2016-08-26_15:11 - Ambiente selecionado: DEV</t>
  </si>
  <si>
    <t>2016-08-26_15:11 -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</si>
  <si>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2016-08-26_15:11 - Enviando requisição de login</t>
  </si>
  <si>
    <t>2016-08-26_15:11 - Login realizado. SessionID capturado: 9365366__F877DFB2-6059-4897-BEE9-ABC35ADC5B4B</t>
  </si>
  <si>
    <t>2016-08-26_15:11 - Chamando mensagem de requisição</t>
  </si>
  <si>
    <t>2016-08-26_15:11 - Capturando resultado final</t>
  </si>
  <si>
    <t>2016-08-26_15:11 - Efetuando logout</t>
  </si>
  <si>
    <t>2016-08-26_15:11 - Logout realizado</t>
  </si>
  <si>
    <t>2016-08-26_15:11 - -------------Fim da exportação transações de projeto-------------</t>
  </si>
  <si>
    <t>2016-08-26_15:11 - Arquivo xog sendo gravado em: C:\xog_rumo_all_financial\xog_transaction_lote_20160826_151147.xml</t>
  </si>
  <si>
    <t>2016-08-26_15:11 - Login realizado. SessionID capturado: 9365367__440D8AD3-03BC-48F9-BAD8-7F68E3880735</t>
  </si>
  <si>
    <t>CÓDIGO DO PROJETO:</t>
  </si>
  <si>
    <t>2016-08-30_10:32 - Ambiente selecionado: DEV</t>
  </si>
  <si>
    <t>2016-08-30_10:32 - Escrevendo tarefas...</t>
  </si>
  <si>
    <t>2016-08-30_10:32 - Escrevendo locais...</t>
  </si>
  <si>
    <t>2016-08-30_10:32 - Escrevendo períodos...</t>
  </si>
  <si>
    <t>2016-08-30_10:32 - Escrevendo fornecedores...</t>
  </si>
  <si>
    <t>2016-08-30_10:32 - Escrevendo departamentos...</t>
  </si>
  <si>
    <t>2016-08-30_10:32 - Escrevendo centros de custo...</t>
  </si>
  <si>
    <t>2016-08-30_10:32 - Escrevendo recursos e classes de transacao...</t>
  </si>
  <si>
    <t>2016-08-30_10:32 - Escrevendo classes de transacao...</t>
  </si>
  <si>
    <t>2016-08-30_10:34 - Ambiente selecionado: DEV</t>
  </si>
  <si>
    <t>2016-08-30_10:34 - Escrevendo tarefas...</t>
  </si>
  <si>
    <t>2016-08-30_10:34 - Escrevendo locais...</t>
  </si>
  <si>
    <t>2016-08-30_10:34 - Escrevendo períodos...</t>
  </si>
  <si>
    <t>2016-08-30_10:34 - Escrevendo fornecedores...</t>
  </si>
  <si>
    <t>2016-08-30_10:34 - Escrevendo departamentos...</t>
  </si>
  <si>
    <t>2016-08-30_10:34 - Escrevendo centros de custo...</t>
  </si>
  <si>
    <t>2016-08-30_10:34 - Escrevendo recursos e classes de transacao...</t>
  </si>
  <si>
    <t>2016-08-30_10:34 - Escrevendo classes de transacao...</t>
  </si>
  <si>
    <t>2016-08-30_10:35 - Escrevendo classes de transacao...</t>
  </si>
  <si>
    <t>2016-08-30_10:35 - Ambiente selecionado: DEV</t>
  </si>
  <si>
    <t>2016-08-30_10:35 - Escrevendo tarefas...</t>
  </si>
  <si>
    <t>2016-08-30_10:35 - Escrevendo locais...</t>
  </si>
  <si>
    <t>2016-08-30_10:35 - Escrevendo períodos...</t>
  </si>
  <si>
    <t>2016-08-30_10:35 - Escrevendo fornecedores...</t>
  </si>
  <si>
    <t>2016-08-30_10:35 - Escrevendo departamentos...</t>
  </si>
  <si>
    <t>2016-08-30_10:35 - Escrevendo centros de custo...</t>
  </si>
  <si>
    <t>2016-08-30_10:35 - Escrevendo recursos e classes de transacao...</t>
  </si>
  <si>
    <t>2016-08-30_10:38 - Ambiente selecionado: DEV</t>
  </si>
  <si>
    <t>2016-08-30_10:38 - Escrevendo tarefas...</t>
  </si>
  <si>
    <t>2016-08-30_10:38 - Escrevendo locais...</t>
  </si>
  <si>
    <t>2016-08-30_10:38 - Escrevendo períodos...</t>
  </si>
  <si>
    <t>2016-08-30_10:38 - Escrevendo fornecedores...</t>
  </si>
  <si>
    <t>2016-08-30_10:38 - Escrevendo departamentos...</t>
  </si>
  <si>
    <t>2016-08-30_10:38 - Escrevendo centros de custo...</t>
  </si>
  <si>
    <t>2016-08-30_10:38 - Escrevendo recursos e classes de transacao...</t>
  </si>
  <si>
    <t>2016-08-30_10:38 - Escrevendo classes de transacao...</t>
  </si>
  <si>
    <t>2016-08-30_10:39 - Escrevendo classes de transacao...</t>
  </si>
  <si>
    <t>2016-08-30_10:39 - Ambiente selecionado: DEV</t>
  </si>
  <si>
    <t>2016-08-30_10:39 - Escrevendo tarefas...</t>
  </si>
  <si>
    <t>2016-08-30_10:39 - Escrevendo locais...</t>
  </si>
  <si>
    <t>2016-08-30_10:39 - Escrevendo períodos...</t>
  </si>
  <si>
    <t>2016-08-30_10:39 - Escrevendo fornecedores...</t>
  </si>
  <si>
    <t>2016-08-30_10:39 - Escrevendo departamentos...</t>
  </si>
  <si>
    <t>2016-08-30_10:39 - Escrevendo centros de custo...</t>
  </si>
  <si>
    <t>2016-08-30_10:39 - Escrevendo recursos e classes de transacao...</t>
  </si>
  <si>
    <t>2016-08-30_10:40 - Ambiente selecionado: DEV</t>
  </si>
  <si>
    <t>2016-08-30_10:40 - Escrevendo tarefas...</t>
  </si>
  <si>
    <t>2016-08-30_10:40 - Escrevendo locais...</t>
  </si>
  <si>
    <t>2016-08-30_10:40 - Escrevendo períodos...</t>
  </si>
  <si>
    <t>2016-08-30_10:40 - Escrevendo fornecedores...</t>
  </si>
  <si>
    <t>2016-08-30_10:40 - Escrevendo departamentos...</t>
  </si>
  <si>
    <t>2016-08-30_10:40 - Escrevendo centros de custo...</t>
  </si>
  <si>
    <t>2016-08-30_10:40 - Escrevendo recursos e classes de transacao...</t>
  </si>
  <si>
    <t>2016-08-30_10:40 - Escrevendo classes de transacao...</t>
  </si>
  <si>
    <t>2016-08-30_10:42 - Escrevendo classes de transacao...</t>
  </si>
  <si>
    <t>2016-08-30_10:42 - Ambiente selecionado: DEV</t>
  </si>
  <si>
    <t>2016-08-30_10:42 - Escrevendo tarefas...</t>
  </si>
  <si>
    <t>2016-08-30_10:42 - Escrevendo locais...</t>
  </si>
  <si>
    <t>2016-08-30_10:42 - Escrevendo períodos...</t>
  </si>
  <si>
    <t>2016-08-30_10:42 - Escrevendo fornecedores...</t>
  </si>
  <si>
    <t>2016-08-30_10:42 - Escrevendo departamentos...</t>
  </si>
  <si>
    <t>2016-08-30_10:42 - Escrevendo centros de custo...</t>
  </si>
  <si>
    <t>2016-08-30_10:42 - Escrevendo recursos e classes de transacao...</t>
  </si>
  <si>
    <t>2016-09-01_16:29 - Ambiente selecionado: DEV</t>
  </si>
  <si>
    <t>2016-09-01_16:29 - Escrevendo tarefas...</t>
  </si>
  <si>
    <t>2016-09-01_16:29 - Escrevendo locais...</t>
  </si>
  <si>
    <t>2016-09-01_16:29 - Escrevendo períodos...</t>
  </si>
  <si>
    <t>2016-09-01_16:29 - Escrevendo fornecedores...</t>
  </si>
  <si>
    <t>2016-09-01_16:29 - Escrevendo departamentos...</t>
  </si>
  <si>
    <t>2016-09-01_16:29 - Escrevendo centros de custo...</t>
  </si>
  <si>
    <t>2016-09-01_16:29 - Escrevendo recursos e classes de transacao...</t>
  </si>
  <si>
    <t>2016-09-01_16:29 - Escrevendo classes de transacao...</t>
  </si>
  <si>
    <t>2016-09-01_16:30 - Ambiente selecionado: DEV</t>
  </si>
  <si>
    <t>2016-09-01_16:30 - Escrevendo tarefas...</t>
  </si>
  <si>
    <t>2016-09-01_16:30 - Escrevendo locais...</t>
  </si>
  <si>
    <t>2016-09-01_16:30 - Escrevendo períodos...</t>
  </si>
  <si>
    <t>2016-09-01_16:30 - Escrevendo fornecedores...</t>
  </si>
  <si>
    <t>2016-09-01_16:30 - Escrevendo departamentos...</t>
  </si>
  <si>
    <t>2016-09-01_16:30 - Escrevendo centros de custo...</t>
  </si>
  <si>
    <t>2016-09-01_16:30 - Escrevendo recursos e classes de transacao...</t>
  </si>
  <si>
    <t>2016-09-01_16:30 - Escrevendo classes de transacao...</t>
  </si>
  <si>
    <t>INV_CODE</t>
  </si>
  <si>
    <t>2016-09-01_17:10 - -------------Início da exportação transações de projeto-------------</t>
  </si>
  <si>
    <t>2016-09-01_17:10 - Arquivo xog sendo gravado em: C:\xog_rumo_all_financial\xog_transaction_lote_20160901_171055.xml</t>
  </si>
  <si>
    <t>2016-09-02_09:40 - Proxy identificado</t>
  </si>
  <si>
    <t>2016-09-02_09:40 - Ambiente selecionado: PROD</t>
  </si>
  <si>
    <t>2016-09-02_09:40 - Escrevendo tarefas...</t>
  </si>
  <si>
    <t>2016-09-02_09:40 - Escrevendo locais...</t>
  </si>
  <si>
    <t>2016-09-02_09:40 - Escrevendo períodos...</t>
  </si>
  <si>
    <t>2016-09-02_09:40 - Escrevendo fornecedores...</t>
  </si>
  <si>
    <t>2016-09-02_09:40 - Escrevendo departamentos...</t>
  </si>
  <si>
    <t>2016-09-02_09:40 - Escrevendo centros de custo...</t>
  </si>
  <si>
    <t>2016-09-02_09:40 - Escrevendo recursos e classes de transacao...</t>
  </si>
  <si>
    <t>2016-09-02_09:40 - Escrevendo classes de transacao...</t>
  </si>
  <si>
    <t>2016-09-02_09:41 - Proxy identificado</t>
  </si>
  <si>
    <t>2016-09-02_09:41 - Ambiente selecionado: PROD</t>
  </si>
  <si>
    <t>2016-09-02_09:41 - Escrevendo tarefas...</t>
  </si>
  <si>
    <t>2016-09-02_09:41 - Escrevendo locais...</t>
  </si>
  <si>
    <t>2016-09-02_09:41 - Escrevendo períodos...</t>
  </si>
  <si>
    <t>2016-09-02_09:41 - Escrevendo fornecedores...</t>
  </si>
  <si>
    <t>2016-09-02_09:41 - Escrevendo departamentos...</t>
  </si>
  <si>
    <t>2016-09-02_09:41 - Escrevendo centros de custo...</t>
  </si>
  <si>
    <t>2016-09-02_09:41 - Escrevendo recursos e classes de transacao...</t>
  </si>
  <si>
    <t>2016-09-02_09:41 - Escrevendo classes de transacao...</t>
  </si>
  <si>
    <t>2016-09-02_09:42 - Proxy identificado</t>
  </si>
  <si>
    <t>2016-09-02_09:42 - Ambiente selecionado: PROD</t>
  </si>
  <si>
    <t>2016-09-02_09:42 - Escrevendo tarefas...</t>
  </si>
  <si>
    <t>2016-09-02_09:42 - Escrevendo locais...</t>
  </si>
  <si>
    <t>2016-09-02_09:42 - Escrevendo períodos...</t>
  </si>
  <si>
    <t>2016-09-02_09:42 - Escrevendo fornecedores...</t>
  </si>
  <si>
    <t>2016-09-02_09:42 - Escrevendo departamentos...</t>
  </si>
  <si>
    <t>2016-09-02_09:42 - Escrevendo centros de custo...</t>
  </si>
  <si>
    <t>2016-09-02_09:42 - Escrevendo recursos e classes de transacao...</t>
  </si>
  <si>
    <t>2016-09-02_09:42 - Escrevendo classes de transacao...</t>
  </si>
  <si>
    <t xml:space="preserve">2016-09-02_10:28 - Ambiente selecionado: </t>
  </si>
  <si>
    <t>2016-09-02_10:29 - Ambiente selecionado: PROD</t>
  </si>
  <si>
    <t>2016-09-02_10:30 - Proxy identificado</t>
  </si>
  <si>
    <t>2016-09-02_10:30 - Ambiente selecionado: PROD</t>
  </si>
  <si>
    <t>2016-09-02_10:30 - Escrevendo tarefas...</t>
  </si>
  <si>
    <t>2016-09-02_10:30 - Escrevendo locais...</t>
  </si>
  <si>
    <t>2016-09-02_10:30 - Escrevendo períodos...</t>
  </si>
  <si>
    <t>2016-09-02_10:30 - Escrevendo fornecedores...</t>
  </si>
  <si>
    <t>2016-09-02_10:30 - Escrevendo departamentos...</t>
  </si>
  <si>
    <t>2016-09-02_10:30 - Escrevendo centros de custo...</t>
  </si>
  <si>
    <t>2016-09-02_10:30 - Escrevendo recursos e classes de transacao...</t>
  </si>
  <si>
    <t>2016-09-02_10:30 - Escrevendo classes de transacao...</t>
  </si>
  <si>
    <t>VALIDATION
PROJECT</t>
  </si>
  <si>
    <t>2016-09-02_11:19 - Proxy identificado</t>
  </si>
  <si>
    <t>2016-09-02_11:19 - Ambiente selecionado: PROD</t>
  </si>
  <si>
    <t>2016-09-02_11:19 - Escrevendo tarefas...</t>
  </si>
  <si>
    <t>2016-09-02_11:19 - Escrevendo locais...</t>
  </si>
  <si>
    <t>2016-09-02_11:19 - Escrevendo períodos...</t>
  </si>
  <si>
    <t>2016-09-02_11:19 - Escrevendo fornecedores...</t>
  </si>
  <si>
    <t>2016-09-02_11:19 - Escrevendo departamentos...</t>
  </si>
  <si>
    <t>2016-09-02_11:19 - Escrevendo centros de custo...</t>
  </si>
  <si>
    <t>2016-09-02_11:19 - Escrevendo recursos e classes de transacao...</t>
  </si>
  <si>
    <t>2016-09-02_11:19 - Escrevendo classes de transacao...</t>
  </si>
  <si>
    <t>DEV</t>
  </si>
  <si>
    <t>2016-09-02_13:55 - Proxy identificado</t>
  </si>
  <si>
    <t>2016-09-02_13:55 - Ambiente selecionado: DEV</t>
  </si>
  <si>
    <t>2016-09-02_13:55 - Escrevendo tarefas...</t>
  </si>
  <si>
    <t>2016-09-02_13:55 - Escrevendo locais...</t>
  </si>
  <si>
    <t>2016-09-02_13:55 - Escrevendo períodos...</t>
  </si>
  <si>
    <t>2016-09-02_13:55 - Escrevendo fornecedores...</t>
  </si>
  <si>
    <t>2016-09-02_13:55 - Escrevendo departamentos...</t>
  </si>
  <si>
    <t>2016-09-02_13:55 - Escrevendo centros de custo...</t>
  </si>
  <si>
    <t>2016-09-02_13:55 - Escrevendo recursos e classes de transacao...</t>
  </si>
  <si>
    <t>2016-09-02_13:55 - Escrevendo classes de transacao...</t>
  </si>
  <si>
    <t>2016-09-02_13:59 - -------------Início da exportação transações de projeto-------------</t>
  </si>
  <si>
    <t>2016-09-02_13:59 - Arquivo xog sendo gravado em: C:\xog_rumo_all_financial\xog_transaction_lote_20160902_135943.xml</t>
  </si>
  <si>
    <t>2016-09-02_13:59 - Proxy identificado</t>
  </si>
  <si>
    <t>2016-09-02_13:59 - Ambiente selecionado: DEV</t>
  </si>
  <si>
    <t>2016-09-02_13:59 -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</si>
  <si>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2016-09-02_13:59 - Enviando requisição de login</t>
  </si>
  <si>
    <t>2016-09-02_13:59 - Login realizado. SessionID capturado: 9394753__6D3E30E4-4234-4C1E-A222-B05A1FF0799E</t>
  </si>
  <si>
    <t>2016-09-02_13:59 - Chamando mensagem de requisição</t>
  </si>
  <si>
    <t>2016-09-02_13:59 - Capturando resultado final</t>
  </si>
  <si>
    <t>2016-09-02_13:59 - Efetuando logout</t>
  </si>
  <si>
    <t>2016-09-02_13:59 - Logout realizado</t>
  </si>
  <si>
    <t>2016-09-02_13:59 - -------------Fim da exportação transações de projeto-------------</t>
  </si>
  <si>
    <t>2016-09-02_13:59 - Arquivo xog sendo gravado em: C:\xog_rumo_all_financial\xog_transaction_lote_20160902_135946.xml</t>
  </si>
  <si>
    <t>2016-09-02_13:59 - Login realizado. SessionID capturado: 9394754__04055958-D84D-4E81-92F4-C16AC1A14CBB</t>
  </si>
  <si>
    <t>2016-09-02_13:59 - Arquivo xog sendo gravado em: C:\xog_rumo_all_financial\xog_transaction_lote_20160902_135948.xml</t>
  </si>
  <si>
    <t>2016-09-02_13:59 - Login realizado. SessionID capturado: 9394756__4663FD3C-22FD-4F15-9B05-9FA6BB697D0A</t>
  </si>
  <si>
    <t>2016-09-02_13:59 - Arquivo xog sendo gravado em: C:\xog_rumo_all_financial\xog_transaction_lote_20160902_135950.xml</t>
  </si>
  <si>
    <t>2016-09-02_13:59 - Login realizado. SessionID capturado: 9394757__91DC0FA0-0A96-4FC7-894C-2E3D061E4B89</t>
  </si>
  <si>
    <t>2016-09-02_13:59 - Arquivo xog sendo gravado em: C:\xog_rumo_all_financial\xog_transaction_lote_20160902_135952.xml</t>
  </si>
  <si>
    <t>2016-09-02_13:59 - Login realizado. SessionID capturado: 9394758__2B4EEC24-B9E2-4113-A30B-7C7C2158E7B5</t>
  </si>
  <si>
    <t>2016-09-02_13:59 - Arquivo xog sendo gravado em: C:\xog_rumo_all_financial\xog_transaction_lote_20160902_135954.xml</t>
  </si>
  <si>
    <t>2016-09-02_13:59 - Login realizado. SessionID capturado: 9394759__B807BB6E-E224-41A1-8C56-28DDD78D9E38</t>
  </si>
  <si>
    <t>2016-09-02_13:59 - Arquivo xog sendo gravado em: C:\xog_rumo_all_financial\xog_transaction_lote_20160902_135956.xml</t>
  </si>
  <si>
    <t>2016-09-02_13:59 - Login realizado. SessionID capturado: 9394760__7D7F1302-1426-4669-B1F9-0AB995E2DB58</t>
  </si>
  <si>
    <t>2016-09-02_13:59 - Arquivo xog sendo gravado em: C:\xog_rumo_all_financial\xog_transaction_lote_20160902_135958.xml</t>
  </si>
  <si>
    <t>2016-09-02_13:59 - Login realizado. SessionID capturado: 9394761__CB7F1022-1E3A-4DA2-8667-39F1C26CA570</t>
  </si>
  <si>
    <t>2016-09-02_14:00 - -------------Início da exportação transações de projeto-------------</t>
  </si>
  <si>
    <t>2016-09-02_14:00 - Arquivo xog sendo gravado em: C:\xog_rumo_all_financial\xog_transaction_lote_20160902_140000.xml</t>
  </si>
  <si>
    <t>2016-09-02_14:00 - Proxy identificado</t>
  </si>
  <si>
    <t>2016-09-02_14:00 - Ambiente selecionado: DEV</t>
  </si>
  <si>
    <t>2016-09-02_14:00 -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</si>
  <si>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2016-09-02_14:00 - Enviando requisição de login</t>
  </si>
  <si>
    <t>2016-09-02_14:00 - Login realizado. SessionID capturado: 9394762__A7B0FD54-FF38-4570-AF1D-2EE13E7BB226</t>
  </si>
  <si>
    <t>2016-09-02_14:00 - Chamando mensagem de requisição</t>
  </si>
  <si>
    <t>2016-09-02_14:00 - Capturando resultado final</t>
  </si>
  <si>
    <t>2016-09-02_14:00 - Efetuando logout</t>
  </si>
  <si>
    <t>2016-09-02_14:00 - Logout realizado</t>
  </si>
  <si>
    <t>2016-09-02_14:00 - -------------Fim da exportação transações de projeto-------------</t>
  </si>
  <si>
    <t>2016-09-02_14:00 - Arquivo xog sendo gravado em: C:\xog_rumo_all_financial\xog_transaction_lote_20160902_140003.xml</t>
  </si>
  <si>
    <t>2016-09-02_14:00 - Login realizado. SessionID capturado: 9394763__995B1C04-FB91-4025-B36D-414CFCB1A162</t>
  </si>
  <si>
    <t>2016-09-02_14:14 - -------------Início da exportação transações de projeto-------------</t>
  </si>
  <si>
    <t>2016-09-02_14:14 - Arquivo xog sendo gravado em: C:\xog_rumo_all_financial\xog_transaction_lote_20160902_141416.xml</t>
  </si>
  <si>
    <t>2016-09-02_14:14 - Proxy identificado</t>
  </si>
  <si>
    <t>2016-09-02_14:14 - Ambiente selecionado: DEV</t>
  </si>
  <si>
    <t>2016-09-02_14:14 -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</si>
  <si>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2016-09-02_14:14 - Enviando requisição de login</t>
  </si>
  <si>
    <t>2016-09-02_14:14 - Login realizado. SessionID capturado: 9394768__E22EF9BA-5769-49B5-B759-2BB31CF989FA</t>
  </si>
  <si>
    <t>2016-09-02_14:14 - Chamando mensagem de requisição</t>
  </si>
  <si>
    <t>2016-09-02_14:14 - Capturando resultado final</t>
  </si>
  <si>
    <t>2016-09-02_14:14 - Efetuando logout</t>
  </si>
  <si>
    <t>2016-09-02_14:14 - Logout realizado</t>
  </si>
  <si>
    <t>2016-09-02_14:14 - -------------Fim da exportação transações de projeto-------------</t>
  </si>
  <si>
    <t>2016-09-02_14:14 - Arquivo xog sendo gravado em: C:\xog_rumo_all_financial\xog_transaction_lote_20160902_141421.xml</t>
  </si>
  <si>
    <t>2016-09-02_14:14 - Login realizado. SessionID capturado: 9394769__C7D4B4A6-96A2-4EB3-A2F6-89F519C86CED</t>
  </si>
  <si>
    <t>2016-09-02_14:14 - Arquivo xog sendo gravado em: C:\xog_rumo_all_financial\xog_transaction_lote_20160902_141425.xml</t>
  </si>
  <si>
    <t>2016-09-02_14:14 - Login realizado. SessionID capturado: 9394770__2652D609-3C77-48E0-A4FA-D3AC56B259E7</t>
  </si>
  <si>
    <t>2016-09-02_14:14 - Arquivo xog sendo gravado em: C:\xog_rumo_all_financial\xog_transaction_lote_20160902_141429.xml</t>
  </si>
  <si>
    <t>2016-09-02_14:14 - Login realizado. SessionID capturado: 9394771__C1A5289F-C407-4CA7-8EC0-7A84D86F8319</t>
  </si>
  <si>
    <t>2016-09-02_14:14 - Arquivo xog sendo gravado em: C:\xog_rumo_all_financial\xog_transaction_lote_20160902_141433.xml</t>
  </si>
  <si>
    <t>2016-09-02_14:14 - Login realizado. SessionID capturado: 9394772__4471250D-1A22-4F0C-B067-9F570F412610</t>
  </si>
  <si>
    <t>2016-09-02_14:14 - Arquivo xog sendo gravado em: C:\xog_rumo_all_financial\xog_transaction_lote_20160902_141437.xml</t>
  </si>
  <si>
    <t>2016-09-02_14:14 - Login realizado. SessionID capturado: 9394773__093B7CD3-7895-4952-9B70-BF76D2215CF0</t>
  </si>
  <si>
    <t>2016-09-02_14:14 - Arquivo xog sendo gravado em: C:\xog_rumo_all_financial\xog_transaction_lote_20160902_141441.xml</t>
  </si>
  <si>
    <t>2016-09-02_14:14 - Login realizado. SessionID capturado: 9394774__D9D34CFC-61AD-426D-BF2C-1008DADE84A0</t>
  </si>
  <si>
    <t>2016-09-02_14:14 - Arquivo xog sendo gravado em: C:\xog_rumo_all_financial\xog_transaction_lote_20160902_141445.xml</t>
  </si>
  <si>
    <t>2016-09-02_14:14 - Login realizado. SessionID capturado: 9394775__4CDB71C6-51EA-46F3-89CF-3EE10F423820</t>
  </si>
  <si>
    <t>2016-09-02_14:14 - Arquivo xog sendo gravado em: C:\xog_rumo_all_financial\xog_transaction_lote_20160902_141449.xml</t>
  </si>
  <si>
    <t>2016-09-02_14:14 - Login realizado. SessionID capturado: 9394777__778765DA-F123-4CD6-B2C2-DC31E5E57639</t>
  </si>
  <si>
    <t>2016-09-02_14:14 - Arquivo xog sendo gravado em: C:\xog_rumo_all_financial\xog_transaction_lote_20160902_141453.xml</t>
  </si>
  <si>
    <t>2016-09-02_14:14 - Login realizado. SessionID capturado: 9394778__9D257BDD-7367-4119-B1B5-CECE809D0E6C</t>
  </si>
  <si>
    <t>2016-09-02_14:16 - -------------Início da exportação transações de projeto-------------</t>
  </si>
  <si>
    <t>2016-09-02_14:16 - Arquivo xog sendo gravado em: C:\xog_rumo_all_financial\xog_transaction_lote_20160902_141641.xml</t>
  </si>
  <si>
    <t>2016-09-02_14:16 - Proxy identificado</t>
  </si>
  <si>
    <t>2016-09-02_14:16 - Ambiente selecionado: DEV</t>
  </si>
  <si>
    <t>2016-09-02_14:17 -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</si>
  <si>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2016-09-02_14:17 - Enviando requisição de login</t>
  </si>
  <si>
    <t>2016-09-02_14:17 - Login realizado. SessionID capturado: 9394779__4DE42A10-925B-42B1-AE0A-B9B12A50D532</t>
  </si>
  <si>
    <t>2016-09-02_14:17 - Chamando mensagem de requisição</t>
  </si>
  <si>
    <t>2016-09-02_14:17 - Capturando resultado final</t>
  </si>
  <si>
    <t>2016-09-02_14:17 - Efetuando logout</t>
  </si>
  <si>
    <t>2016-09-02_14:17 - Logout realizado</t>
  </si>
  <si>
    <t>2016-09-02_14:17 - -------------Fim da exportação transações de projeto-------------</t>
  </si>
  <si>
    <t>2016-09-02_14:17 - -------------Início da exportação transações de projeto-------------</t>
  </si>
  <si>
    <t>2016-09-02_14:17 - Arquivo xog sendo gravado em: C:\xog_rumo_all_financial\xog_transaction_lote_20160902_141734.xml</t>
  </si>
  <si>
    <t>2016-09-02_14:17 - Proxy identificado</t>
  </si>
  <si>
    <t>2016-09-02_14:17 - Ambiente selecionado: DEV</t>
  </si>
  <si>
    <t>2016-09-02_14:17 - Login realizado. SessionID capturado: 9394780__35887CD2-6362-4AF6-A176-56447B47C9ED</t>
  </si>
  <si>
    <t>2016-09-02_14:17 - Arquivo xog sendo gravado em: C:\xog_rumo_all_financial\xog_transaction_lote_20160902_141749.xml</t>
  </si>
  <si>
    <t>2016-09-02_14:17 - Login realizado. SessionID capturado: 9394781__C635E765-8E34-4331-A76D-899CFC78BC70</t>
  </si>
  <si>
    <t>2016-09-02_14:18 - Logout realizado</t>
  </si>
  <si>
    <t>2016-09-02_14:18 - -------------Fim da exportação transações de projeto-------------</t>
  </si>
  <si>
    <t>2016-09-02_14:18 - -------------Início da exportação transações de projeto-------------</t>
  </si>
  <si>
    <t>2016-09-02_14:18 - Arquivo xog sendo gravado em: C:\xog_rumo_all_financial\xog_transaction_lote_20160902_141802.xml</t>
  </si>
  <si>
    <t>2016-09-02_14:18 - Proxy identificado</t>
  </si>
  <si>
    <t>2016-09-02_14:18 - Ambiente selecionado: DEV</t>
  </si>
  <si>
    <t>2016-09-02_14:18 -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</si>
  <si>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2016-09-02_14:18 - Enviando requisição de login</t>
  </si>
  <si>
    <t>2016-09-02_14:18 - Login realizado. SessionID capturado: 9394782__7D355C21-D76E-4EDF-AE20-C8A34927E72A</t>
  </si>
  <si>
    <t>2016-09-02_14:18 - Chamando mensagem de requisição</t>
  </si>
  <si>
    <t>2016-09-02_14:18 - Capturando resultado final</t>
  </si>
  <si>
    <t>2016-09-02_14:18 - Efetuando logout</t>
  </si>
  <si>
    <t>2016-09-02_14:21 - -------------Início da exportação transações de projeto-------------</t>
  </si>
  <si>
    <t>2016-09-02_14:21 - Arquivo xog sendo gravado em: C:\xog_rumo_all_financial\xog_transaction_lote_20160902_142128.xml</t>
  </si>
  <si>
    <t>2016-09-02_14:21 - Proxy identificado</t>
  </si>
  <si>
    <t>2016-09-02_14:21 - Ambiente selecionado: DEV</t>
  </si>
  <si>
    <t>2016-09-02_14:21 -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</si>
  <si>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2016-09-02_14:21 - Enviando requisição de login</t>
  </si>
  <si>
    <t>2016-09-02_14:21 - Login realizado. SessionID capturado: 9394784__7F577097-6C95-41C0-A390-C0DE5688B9CF</t>
  </si>
  <si>
    <t>2016-09-02_14:21 - Chamando mensagem de requisição</t>
  </si>
  <si>
    <t>2016-09-02_14:21 - Capturando resultado final</t>
  </si>
  <si>
    <t>2016-09-02_14:21 - Efetuando logout</t>
  </si>
  <si>
    <t>2016-09-02_14:21 - Logout realizado</t>
  </si>
  <si>
    <t>2016-09-02_14:21 - -------------Fim da exportação transações de projeto-------------</t>
  </si>
  <si>
    <t>2016-09-02_14:21 - Arquivo xog sendo gravado em: C:\xog_rumo_all_financial\xog_transaction_lote_20160902_142135.xml</t>
  </si>
  <si>
    <t>2016-09-02_14:21 - Login realizado. SessionID capturado: 9394785__BB8EF14D-387C-4702-9854-117A73D3EA04</t>
  </si>
  <si>
    <t>2016-09-02_14:21 - Arquivo xog sendo gravado em: C:\xog_rumo_all_financial\xog_transaction_lote_20160902_142140.xml</t>
  </si>
  <si>
    <t>2016-09-02_14:21 - Login realizado. SessionID capturado: 9394786__22A457F2-E4B2-4962-AC96-1F422A7D31D3</t>
  </si>
  <si>
    <t>2016-09-02_14:21 - Arquivo xog sendo gravado em: C:\xog_rumo_all_financial\xog_transaction_lote_20160902_142145.xml</t>
  </si>
  <si>
    <t>2016-09-02_14:21 - Login realizado. SessionID capturado: 9394787__1F78E66C-F04D-4CD3-BE43-E1569A3B72B4</t>
  </si>
  <si>
    <t>2016-09-02_14:21 - Arquivo xog sendo gravado em: C:\xog_rumo_all_financial\xog_transaction_lote_20160902_142150.xml</t>
  </si>
  <si>
    <t>2016-09-02_14:21 - Login realizado. SessionID capturado: 9394788__0475ADBC-8C99-48E0-8E27-0646B81729D5</t>
  </si>
  <si>
    <t>2016-09-02_14:21 - Arquivo xog sendo gravado em: C:\xog_rumo_all_financial\xog_transaction_lote_20160902_142155.xml</t>
  </si>
  <si>
    <t>2016-09-02_14:21 - Login realizado. SessionID capturado: 9394789__826BA62D-4E1E-4B9A-B1A9-A64821CECE01</t>
  </si>
  <si>
    <t>2016-09-02_14:22 - -------------Início da exportação transações de projeto-------------</t>
  </si>
  <si>
    <t>2016-09-02_14:22 - Arquivo xog sendo gravado em: C:\xog_rumo_all_financial\xog_transaction_lote_20160902_142200.xml</t>
  </si>
  <si>
    <t>2016-09-02_14:22 - Proxy identificado</t>
  </si>
  <si>
    <t>2016-09-02_14:22 - Ambiente selecionado: DEV</t>
  </si>
  <si>
    <t>2016-09-02_14:22 -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</si>
  <si>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2016-09-02_14:22 - Enviando requisição de login</t>
  </si>
  <si>
    <t>2016-09-02_14:22 - Login realizado. SessionID capturado: 9394790__75F6820F-B272-4465-945D-D39DC853111A</t>
  </si>
  <si>
    <t>2016-09-02_14:22 - Chamando mensagem de requisição</t>
  </si>
  <si>
    <t>2016-09-02_14:22 - Capturando resultado final</t>
  </si>
  <si>
    <t>2016-09-02_14:22 - Efetuando logout</t>
  </si>
  <si>
    <t>2016-09-02_14:22 - Logout realizado</t>
  </si>
  <si>
    <t>2016-09-02_14:22 - -------------Fim da exportação transações de projeto-------------</t>
  </si>
  <si>
    <t>2016-09-02_14:22 - Arquivo xog sendo gravado em: C:\xog_rumo_all_financial\xog_transaction_lote_20160902_142205.xml</t>
  </si>
  <si>
    <t>2016-09-02_14:22 - Login realizado. SessionID capturado: 9394791__1A1DE024-05FB-42A9-9C7B-6236982B152F</t>
  </si>
  <si>
    <t>2016-09-02_14:22 - Arquivo xog sendo gravado em: C:\xog_rumo_all_financial\xog_transaction_lote_20160902_142210.xml</t>
  </si>
  <si>
    <t>2016-09-02_14:22 - Login realizado. SessionID capturado: 9394792__59E08BC7-CB8D-4896-BB62-B32F48721A08</t>
  </si>
  <si>
    <t>2016-09-02_14:22 - Arquivo xog sendo gravado em: C:\xog_rumo_all_financial\xog_transaction_lote_20160902_142215.xml</t>
  </si>
  <si>
    <t>2016-09-02_14:22 - Login realizado. SessionID capturado: 9394793__D7A6F5ED-1FFB-41EF-A402-38A31CD7909A</t>
  </si>
  <si>
    <t>2016-09-02_14:23 - -------------Início da exportação transações de projeto-------------</t>
  </si>
  <si>
    <t>2016-09-02_14:23 - Arquivo xog sendo gravado em: C:\xog_rumo_all_financial\xog_transaction_lote_20160902_142343.xml</t>
  </si>
  <si>
    <t>2016-09-02_14:23 - Proxy identificado</t>
  </si>
  <si>
    <t>2016-09-02_14:23 - Ambiente selecionado: DEV</t>
  </si>
  <si>
    <t>2016-09-02_14:23 -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</si>
  <si>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2016-09-02_14:23 - Enviando requisição de login</t>
  </si>
  <si>
    <t>2016-09-02_14:23 - Login realizado. SessionID capturado: 9394794__4DF6A25C-9C49-473C-8543-0FF6A4538BF1</t>
  </si>
  <si>
    <t>2016-09-02_14:23 - Chamando mensagem de requisição</t>
  </si>
  <si>
    <t>2016-09-02_14:23 - Capturando resultado final</t>
  </si>
  <si>
    <t>2016-09-02_14:23 - Efetuando logout</t>
  </si>
  <si>
    <t>2016-09-02_14:23 - Logout realizado</t>
  </si>
  <si>
    <t>2016-09-02_14:23 - -------------Fim da exportação transações de projeto-------------</t>
  </si>
  <si>
    <t>2016-09-02_14:23 - Arquivo xog sendo gravado em: C:\xog_rumo_all_financial\xog_transaction_lote_20160902_142354.xml</t>
  </si>
  <si>
    <t>2016-09-02_14:23 - Login realizado. SessionID capturado: 9394795__2925F65C-CB5B-4B3B-9330-CA23BC4F7CEE</t>
  </si>
  <si>
    <t>2016-09-02_14:24 - -------------Início da exportação transações de projeto-------------</t>
  </si>
  <si>
    <t>2016-09-02_14:24 - Arquivo xog sendo gravado em: C:\xog_rumo_all_financial\xog_transaction_lote_20160902_142404.xml</t>
  </si>
  <si>
    <t>2016-09-02_14:24 - Proxy identificado</t>
  </si>
  <si>
    <t>2016-09-02_14:24 - Ambiente selecionado: DEV</t>
  </si>
  <si>
    <t>2016-09-02_14:24 -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</si>
  <si>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2016-09-02_14:24 - Enviando requisição de login</t>
  </si>
  <si>
    <t>2016-09-02_14:24 - Login realizado. SessionID capturado: 9394796__F21F54CB-3AF0-4334-A75C-DB8DA9D0D32E</t>
  </si>
  <si>
    <t>2016-09-02_14:24 - Chamando mensagem de requisição</t>
  </si>
  <si>
    <t>2016-09-02_14:24 - Capturando resultado final</t>
  </si>
  <si>
    <t>2016-09-02_14:24 - Efetuando logout</t>
  </si>
  <si>
    <t>2016-09-02_14:24 - Logout realizado</t>
  </si>
  <si>
    <t>2016-09-02_14:24 - -------------Fim da exportação transações de projeto-------------</t>
  </si>
  <si>
    <t>2016-09-02_14:24 - Arquivo xog sendo gravado em: C:\xog_rumo_all_financial\xog_transaction_lote_20160902_142414.xml</t>
  </si>
  <si>
    <t>2016-09-02_14:24 - Login realizado. SessionID capturado: 9394797__8C47314F-4AF3-43B9-A026-DAFFAE5EA2D6</t>
  </si>
  <si>
    <t>2016-09-02_14:24 - Arquivo xog sendo gravado em: C:\xog_rumo_all_financial\xog_transaction_lote_20160902_142424.xml</t>
  </si>
  <si>
    <t>2016-09-02_14:24 - Login realizado. SessionID capturado: 9394798__229AF0BB-3248-4101-BC35-EF9AA381BD38</t>
  </si>
  <si>
    <t>2016-09-02_14:24 - Arquivo xog sendo gravado em: C:\xog_rumo_all_financial\xog_transaction_lote_20160902_142434.xml</t>
  </si>
  <si>
    <t>2016-09-02_14:24 - Login realizado. SessionID capturado: 9394799__392583D5-3C18-4443-9E87-028FC94528BD</t>
  </si>
  <si>
    <t>2016-09-02_14:24 - Arquivo xog sendo gravado em: C:\xog_rumo_all_financial\xog_transaction_lote_20160902_142444.xml</t>
  </si>
  <si>
    <t>2016-09-02_14:24 - Login realizado. SessionID capturado: 9394800__82492CAF-545F-4578-B05F-DE1C627A728A</t>
  </si>
  <si>
    <t>2016-09-02_14:24 - Arquivo xog sendo gravado em: C:\xog_rumo_all_financial\xog_transaction_lote_20160902_142454.xml</t>
  </si>
  <si>
    <t>2016-09-02_14:24 - Login realizado. SessionID capturado: 9394802__F98282B0-AFB7-410D-85F1-7F053405AB9D</t>
  </si>
  <si>
    <t>2016-09-02_14:25 - -------------Início da exportação transações de projeto-------------</t>
  </si>
  <si>
    <t>2016-09-02_14:25 - Arquivo xog sendo gravado em: C:\xog_rumo_all_financial\xog_transaction_lote_20160902_142504.xml</t>
  </si>
  <si>
    <t>2016-09-02_14:25 - Proxy identificado</t>
  </si>
  <si>
    <t>2016-09-02_14:25 - Ambiente selecionado: DEV</t>
  </si>
  <si>
    <t>2016-09-02_14:25 -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</si>
  <si>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2016-09-02_14:25 - Enviando requisição de login</t>
  </si>
  <si>
    <t>2016-09-02_14:25 - Login realizado. SessionID capturado: 9394803__C06C80EF-35AB-427B-9CB4-FE3099498F1A</t>
  </si>
  <si>
    <t>2016-09-02_14:25 - Chamando mensagem de requisição</t>
  </si>
  <si>
    <t>2016-09-02_14:25 - Capturando resultado final</t>
  </si>
  <si>
    <t>2016-09-02_14:25 - Efetuando logout</t>
  </si>
  <si>
    <t>2016-09-02_14:25 - Logout realizado</t>
  </si>
  <si>
    <t>2016-09-02_14:25 - -------------Fim da exportação transações de projeto-------------</t>
  </si>
  <si>
    <t>2016-09-02_14:25 - Arquivo xog sendo gravado em: C:\xog_rumo_all_financial\xog_transaction_lote_20160902_142514.xml</t>
  </si>
  <si>
    <t>2016-09-02_14:25 - Login realizado. SessionID capturado: 9394804__51795FF8-D09C-46E9-9316-F13C9ABC0AB2</t>
  </si>
  <si>
    <t>2016-09-02_14:27 - -------------Início da exportação transações de projeto-------------</t>
  </si>
  <si>
    <t>2016-09-02_14:27 - Arquivo xog sendo gravado em: C:\xog_rumo_all_financial\xog_transaction_lote_20160902_142758.xml</t>
  </si>
  <si>
    <t>2016-09-02_14:27 - Proxy identificado</t>
  </si>
  <si>
    <t>2016-09-02_14:27 - Ambiente selecionado: DEV</t>
  </si>
  <si>
    <t>2016-09-02_14:27 -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</si>
  <si>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2016-09-02_14:27 - Enviando requisição de login</t>
  </si>
  <si>
    <t>2016-09-02_14:28 - Login realizado. SessionID capturado: 9394805__CF7729F8-93CE-44F9-AEEB-9798A2846FDB</t>
  </si>
  <si>
    <t>2016-09-02_14:28 - Chamando mensagem de requisição</t>
  </si>
  <si>
    <t>2016-09-02_14:28 - Capturando resultado final</t>
  </si>
  <si>
    <t>2016-09-02_14:28 - Efetuando logout</t>
  </si>
  <si>
    <t>2016-09-02_14:28 - Logout realizado</t>
  </si>
  <si>
    <t>2016-09-02_14:28 - -------------Fim da exportação transações de projeto-------------</t>
  </si>
  <si>
    <t>2016-09-02_14:28 - -------------Início da exportação transações de projeto-------------</t>
  </si>
  <si>
    <t>2016-09-02_14:28 - Arquivo xog sendo gravado em: C:\xog_rumo_all_financial\xog_transaction_lote_20160902_142805.xml</t>
  </si>
  <si>
    <t>2016-09-02_14:28 - Proxy identificado</t>
  </si>
  <si>
    <t>2016-09-02_14:28 - Ambiente selecionado: DEV</t>
  </si>
  <si>
    <t>2016-09-02_14:28 -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</si>
  <si>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2016-09-02_14:28 - Enviando requisição de login</t>
  </si>
  <si>
    <t>2016-09-02_14:28 - Login realizado. SessionID capturado: 9394806__BB3EAECB-5E69-4FEA-95B0-1D21213D4D55</t>
  </si>
  <si>
    <t>2016-09-02_14:28 - Arquivo xog sendo gravado em: C:\xog_rumo_all_financial\xog_transaction_lote_20160902_142810.xml</t>
  </si>
  <si>
    <t>2016-09-02_14:28 - Login realizado. SessionID capturado: 9394807__813A2BD8-20A1-4753-8707-48DDA5D94003</t>
  </si>
  <si>
    <t>2016-09-02_14:28 - Arquivo xog sendo gravado em: C:\xog_rumo_all_financial\xog_transaction_lote_20160902_142820.xml</t>
  </si>
  <si>
    <t>2016-09-02_14:28 - Login realizado. SessionID capturado: 9394808__45EE3B61-362E-4CB6-9C79-F42E4574545B</t>
  </si>
  <si>
    <t>2016-09-02_14:28 - Arquivo xog sendo gravado em: C:\xog_rumo_all_financial\xog_transaction_lote_20160902_142825.xml</t>
  </si>
  <si>
    <t>2016-09-02_14:28 - Login realizado. SessionID capturado: 9394809__55780150-EE59-4393-9166-544BB61B14DB</t>
  </si>
  <si>
    <t>2016-09-02_14:28 - Arquivo xog sendo gravado em: C:\xog_rumo_all_financial\xog_transaction_lote_20160902_142830.xml</t>
  </si>
  <si>
    <t>2016-09-02_14:28 - Login realizado. SessionID capturado: 9394810__709494AD-BAE9-4509-9F5A-636E94FC6A37</t>
  </si>
  <si>
    <t>2016-09-02_14:28 - Arquivo xog sendo gravado em: C:\xog_rumo_all_financial\xog_transaction_lote_20160902_142835.xml</t>
  </si>
  <si>
    <t>2016-09-02_14:28 - Login realizado. SessionID capturado: 9394811__63D5E990-5ACD-4415-B7AD-44F263C3BB92</t>
  </si>
  <si>
    <t>2016-09-02_14:28 - Arquivo xog sendo gravado em: C:\xog_rumo_all_financial\xog_transaction_lote_20160902_142840.xml</t>
  </si>
  <si>
    <t>2016-09-02_14:28 - Login realizado. SessionID capturado: 9394812__90A78E52-CCE3-4317-A414-B8AD2E91BA3F</t>
  </si>
  <si>
    <t>2016-09-02_14:28 - Arquivo xog sendo gravado em: C:\xog_rumo_all_financial\xog_transaction_lote_20160902_142845.xml</t>
  </si>
  <si>
    <t>2016-09-02_14:28 - Login realizado. SessionID capturado: 9394813__A5474724-117E-4624-9AC4-66DB53005AD0</t>
  </si>
  <si>
    <t>2016-09-02_14:28 - Arquivo xog sendo gravado em: C:\xog_rumo_all_financial\xog_transaction_lote_20160902_142850.xml</t>
  </si>
  <si>
    <t>2016-09-02_14:28 - Login realizado. SessionID capturado: 9394814__4040385F-5D95-46D5-AEDA-D19834E41FCC</t>
  </si>
  <si>
    <t>2016-09-02_14:31 - -------------Início da exportação transações de projeto-------------</t>
  </si>
  <si>
    <t>2016-09-02_14:31 - Arquivo xog sendo gravado em: C:\xog_rumo_all_financial\xog_transaction_lote_20160902_143104.xml</t>
  </si>
  <si>
    <t>2016-09-02_14:31 - Proxy identificado</t>
  </si>
  <si>
    <t>2016-09-02_14:31 - Ambiente selecionado: DEV</t>
  </si>
  <si>
    <t>2016-09-02_14:31 -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</si>
  <si>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2016-09-02_14:31 - Enviando requisição de login</t>
  </si>
  <si>
    <t>2016-09-02_14:31 - Login realizado. SessionID capturado: 9394816__5245A898-64DE-4DA3-89C2-C418A08C6C92</t>
  </si>
  <si>
    <t>2016-09-02_14:31 - Chamando mensagem de requisição</t>
  </si>
  <si>
    <t>2016-09-02_14:31 - Capturando resultado final</t>
  </si>
  <si>
    <t>2016-09-02_14:31 - Efetuando logout</t>
  </si>
  <si>
    <t>2016-09-02_14:31 - Logout realizado</t>
  </si>
  <si>
    <t>2016-09-02_14:31 - -------------Fim da exportação transações de projeto-------------</t>
  </si>
  <si>
    <t>2016-09-02_14:31 - Arquivo xog sendo gravado em: C:\xog_rumo_all_financial\xog_transaction_lote_20160902_143111.xml</t>
  </si>
  <si>
    <t>2016-09-02_14:31 - Login realizado. SessionID capturado: 9394817__9F74BF50-3682-4437-AE9A-58D649498195</t>
  </si>
  <si>
    <t>2016-09-02_14:31 - Arquivo xog sendo gravado em: C:\xog_rumo_all_financial\xog_transaction_lote_20160902_143116.xml</t>
  </si>
  <si>
    <t>2016-09-02_14:31 - Login realizado. SessionID capturado: 9394818__FF30A048-28D0-4946-97EE-A9912D90A896</t>
  </si>
  <si>
    <t>2016-09-02_14:31 - Arquivo xog sendo gravado em: C:\xog_rumo_all_financial\xog_transaction_lote_20160902_143121.xml</t>
  </si>
  <si>
    <t>2016-09-02_14:31 - Login realizado. SessionID capturado: 9394819__553280DF-7F23-4930-B760-F4C66F0E05F7</t>
  </si>
  <si>
    <t>2016-09-02_14:31 - Arquivo xog sendo gravado em: C:\xog_rumo_all_financial\xog_transaction_lote_20160902_143126.xml</t>
  </si>
  <si>
    <t>2016-09-02_14:31 - Login realizado. SessionID capturado: 9394820__D57FF127-7CC3-4F90-AC41-80E23ECD354D</t>
  </si>
  <si>
    <t>2016-09-02_14:31 - Arquivo xog sendo gravado em: C:\xog_rumo_all_financial\xog_transaction_lote_20160902_143131.xml</t>
  </si>
  <si>
    <t>2016-09-02_14:31 - Login realizado. SessionID capturado: 9394821__4B57DF5E-F4C1-4CAF-9C36-F5A8C48CADE2</t>
  </si>
  <si>
    <t>2016-09-02_14:31 - Arquivo xog sendo gravado em: C:\xog_rumo_all_financial\xog_transaction_lote_20160902_143136.xml</t>
  </si>
  <si>
    <t>2016-09-02_14:31 - Login realizado. SessionID capturado: 9394822__7401FF63-33AA-4400-B0AE-71757A880B1F</t>
  </si>
  <si>
    <t>2016-09-02_14:31 - Arquivo xog sendo gravado em: C:\xog_rumo_all_financial\xog_transaction_lote_20160902_143141.xml</t>
  </si>
  <si>
    <t>2016-09-02_14:31 - Login realizado. SessionID capturado: 9394823__62237F88-B616-491D-94DB-C11770A5A5DF</t>
  </si>
  <si>
    <t>2016-09-02_14:31 - Arquivo xog sendo gravado em: C:\xog_rumo_all_financial\xog_transaction_lote_20160902_143146.xml</t>
  </si>
  <si>
    <t>2016-09-02_14:31 - Login realizado. SessionID capturado: 9394824__F7140D64-3ADA-45C6-A890-E739EFC9094F</t>
  </si>
  <si>
    <t>2016-09-02_14:31 - Arquivo xog sendo gravado em: C:\xog_rumo_all_financial\xog_transaction_lote_20160902_143151.xml</t>
  </si>
  <si>
    <t>2016-09-02_14:31 - Login realizado. SessionID capturado: 9394825__8A14A926-39B6-4BB2-8B4F-8A055704590D</t>
  </si>
  <si>
    <t>STATUS_FIN</t>
  </si>
  <si>
    <t>2016-09-02_14:38 - Proxy identificado</t>
  </si>
  <si>
    <t>2016-09-02_14:38 - Ambiente selecionado: DEV</t>
  </si>
  <si>
    <t>2016-09-02_14:38 - Escrevendo tarefas...</t>
  </si>
  <si>
    <t>2016-09-02_14:38 - Escrevendo locais...</t>
  </si>
  <si>
    <t>2016-09-02_14:38 - Escrevendo períodos...</t>
  </si>
  <si>
    <t>2016-09-02_14:38 - Escrevendo fornecedores...</t>
  </si>
  <si>
    <t>2016-09-02_14:38 - Escrevendo departamentos...</t>
  </si>
  <si>
    <t>2016-09-02_14:38 - Escrevendo centros de custo...</t>
  </si>
  <si>
    <t>2016-09-02_14:38 - Escrevendo recursos e classes de transacao...</t>
  </si>
  <si>
    <t>2016-09-02_14:38 - Escrevendo classes de transacao...</t>
  </si>
  <si>
    <t>2016-09-02_14:40 - Proxy identificado</t>
  </si>
  <si>
    <t>2016-09-02_14:40 - Ambiente selecionado: DEV</t>
  </si>
  <si>
    <t>2016-09-02_14:40 - Escrevendo tarefas...</t>
  </si>
  <si>
    <t>2016-09-02_14:40 - Escrevendo locais...</t>
  </si>
  <si>
    <t>2016-09-02_14:40 - Escrevendo períodos...</t>
  </si>
  <si>
    <t>2016-09-02_14:40 - Escrevendo fornecedores...</t>
  </si>
  <si>
    <t>2016-09-02_14:40 - Escrevendo departamentos...</t>
  </si>
  <si>
    <t>2016-09-02_14:40 - Escrevendo centros de custo...</t>
  </si>
  <si>
    <t>2016-09-02_14:40 - Escrevendo recursos e classes de transacao...</t>
  </si>
  <si>
    <t>2016-09-02_14:40 - Escrevendo classes de transacao...</t>
  </si>
  <si>
    <t>2016-09-02_14:42 - Escrevendo classes de transacao...</t>
  </si>
  <si>
    <t>2016-09-02_14:42 - Proxy identificado</t>
  </si>
  <si>
    <t>2016-09-02_14:42 - Ambiente selecionado: DEV</t>
  </si>
  <si>
    <t>2016-09-02_14:42 - Escrevendo tarefas...</t>
  </si>
  <si>
    <t>2016-09-02_14:42 - Escrevendo locais...</t>
  </si>
  <si>
    <t>2016-09-02_14:42 - Escrevendo períodos...</t>
  </si>
  <si>
    <t>2016-09-02_14:42 - Escrevendo fornecedores...</t>
  </si>
  <si>
    <t>2016-09-02_14:42 - Escrevendo departamentos...</t>
  </si>
  <si>
    <t>2016-09-02_14:42 - Escrevendo centros de custo...</t>
  </si>
  <si>
    <t>2016-09-02_14:42 - Escrevendo recursos e classes de transacao...</t>
  </si>
  <si>
    <t>2016-09-02_14:42 - -------------Início da exportação transações de projeto-------------</t>
  </si>
  <si>
    <t>2016-09-02_14:42 - Arquivo xog sendo gravado em: C:\xog_rumo_all_financial\xog_transaction_lote_20160902_144220.xml</t>
  </si>
  <si>
    <t>2016-09-02_14:42 -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</si>
  <si>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2016-09-02_14:42 - Enviando requisição de login</t>
  </si>
  <si>
    <t>2016-09-02_14:42 - Login realizado. SessionID capturado: 9394844__868D70E0-ED9A-4891-8874-0742C1229228</t>
  </si>
  <si>
    <t>2016-09-02_14:42 - Chamando mensagem de requisição</t>
  </si>
  <si>
    <t>2016-09-02_14:42 - Capturando resultado final</t>
  </si>
  <si>
    <t>2016-09-02_14:42 - Efetuando logout</t>
  </si>
  <si>
    <t>2016-09-02_14:42 - Logout realizado</t>
  </si>
  <si>
    <t>2016-09-02_14:42 - -------------Fim da exportação transações de projeto-------------</t>
  </si>
  <si>
    <t>2016-09-02_14:42 - Arquivo xog sendo gravado em: C:\xog_rumo_all_financial\xog_transaction_lote_20160902_144226.xml</t>
  </si>
  <si>
    <t>2016-09-02_14:42 - Login realizado. SessionID capturado: 9394845__74D3F724-7B43-44CB-B9DD-1E6FB5A5FDC1</t>
  </si>
  <si>
    <t>2016-09-02_14:42 - Arquivo xog sendo gravado em: C:\xog_rumo_all_financial\xog_transaction_lote_20160902_144231.xml</t>
  </si>
  <si>
    <t>2016-09-02_14:42 - Login realizado. SessionID capturado: 9394846__E951553D-938F-42EC-A01C-1CC42E479C75</t>
  </si>
  <si>
    <t>2016-09-02_14:42 - Arquivo xog sendo gravado em: C:\xog_rumo_all_financial\xog_transaction_lote_20160902_144236.xml</t>
  </si>
  <si>
    <t>2016-09-02_14:42 - Login realizado. SessionID capturado: 9394847__B348AF68-EA5C-4426-8A75-3BE7F77B5AAC</t>
  </si>
  <si>
    <t>2016-09-02_14:42 - Arquivo xog sendo gravado em: C:\xog_rumo_all_financial\xog_transaction_lote_20160902_144241.xml</t>
  </si>
  <si>
    <t>2016-09-02_14:42 - Login realizado. SessionID capturado: 9394848__BDF7D7A8-B1BF-48F4-85C5-D67A67448818</t>
  </si>
  <si>
    <t>2016-09-02_14:42 - Arquivo xog sendo gravado em: C:\xog_rumo_all_financial\xog_transaction_lote_20160902_144246.xml</t>
  </si>
  <si>
    <t>2016-09-02_14:42 - Login realizado. SessionID capturado: 9394849__FD0F66A4-5AB6-4251-89AB-C9BE119C105F</t>
  </si>
  <si>
    <t>2016-09-02_14:42 - Arquivo xog sendo gravado em: C:\xog_rumo_all_financial\xog_transaction_lote_20160902_144251.xml</t>
  </si>
  <si>
    <t>2016-09-02_14:42 - Login realizado. SessionID capturado: 9394850__4A012978-E578-4924-923A-313FEC978128</t>
  </si>
  <si>
    <t>2016-09-02_14:42 - Arquivo xog sendo gravado em: C:\xog_rumo_all_financial\xog_transaction_lote_20160902_144256.xml</t>
  </si>
  <si>
    <t>2016-09-02_14:42 - Login realizado. SessionID capturado: 9394851__DD295A37-6EFB-4ADE-9F6E-5E1976FADEA1</t>
  </si>
  <si>
    <t>2016-09-02_14:43 - -------------Início da exportação transações de projeto-------------</t>
  </si>
  <si>
    <t>2016-09-02_14:43 - Arquivo xog sendo gravado em: C:\xog_rumo_all_financial\xog_transaction_lote_20160902_144301.xml</t>
  </si>
  <si>
    <t>2016-09-02_14:43 - Proxy identificado</t>
  </si>
  <si>
    <t>2016-09-02_14:43 - Ambiente selecionado: DEV</t>
  </si>
  <si>
    <t>2016-09-02_14:43 -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</si>
  <si>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2016-09-02_14:43 - Enviando requisição de login</t>
  </si>
  <si>
    <t>2016-09-02_14:43 - Login realizado. SessionID capturado: 9394852__CC257D49-B9AA-4E5D-B2B0-B0D3DA9BA681</t>
  </si>
  <si>
    <t>2016-09-02_14:43 - Chamando mensagem de requisição</t>
  </si>
  <si>
    <t>2016-09-02_14:43 - Capturando resultado final</t>
  </si>
  <si>
    <t>2016-09-02_14:43 - Efetuando logout</t>
  </si>
  <si>
    <t>2016-09-02_14:43 - Logout realizado</t>
  </si>
  <si>
    <t>2016-09-02_14:43 - -------------Fim da exportação transações de projeto-------------</t>
  </si>
  <si>
    <t>2016-09-02_14:43 - Arquivo xog sendo gravado em: C:\xog_rumo_all_financial\xog_transaction_lote_20160902_144306.xml</t>
  </si>
  <si>
    <t>2016-09-02_14:43 - Login realizado. SessionID capturado: 9394853__8526450D-8BAA-4355-B47E-B77822320B9B</t>
  </si>
  <si>
    <t>2016-09-02_14:44 - -------------Início da exportação transações de projeto-------------</t>
  </si>
  <si>
    <t>2016-09-02_14:44 - Arquivo xog sendo gravado em: C:\xog_rumo_all_financial\xog_transaction_lote_20160902_144403.xml</t>
  </si>
  <si>
    <t>2016-09-02_14:44 - Proxy identificado</t>
  </si>
  <si>
    <t>2016-09-02_14:44 - Ambiente selecionado: DEV</t>
  </si>
  <si>
    <t>2016-09-02_14:44 -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</si>
  <si>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2016-09-02_14:44 - Enviando requisição de login</t>
  </si>
  <si>
    <t>2016-09-02_14:44 - Login realizado. SessionID capturado: 9394854__850326E1-6AF8-46F6-AE9E-3EF533AF87A6</t>
  </si>
  <si>
    <t>2016-09-02_14:44 - Chamando mensagem de requisição</t>
  </si>
  <si>
    <t>2016-09-02_14:44 - Capturando resultado final</t>
  </si>
  <si>
    <t>2016-09-02_14:44 - Efetuando logout</t>
  </si>
  <si>
    <t>2016-09-02_14:44 - Logout realizado</t>
  </si>
  <si>
    <t>2016-09-02_14:44 - -------------Fim da exportação transações de projeto-------------</t>
  </si>
  <si>
    <t>2016-09-02_14:44 - Arquivo xog sendo gravado em: C:\xog_rumo_all_financial\xog_transaction_lote_20160902_144409.xml</t>
  </si>
  <si>
    <t>2016-09-02_14:44 - Login realizado. SessionID capturado: 9394855__6FD1573D-7203-48F7-99BD-FC97C69ECA68</t>
  </si>
  <si>
    <t>2016-09-02_14:44 - Arquivo xog sendo gravado em: C:\xog_rumo_all_financial\xog_transaction_lote_20160902_144414.xml</t>
  </si>
  <si>
    <t>2016-09-02_14:44 - Login realizado. SessionID capturado: 9394856__21705E81-5224-4DC1-B66A-7A8C7DF16A16</t>
  </si>
  <si>
    <t>2016-09-02_14:44 - Arquivo xog sendo gravado em: C:\xog_rumo_all_financial\xog_transaction_lote_20160902_144419.xml</t>
  </si>
  <si>
    <t>2016-09-02_14:44 - Login realizado. SessionID capturado: 9394857__3B0FF77B-4F49-4070-9AB2-EAF51059E8F8</t>
  </si>
  <si>
    <t>2016-09-02_14:44 - Arquivo xog sendo gravado em: C:\xog_rumo_all_financial\xog_transaction_lote_20160902_144424.xml</t>
  </si>
  <si>
    <t>2016-09-02_14:44 - Login realizado. SessionID capturado: 9394858__6B5260B0-9E8C-4996-8315-C3E56374152B</t>
  </si>
  <si>
    <t>2016-09-02_14:44 - Arquivo xog sendo gravado em: C:\xog_rumo_all_financial\xog_transaction_lote_20160902_144429.xml</t>
  </si>
  <si>
    <t>2016-09-02_14:44 - Login realizado. SessionID capturado: 9394859__EDA0ADCD-6DF1-456D-912B-3A253F87EC2A</t>
  </si>
  <si>
    <t>2016-09-02_14:44 - Arquivo xog sendo gravado em: C:\xog_rumo_all_financial\xog_transaction_lote_20160902_144434.xml</t>
  </si>
  <si>
    <t>2016-09-02_14:44 - Login realizado. SessionID capturado: 9394860__50330F10-609C-47F6-A121-225F778971AD</t>
  </si>
  <si>
    <t>2016-09-02_14:44 - Arquivo xog sendo gravado em: C:\xog_rumo_all_financial\xog_transaction_lote_20160902_144439.xml</t>
  </si>
  <si>
    <t>2016-09-02_14:44 - Login realizado. SessionID capturado: 9394861__80EA7F07-56B1-481C-ACF2-2FB4BE763B4C</t>
  </si>
  <si>
    <t>2016-09-02_14:44 - Arquivo xog sendo gravado em: C:\xog_rumo_all_financial\xog_transaction_lote_20160902_144444.xml</t>
  </si>
  <si>
    <t>2016-09-02_14:44 - Login realizado. SessionID capturado: 9394862__9DD0B06B-ED77-49F9-AE75-B3C4A3F67699</t>
  </si>
  <si>
    <t>2016-09-02_14:44 - Arquivo xog sendo gravado em: C:\xog_rumo_all_financial\xog_transaction_lote_20160902_144449.xml</t>
  </si>
  <si>
    <t>2016-09-02_14:44 - Login realizado. SessionID capturado: 9394864__139D5EDF-6C9A-4A67-936B-E032F9A4864C</t>
  </si>
  <si>
    <t>2016-09-02_14:47 - -------------Início da exportação transações de projeto-------------</t>
  </si>
  <si>
    <t>2016-09-02_14:47 - Arquivo xog sendo gravado em: C:\xog_rumo_all_financial\xog_transaction_lote_20160902_144712.xml</t>
  </si>
  <si>
    <t>2016-09-02_14:47 - Proxy identificado</t>
  </si>
  <si>
    <t>2016-09-02_14:47 - Ambiente selecionado: DEV</t>
  </si>
  <si>
    <t>2016-09-02_14:47 -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</si>
  <si>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2016-09-02_14:47 - Enviando requisição de login</t>
  </si>
  <si>
    <t>2016-09-02_14:47 - Login realizado. SessionID capturado: 9394865__33980E39-8C60-4572-967C-EBF6A238DF93</t>
  </si>
  <si>
    <t>2016-09-02_14:47 - Chamando mensagem de requisição</t>
  </si>
  <si>
    <t>2016-09-02_14:47 - Capturando resultado final</t>
  </si>
  <si>
    <t>2016-09-02_14:47 - Efetuando logout</t>
  </si>
  <si>
    <t>2016-09-02_14:47 - Logout realizado</t>
  </si>
  <si>
    <t>2016-09-02_14:47 - -------------Fim da exportação transações de projeto-------------</t>
  </si>
  <si>
    <t>2016-09-02_14:47 - Arquivo xog sendo gravado em: C:\xog_rumo_all_financial\xog_transaction_lote_20160902_144719.xml</t>
  </si>
  <si>
    <t>2016-09-02_14:47 - Login realizado. SessionID capturado: 9394866__954229E8-292F-4AE3-8F3D-6238CD384B09</t>
  </si>
  <si>
    <t>2016-09-02_14:47 - Arquivo xog sendo gravado em: C:\xog_rumo_all_financial\xog_transaction_lote_20160902_144724.xml</t>
  </si>
  <si>
    <t>2016-09-02_14:47 - Login realizado. SessionID capturado: 9394867__3530B721-D24C-499F-96FF-CFB7BBE23453</t>
  </si>
  <si>
    <t>2016-09-02_14:47 - Arquivo xog sendo gravado em: C:\xog_rumo_all_financial\xog_transaction_lote_20160902_144729.xml</t>
  </si>
  <si>
    <t>2016-09-02_14:47 - Login realizado. SessionID capturado: 9394868__E0ECFA01-3BD8-4BD0-911C-14D92064E2EC</t>
  </si>
  <si>
    <t>2016-09-02_14:47 - Arquivo xog sendo gravado em: C:\xog_rumo_all_financial\xog_transaction_lote_20160902_144734.xml</t>
  </si>
  <si>
    <t>2016-09-02_14:47 - Login realizado. SessionID capturado: 9394869__9D3BA924-F638-4F25-AECB-5F815CD0BD6F</t>
  </si>
  <si>
    <t>2016-09-02_14:47 - Arquivo xog sendo gravado em: C:\xog_rumo_all_financial\xog_transaction_lote_20160902_144739.xml</t>
  </si>
  <si>
    <t>2016-09-02_14:47 - Login realizado. SessionID capturado: 9394870__0B609DAF-FCAC-4AC0-AE5F-CD3CF799FBD5</t>
  </si>
  <si>
    <t>2016-09-02_14:47 - Arquivo xog sendo gravado em: C:\xog_rumo_all_financial\xog_transaction_lote_20160902_144744.xml</t>
  </si>
  <si>
    <t>2016-09-02_14:47 - Login realizado. SessionID capturado: 9394871__A8889E3D-6587-41BE-8B0F-320210DA2CF6</t>
  </si>
  <si>
    <t>2016-09-02_14:47 - Arquivo xog sendo gravado em: C:\xog_rumo_all_financial\xog_transaction_lote_20160902_144749.xml</t>
  </si>
  <si>
    <t>2016-09-02_14:47 - Login realizado. SessionID capturado: 9394872__42FF72E3-F535-4E43-83F8-826F07524E7D</t>
  </si>
  <si>
    <t>2016-09-02_14:47 - Arquivo xog sendo gravado em: C:\xog_rumo_all_financial\xog_transaction_lote_20160902_144754.xml</t>
  </si>
  <si>
    <t>2016-09-02_14:47 - Login realizado. SessionID capturado: 9394873__ECC9766D-0396-4C31-9AA0-ECB4EC195BAF</t>
  </si>
  <si>
    <t>2016-09-02_14:47 - Arquivo xog sendo gravado em: C:\xog_rumo_all_financial\xog_transaction_lote_20160902_144759.xml</t>
  </si>
  <si>
    <t>2016-09-02_14:47 - Login realizado. SessionID capturado: 9394874__06E1DF6D-7148-4A52-AF12-B6CF1F3F8A7E</t>
  </si>
  <si>
    <t>2016-09-02_14:59 - -------------Início da exportação transações de projeto-------------</t>
  </si>
  <si>
    <t>2016-09-02_14:59 - Arquivo xog sendo gravado em: C:\xog_rumo_all_financial\xog_transaction_lote_20160902_145923.xml</t>
  </si>
  <si>
    <t>2016-09-02_14:59 - Proxy identificado</t>
  </si>
  <si>
    <t>2016-09-02_14:59 - Ambiente selecionado: DEV</t>
  </si>
  <si>
    <t>2016-09-02_14:59 -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</si>
  <si>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2016-09-02_14:59 - Enviando requisição de login</t>
  </si>
  <si>
    <t>2016-09-02_15:15 - -------------Início da exportação transações de projeto-------------</t>
  </si>
  <si>
    <t>2016-09-02_15:15 - Arquivo xog sendo gravado em: C:\xog_rumo_all_financial\xog_transaction_lote_20160902_151557.xml</t>
  </si>
  <si>
    <t>2016-09-02_15:15 - Proxy identificado</t>
  </si>
  <si>
    <t>2016-09-02_15:15 - Ambiente selecionado: DEV</t>
  </si>
  <si>
    <t>2016-09-02_15:15 -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</si>
  <si>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2016-09-02_15:15 - Enviando requisição de login</t>
  </si>
  <si>
    <t>2016-09-02_15:15 - Login realizado. SessionID capturado: 9394884__8221195B-6717-44B1-ADD2-423C2328B3E2</t>
  </si>
  <si>
    <t>2016-09-02_15:15 - Chamando mensagem de requisição</t>
  </si>
  <si>
    <t>2016-09-02_15:15 - Capturando resultado final</t>
  </si>
  <si>
    <t>2016-09-02_15:15 - Efetuando logout</t>
  </si>
  <si>
    <t>2016-09-02_15:15 - Logout realizado</t>
  </si>
  <si>
    <t>2016-09-02_15:15 - -------------Fim da exportação transações de projeto-------------</t>
  </si>
  <si>
    <t>2016-09-02_15:16 - -------------Início da exportação transações de projeto-------------</t>
  </si>
  <si>
    <t>2016-09-02_15:16 - Arquivo xog sendo gravado em: C:\xog_rumo_all_financial\xog_transaction_lote_20160902_151604.xml</t>
  </si>
  <si>
    <t>2016-09-02_15:16 - Proxy identificado</t>
  </si>
  <si>
    <t>2016-09-02_15:16 - Ambiente selecionado: DEV</t>
  </si>
  <si>
    <t>2016-09-02_15:16 -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</si>
  <si>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2016-09-02_15:16 - Enviando requisição de login</t>
  </si>
  <si>
    <t>2016-09-02_15:16 - Login realizado. SessionID capturado: 9394885__B044BCC0-A201-449B-AB88-9A12FA92550E</t>
  </si>
  <si>
    <t>2016-09-02_15:16 - Chamando mensagem de requisição</t>
  </si>
  <si>
    <t>2016-09-02_15:16 - Capturando resultado final</t>
  </si>
  <si>
    <t>2016-09-02_15:16 - Efetuando logout</t>
  </si>
  <si>
    <t>2016-09-02_15:16 - Logout realizado</t>
  </si>
  <si>
    <t>2016-09-02_15:16 - -------------Fim da exportação transações de projeto-------------</t>
  </si>
  <si>
    <t>2016-09-02_15:16 - Arquivo xog sendo gravado em: C:\xog_rumo_all_financial\xog_transaction_lote_20160902_151609.xml</t>
  </si>
  <si>
    <t>2016-09-02_15:16 - Login realizado. SessionID capturado: 9394886__39AC5C68-8FB0-4C01-8333-6C6BA9925D59</t>
  </si>
  <si>
    <t>2016-09-02_15:16 - Arquivo xog sendo gravado em: C:\xog_rumo_all_financial\xog_transaction_lote_20160902_151614.xml</t>
  </si>
  <si>
    <t>2016-09-02_15:16 - Login realizado. SessionID capturado: 9394887__00F61A58-566B-425B-B13E-DC8FEC017B65</t>
  </si>
  <si>
    <t>2016-09-02_15:16 - Arquivo xog sendo gravado em: C:\xog_rumo_all_financial\xog_transaction_lote_20160902_151619.xml</t>
  </si>
  <si>
    <t>2016-09-02_15:16 - Login realizado. SessionID capturado: 9394888__E964DFBC-0A27-4607-8F48-633CAA96FD00</t>
  </si>
  <si>
    <t>2016-09-02_15:16 - Arquivo xog sendo gravado em: C:\xog_rumo_all_financial\xog_transaction_lote_20160902_151624.xml</t>
  </si>
  <si>
    <t>2016-09-02_15:16 - Login realizado. SessionID capturado: 9394889__90E4B4C6-C043-41E0-ACD2-80ADF675431C</t>
  </si>
  <si>
    <t>2016-09-02_15:16 - Arquivo xog sendo gravado em: C:\xog_rumo_all_financial\xog_transaction_lote_20160902_151629.xml</t>
  </si>
  <si>
    <t>2016-09-02_15:16 - Login realizado. SessionID capturado: 9394890__C672216F-FFBA-4C5E-B773-058DE2975889</t>
  </si>
  <si>
    <t>2016-09-02_15:16 - Arquivo xog sendo gravado em: C:\xog_rumo_all_financial\xog_transaction_lote_20160902_151634.xml</t>
  </si>
  <si>
    <t>2016-09-02_15:16 - Login realizado. SessionID capturado: 9394891__2666F297-5B15-431F-8FAD-DE0D77DCC1D9</t>
  </si>
  <si>
    <t>2016-09-02_15:16 - Arquivo xog sendo gravado em: C:\xog_rumo_all_financial\xog_transaction_lote_20160902_151639.xml</t>
  </si>
  <si>
    <t>2016-09-02_15:16 - Login realizado. SessionID capturado: 9394892__9620B656-B6A5-48A2-9662-23FC04BEF1AC</t>
  </si>
  <si>
    <t>2016-09-02_15:16 - Arquivo xog sendo gravado em: C:\xog_rumo_all_financial\xog_transaction_lote_20160902_151644.xml</t>
  </si>
  <si>
    <t>2016-09-02_15:16 - Login realizado. SessionID capturado: 9394893__C4970500-4B1C-41F6-A429-75CE0BE6F78F</t>
  </si>
  <si>
    <t>2016-09-02_15:16 - Arquivo xog sendo gravado em: C:\xog_rumo_all_financial\xog_transaction_lote_20160902_151649.xml</t>
  </si>
  <si>
    <t>2016-09-02_15:16 - Login realizado. SessionID capturado: 9394894__4E7223AA-AA1F-4A1C-8330-26787E6F168B</t>
  </si>
  <si>
    <t>2016-09-02_15:16 - Arquivo xog sendo gravado em: C:\xog_rumo_all_financial\xog_transaction_lote_20160902_151654.xml</t>
  </si>
  <si>
    <t>2016-09-02_15:16 - Login realizado. SessionID capturado: 9394895__72214F8E-65AB-4F41-9B3A-5153C56195A1</t>
  </si>
  <si>
    <t>2016-09-02_15:16 - Arquivo xog sendo gravado em: C:\xog_rumo_all_financial\xog_transaction_lote_20160902_151659.xml</t>
  </si>
  <si>
    <t>2016-09-02_15:16 - Login realizado. SessionID capturado: 9394896__1FB8C3D9-AFFB-48C4-9A42-E33BCFFAA67F</t>
  </si>
  <si>
    <t>2016-09-02_15:17 - -------------Início da exportação transações de projeto-------------</t>
  </si>
  <si>
    <t>2016-09-02_15:17 - Arquivo xog sendo gravado em: C:\xog_rumo_all_financial\xog_transaction_lote_20160902_151704.xml</t>
  </si>
  <si>
    <t>2016-09-02_15:17 - Proxy identificado</t>
  </si>
  <si>
    <t>2016-09-02_15:17 - Ambiente selecionado: DEV</t>
  </si>
  <si>
    <t>2016-09-02_15:17 -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</si>
  <si>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2016-09-02_15:17 - Enviando requisição de login</t>
  </si>
  <si>
    <t>2016-09-02_15:17 - Login realizado. SessionID capturado: 9394897__2A7383B5-153F-4FEB-9571-226E7109718A</t>
  </si>
  <si>
    <t>2016-09-02_15:17 - Chamando mensagem de requisição</t>
  </si>
  <si>
    <t>2016-09-02_15:17 - Capturando resultado final</t>
  </si>
  <si>
    <t>2016-09-02_15:17 - Efetuando logout</t>
  </si>
  <si>
    <t>2016-09-02_15:17 - Logout realizado</t>
  </si>
  <si>
    <t>2016-09-02_15:17 - -------------Fim da exportação transações de projeto-------------</t>
  </si>
  <si>
    <t>2016-09-02_15:17 - Arquivo xog sendo gravado em: C:\xog_rumo_all_financial\xog_transaction_lote_20160902_151709.xml</t>
  </si>
  <si>
    <t>2016-09-02_15:17 - Login realizado. SessionID capturado: 9394898__341D8663-47F4-4CF2-9DF4-4B36372512BF</t>
  </si>
  <si>
    <t>2016-09-02_15:17 - Arquivo xog sendo gravado em: C:\xog_rumo_all_financial\xog_transaction_lote_20160902_151714.xml</t>
  </si>
  <si>
    <t>2016-09-02_15:17 - Login realizado. SessionID capturado: 9394899__D5E009BE-3012-459F-8E5E-2A4CDB37AB90</t>
  </si>
  <si>
    <t>2016-09-02_15:17 - Arquivo xog sendo gravado em: C:\xog_rumo_all_financial\xog_transaction_lote_20160902_151719.xml</t>
  </si>
  <si>
    <t>2016-09-02_15:17 - Login realizado. SessionID capturado: 9394900__04A36195-3B5C-49BA-BFD6-36C1542A4DEF</t>
  </si>
  <si>
    <t>2016-09-02_15:17 - Arquivo xog sendo gravado em: C:\xog_rumo_all_financial\xog_transaction_lote_20160902_151724.xml</t>
  </si>
  <si>
    <t>2016-09-02_15:17 - Login realizado. SessionID capturado: 9394901__734D36C7-9E23-41B3-8889-214849DE35DF</t>
  </si>
  <si>
    <t>VALIDATION
FINANCIAL
STATUS</t>
  </si>
  <si>
    <t>2016-09-02_15:26 - -------------Início da exportação transações de projeto-------------</t>
  </si>
  <si>
    <t>2016-09-02_15:26 - Arquivo xog sendo gravado em: C:\xog_rumo_all_financial\xog_transaction_lote_20160902_152607.xml</t>
  </si>
  <si>
    <t>2016-09-02_15:26 - Arquivo xog sendo gravado em: C:\xog_rumo_all_financial\xog_transaction_lote_20160902_152628.xml</t>
  </si>
  <si>
    <t>2016-09-02_15:26 - Proxy identificado</t>
  </si>
  <si>
    <t>2016-09-02_15:26 - Ambiente selecionado: DEV</t>
  </si>
  <si>
    <t>2016-09-02_15:26 -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</si>
  <si>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2016-09-02_15:26 - Enviando requisição de login</t>
  </si>
  <si>
    <t>2016-09-02_15:27 - -------------Início da exportação transações de projeto-------------</t>
  </si>
  <si>
    <t>2016-09-02_15:27 - Arquivo xog sendo gravado em: C:\xog_rumo_all_financial\xog_transaction_lote_20160902_152711.xml</t>
  </si>
  <si>
    <t>2016-09-02_15:27 - Proxy identificado</t>
  </si>
  <si>
    <t>2016-09-02_15:27 - Ambiente selecionado: DEV</t>
  </si>
  <si>
    <t>2016-09-02_15:27 -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</si>
  <si>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2016-09-02_15:27 - Enviando requisição de login</t>
  </si>
  <si>
    <t>2016-09-02_15:27 - Login realizado. SessionID capturado: 9394904__7EE319F3-CC61-4441-B855-B5EEFA8FE0B1</t>
  </si>
  <si>
    <t>2016-09-02_15:27 - Chamando mensagem de requisição</t>
  </si>
  <si>
    <t>2016-09-02_15:27 - Capturando resultado final</t>
  </si>
  <si>
    <t>2016-09-02_15:27 - Efetuando logout</t>
  </si>
  <si>
    <t>2016-09-02_15:27 - Logout realizado</t>
  </si>
  <si>
    <t>2016-09-02_15:27 - -------------Fim da exportação transações de projeto-------------</t>
  </si>
  <si>
    <t>2016-09-02_15:27 - Arquivo xog sendo gravado em: C:\xog_rumo_all_financial\xog_transaction_lote_20160902_152717.xml</t>
  </si>
  <si>
    <t>2016-09-02_15:27 - Login realizado. SessionID capturado: 9394905__324E34FC-083A-48F8-BF7F-49C6D0223E88</t>
  </si>
  <si>
    <t>2016-09-02_15:27 - Arquivo xog sendo gravado em: C:\xog_rumo_all_financial\xog_transaction_lote_20160902_152722.xml</t>
  </si>
  <si>
    <t>2016-09-02_15:27 - Login realizado. SessionID capturado: 9394906__6D788EFD-60A3-403A-8DD6-5C4CDD66D7DC</t>
  </si>
  <si>
    <t>2016-09-02_15:27 - Arquivo xog sendo gravado em: C:\xog_rumo_all_financial\xog_transaction_lote_20160902_152727.xml</t>
  </si>
  <si>
    <t>2016-09-02_15:27 - Login realizado. SessionID capturado: 9394907__D0857A29-A998-4F13-AC6A-67677E48ACA3</t>
  </si>
  <si>
    <t>2016-09-02_15:27 - Arquivo xog sendo gravado em: C:\xog_rumo_all_financial\xog_transaction_lote_20160902_152732.xml</t>
  </si>
  <si>
    <t>2016-09-02_15:27 - Login realizado. SessionID capturado: 9394908__E1D6EC0C-A587-4559-A49A-2DDD978CA166</t>
  </si>
  <si>
    <t>2016-09-02_15:27 - Arquivo xog sendo gravado em: C:\xog_rumo_all_financial\xog_transaction_lote_20160902_152737.xml</t>
  </si>
  <si>
    <t>2016-09-02_15:27 - Login realizado. SessionID capturado: 9394909__B84E550B-3491-4A09-8A4C-6EC98CB17E9B</t>
  </si>
  <si>
    <t>2016-09-02_15:27 - Arquivo xog sendo gravado em: C:\xog_rumo_all_financial\xog_transaction_lote_20160902_152742.xml</t>
  </si>
  <si>
    <t>2016-09-02_15:27 - Login realizado. SessionID capturado: 9394910__5D55FBBD-54D3-41C9-B142-519BB379261A</t>
  </si>
  <si>
    <t>2016-09-02_15:27 - Arquivo xog sendo gravado em: C:\xog_rumo_all_financial\xog_transaction_lote_20160902_152747.xml</t>
  </si>
  <si>
    <t>2016-09-02_15:27 - Login realizado. SessionID capturado: 9394911__13CC6163-E58A-4328-9262-3A1FAD51EECD</t>
  </si>
  <si>
    <t>2016-09-02_15:27 - Arquivo xog sendo gravado em: C:\xog_rumo_all_financial\xog_transaction_lote_20160902_152752.xml</t>
  </si>
  <si>
    <t>2016-09-02_15:27 - Login realizado. SessionID capturado: 9394912__A1C23B69-1BC6-4417-B302-FABC5B18BE7A</t>
  </si>
  <si>
    <t>2016-09-02_15:27 - Arquivo xog sendo gravado em: C:\xog_rumo_all_financial\xog_transaction_lote_20160902_152757.xml</t>
  </si>
  <si>
    <t>2016-09-02_15:27 - Login realizado. SessionID capturado: 9394913__01973CD6-32F6-4882-BC67-450733BC5789</t>
  </si>
  <si>
    <t>2016-09-02_15:28 - -------------Início da exportação transações de projeto-------------</t>
  </si>
  <si>
    <t>2016-09-02_15:28 - Arquivo xog sendo gravado em: C:\xog_rumo_all_financial\xog_transaction_lote_20160902_152802.xml</t>
  </si>
  <si>
    <t>2016-09-02_15:28 - Proxy identificado</t>
  </si>
  <si>
    <t>2016-09-02_15:28 - Ambiente selecionado: DEV</t>
  </si>
  <si>
    <t>2016-09-02_15:28 -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</si>
  <si>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2016-09-02_15:28 - Enviando requisição de login</t>
  </si>
  <si>
    <t>2016-09-02_15:28 - Login realizado. SessionID capturado: 9394914__4BB8C492-A425-46B8-9F8D-9DB338A893AD</t>
  </si>
  <si>
    <t>2016-09-02_15:28 - Chamando mensagem de requisição</t>
  </si>
  <si>
    <t>2016-09-02_15:28 - Capturando resultado final</t>
  </si>
  <si>
    <t>2016-09-02_15:28 - Efetuando logout</t>
  </si>
  <si>
    <t>2016-09-02_15:28 - Logout realizado</t>
  </si>
  <si>
    <t>2016-09-02_15:28 - -------------Fim da exportação transações de projeto-------------</t>
  </si>
  <si>
    <t>2016-09-02_15:28 - Arquivo xog sendo gravado em: C:\xog_rumo_all_financial\xog_transaction_lote_20160902_152807.xml</t>
  </si>
  <si>
    <t>2016-09-02_15:28 - Login realizado. SessionID capturado: 9394915__A329F363-BF7B-44CE-8957-8C8B8143E1E8</t>
  </si>
  <si>
    <t>2016-09-02_15:28 - Arquivo xog sendo gravado em: C:\xog_rumo_all_financial\xog_transaction_lote_20160902_152812.xml</t>
  </si>
  <si>
    <t>2016-09-02_15:28 - Login realizado. SessionID capturado: 9394916__8507A237-3A76-4219-B598-F2B089A871EA</t>
  </si>
  <si>
    <t>2016-09-02_15:28 - Arquivo xog sendo gravado em: C:\xog_rumo_all_financial\xog_transaction_lote_20160902_152817.xml</t>
  </si>
  <si>
    <t>2016-09-02_15:28 - Login realizado. SessionID capturado: 9394917__F20ADE1B-1A1F-4CEA-A639-BD16761FA9C3</t>
  </si>
  <si>
    <t>2016-09-02_15:28 - Arquivo xog sendo gravado em: C:\xog_rumo_all_financial\xog_transaction_lote_20160902_152822.xml</t>
  </si>
  <si>
    <t>2016-09-02_15:28 - Login realizado. SessionID capturado: 9394918__F5238D9F-A7E4-496B-81DB-45094B3F92A2</t>
  </si>
  <si>
    <t>2016-09-02_15:28 - Arquivo xog sendo gravado em: C:\xog_rumo_all_financial\xog_transaction_lote_20160902_152827.xml</t>
  </si>
  <si>
    <t>2016-09-02_15:28 - Login realizado. SessionID capturado: 9394919__270C736A-F584-4F38-A160-29F53CD646C6</t>
  </si>
  <si>
    <t>2016-09-02_15:28 - Arquivo xog sendo gravado em: C:\xog_rumo_all_financial\xog_transaction_lote_20160902_152832.xml</t>
  </si>
  <si>
    <t>2016-09-02_15:28 - Login realizado. SessionID capturado: 9394920__E8DDD150-BB9F-4EF7-8AD8-C5F18FEAEBDA</t>
  </si>
  <si>
    <t>2016-09-02_15:28 - Arquivo xog sendo gravado em: C:\xog_rumo_all_financial\xog_transaction_lote_20160902_152837.xml</t>
  </si>
  <si>
    <t>2016-09-02_15:28 - Login realizado. SessionID capturado: 9394921__8D584B0F-E61E-4F31-AF26-A6EEDD2C7FF2</t>
  </si>
  <si>
    <t>2016-09-02_15:29 - Proxy identificado</t>
  </si>
  <si>
    <t>2016-09-02_15:29 - Ambiente selecionado: DEV</t>
  </si>
  <si>
    <t>2016-09-02_15:29 - Escrevendo tarefas...</t>
  </si>
  <si>
    <t>2016-09-02_15:29 - Escrevendo locais...</t>
  </si>
  <si>
    <t>2016-09-02_15:29 - Escrevendo períodos...</t>
  </si>
  <si>
    <t>2016-09-02_15:29 - Escrevendo fornecedores...</t>
  </si>
  <si>
    <t>2016-09-02_15:29 - Escrevendo departamentos...</t>
  </si>
  <si>
    <t>2016-09-02_15:29 - Escrevendo centros de custo...</t>
  </si>
  <si>
    <t>2016-09-02_15:29 - Escrevendo recursos e classes de transacao...</t>
  </si>
  <si>
    <t>2016-09-02_15:29 - Escrevendo classes de transacao...</t>
  </si>
  <si>
    <t>2016-09-02_15:29 - -------------Início da exportação transações de projeto-------------</t>
  </si>
  <si>
    <t>2016-09-02_15:29 - Arquivo xog sendo gravado em: C:\xog_rumo_all_financial\xog_transaction_lote_20160902_152931.xml</t>
  </si>
  <si>
    <t>2016-09-02_15:29 -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</si>
  <si>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2016-09-02_15:29 - Enviando requisição de login</t>
  </si>
  <si>
    <t>2016-09-02_15:29 - Login realizado. SessionID capturado: 9394930__BB973A32-E224-4B60-96F4-4529E8A3DC9F</t>
  </si>
  <si>
    <t>2016-09-02_15:29 - Chamando mensagem de requisição</t>
  </si>
  <si>
    <t>2016-09-02_15:29 - Capturando resultado final</t>
  </si>
  <si>
    <t>2016-09-02_15:29 - Efetuando logout</t>
  </si>
  <si>
    <t>2016-09-02_15:29 - Logout realizado</t>
  </si>
  <si>
    <t>2016-09-02_15:29 - -------------Fim da exportação transações de projeto-------------</t>
  </si>
  <si>
    <t>2016-09-02_15:29 - Arquivo xog sendo gravado em: C:\xog_rumo_all_financial\xog_transaction_lote_20160902_152936.xml</t>
  </si>
  <si>
    <t>2016-09-02_15:29 - Login realizado. SessionID capturado: 9394931__DB9423BF-0985-4B58-9C50-AC5EE6A232EB</t>
  </si>
  <si>
    <t>2016-09-02_15:29 - Arquivo xog sendo gravado em: C:\xog_rumo_all_financial\xog_transaction_lote_20160902_152941.xml</t>
  </si>
  <si>
    <t>2016-09-02_15:29 - Login realizado. SessionID capturado: 9394932__549D16F4-5006-41FB-BCF5-1B51CD270D7C</t>
  </si>
  <si>
    <t>2016-09-02_15:29 - Arquivo xog sendo gravado em: C:\xog_rumo_all_financial\xog_transaction_lote_20160902_152946.xml</t>
  </si>
  <si>
    <t>2016-09-02_15:29 - Login realizado. SessionID capturado: 9394933__D8B4FA56-0A37-459B-B62C-5C84A0E54D22</t>
  </si>
  <si>
    <t>2016-09-02_15:29 - Arquivo xog sendo gravado em: C:\xog_rumo_all_financial\xog_transaction_lote_20160902_152951.xml</t>
  </si>
  <si>
    <t>2016-09-02_15:29 - Login realizado. SessionID capturado: 9394935__CCD12256-32E9-4A5A-B587-0359230563A4</t>
  </si>
  <si>
    <t>2016-09-02_15:29 - Arquivo xog sendo gravado em: C:\xog_rumo_all_financial\xog_transaction_lote_20160902_152956.xml</t>
  </si>
  <si>
    <t>2016-09-02_15:29 - Login realizado. SessionID capturado: 9394936__6ABBDE09-7B2C-4639-8866-52F632D1E678</t>
  </si>
  <si>
    <t>2016-09-02_15:30 - -------------Início da exportação transações de projeto-------------</t>
  </si>
  <si>
    <t>2016-09-02_15:30 - Arquivo xog sendo gravado em: C:\xog_rumo_all_financial\xog_transaction_lote_20160902_153001.xml</t>
  </si>
  <si>
    <t>2016-09-02_15:30 - Proxy identificado</t>
  </si>
  <si>
    <t>2016-09-02_15:30 - Ambiente selecionado: DEV</t>
  </si>
  <si>
    <t>2016-09-02_15:30 -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</si>
  <si>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2016-09-02_15:30 - Enviando requisição de login</t>
  </si>
  <si>
    <t>2016-09-02_15:30 - Login realizado. SessionID capturado: 9394937__753F0403-A035-4B02-A355-F3B4EFBE1FD0</t>
  </si>
  <si>
    <t>2016-09-02_15:30 - Chamando mensagem de requisição</t>
  </si>
  <si>
    <t>2016-09-02_15:30 - Capturando resultado final</t>
  </si>
  <si>
    <t>2016-09-02_15:30 - Efetuando logout</t>
  </si>
  <si>
    <t>2016-09-02_15:30 - Logout realizado</t>
  </si>
  <si>
    <t>2016-09-02_15:30 - -------------Fim da exportação transações de projeto-------------</t>
  </si>
  <si>
    <t>2016-09-02_15:30 - Arquivo xog sendo gravado em: C:\xog_rumo_all_financial\xog_transaction_lote_20160902_153006.xml</t>
  </si>
  <si>
    <t>2016-09-02_15:30 - Login realizado. SessionID capturado: 9394938__9C15883B-C429-4133-8028-2E4B6D40290C</t>
  </si>
  <si>
    <t>2016-09-02_15:30 - Arquivo xog sendo gravado em: C:\xog_rumo_all_financial\xog_transaction_lote_20160902_153012.xml</t>
  </si>
  <si>
    <t>2016-09-02_15:30 - Login realizado. SessionID capturado: 9394939__AEF8403B-D180-4589-8A77-C662B76E450E</t>
  </si>
  <si>
    <t>2016-09-02_15:30 - Arquivo xog sendo gravado em: C:\xog_rumo_all_financial\xog_transaction_lote_20160902_153017.xml</t>
  </si>
  <si>
    <t>2016-09-02_15:30 - Login realizado. SessionID capturado: 9394940__39F716B9-4A9A-4360-BBA2-4F5D1F754F7A</t>
  </si>
  <si>
    <t>2016-09-02_15:30 - Arquivo xog sendo gravado em: C:\xog_rumo_all_financial\xog_transaction_lote_20160902_153022.xml</t>
  </si>
  <si>
    <t>2016-09-02_15:30 - Login realizado. SessionID capturado: 9394941__EF3CE318-518A-4C26-B686-CF4F4320FA24</t>
  </si>
  <si>
    <t>2016-09-02_15:30 - Arquivo xog sendo gravado em: C:\xog_rumo_all_financial\xog_transaction_lote_20160902_153027.xml</t>
  </si>
  <si>
    <t>2016-09-02_15:30 - Login realizado. SessionID capturado: 9394942__A00EDBA1-DEC4-450C-99D1-896AD80332EB</t>
  </si>
  <si>
    <t>2016-09-02_15:30 - Arquivo xog sendo gravado em: C:\xog_rumo_all_financial\xog_transaction_lote_20160902_153032.xml</t>
  </si>
  <si>
    <t>2016-09-02_15:30 - Login realizado. SessionID capturado: 9394943__D242CC2C-4ECB-446D-87D7-BFC0E575C653</t>
  </si>
  <si>
    <t>2016-09-02_15:30 - Arquivo xog sendo gravado em: C:\xog_rumo_all_financial\xog_transaction_lote_20160902_153037.xml</t>
  </si>
  <si>
    <t>2016-09-02_15:30 - Login realizado. SessionID capturado: 9394944__A5FB77E0-D5BC-4280-A80C-E7613D51D8D5</t>
  </si>
  <si>
    <t>2016-09-02_15:30 - Arquivo xog sendo gravado em: C:\xog_rumo_all_financial\xog_transaction_lote_20160902_153042.xml</t>
  </si>
  <si>
    <t>2016-09-02_15:30 - Login realizado. SessionID capturado: 9394945__FFD80807-CBFC-452B-9B93-512B72DA7A1D</t>
  </si>
  <si>
    <t>2016-09-02_15:30 - Arquivo xog sendo gravado em: C:\xog_rumo_all_financial\xog_transaction_lote_20160902_153047.xml</t>
  </si>
  <si>
    <t>2016-09-02_15:30 - Login realizado. SessionID capturado: 9394946__13FCEDA6-8E71-4454-ACD6-E8FBFE266FB0</t>
  </si>
  <si>
    <t>2016-09-02_15:30 - Arquivo xog sendo gravado em: C:\xog_rumo_all_financial\xog_transaction_lote_20160902_153052.xml</t>
  </si>
  <si>
    <t>2016-09-02_15:30 - Login realizado. SessionID capturado: 9394947__1F0E5EA5-D24C-413B-8337-357691073536</t>
  </si>
  <si>
    <t>2016-09-02_15:30 - Arquivo xog sendo gravado em: C:\xog_rumo_all_financial\xog_transaction_lote_20160902_153057.xml</t>
  </si>
  <si>
    <t>2016-09-02_15:30 - Login realizado. SessionID capturado: 9394948__33AB0812-174E-49B2-B685-4AB02569D5A9</t>
  </si>
  <si>
    <t>2016-09-02_15:37 - Proxy identificado</t>
  </si>
  <si>
    <t>2016-09-02_15:37 - Ambiente selecionado: DEV</t>
  </si>
  <si>
    <t>2016-09-02_15:37 - Escrevendo tarefas...</t>
  </si>
  <si>
    <t>2016-09-02_15:37 - Escrevendo locais...</t>
  </si>
  <si>
    <t>2016-09-02_15:37 - Escrevendo períodos...</t>
  </si>
  <si>
    <t>2016-09-02_15:37 - Escrevendo fornecedores...</t>
  </si>
  <si>
    <t>2016-09-02_15:37 - Escrevendo departamentos...</t>
  </si>
  <si>
    <t>2016-09-02_15:37 - Escrevendo centros de custo...</t>
  </si>
  <si>
    <t>2016-09-02_15:37 - Escrevendo recursos e classes de transacao...</t>
  </si>
  <si>
    <t>2016-09-02_15:37 - Escrevendo classes de transacao...</t>
  </si>
  <si>
    <t>2016-09-02_15:39 - Escrevendo classes de transacao...</t>
  </si>
  <si>
    <t>2016-09-02_15:39 - Proxy identificado</t>
  </si>
  <si>
    <t>2016-09-02_15:39 - Ambiente selecionado: DEV</t>
  </si>
  <si>
    <t>2016-09-02_15:42 - Proxy identificado</t>
  </si>
  <si>
    <t>2016-09-02_15:42 - Ambiente selecionado: DEV</t>
  </si>
  <si>
    <t>2016-09-02_15:42 - Escrevendo tarefas...</t>
  </si>
  <si>
    <t>2016-09-02_15:42 - Escrevendo locais...</t>
  </si>
  <si>
    <t>2016-09-02_15:42 - Escrevendo períodos...</t>
  </si>
  <si>
    <t>2016-09-02_15:42 - Escrevendo fornecedores...</t>
  </si>
  <si>
    <t>2016-09-02_15:42 - Escrevendo departamentos...</t>
  </si>
  <si>
    <t>2016-09-02_15:42 - Escrevendo centros de custo...</t>
  </si>
  <si>
    <t>2016-09-02_15:42 - Escrevendo recursos e classes de transacao...</t>
  </si>
  <si>
    <t>2016-09-02_15:42 - Escrevendo classes de transacao...</t>
  </si>
  <si>
    <t>2016-09-02_15:43 - Escrevendo classes de transacao...</t>
  </si>
  <si>
    <t>2016-09-02_15:43 - Proxy identificado</t>
  </si>
  <si>
    <t>2016-09-02_15:43 - Ambiente selecionado: DEV</t>
  </si>
  <si>
    <t>2016-09-02_15:43 - Escrevendo tarefas...</t>
  </si>
  <si>
    <t>2016-09-02_15:43 - Escrevendo locais...</t>
  </si>
  <si>
    <t>2016-09-02_15:43 - Escrevendo períodos...</t>
  </si>
  <si>
    <t>2016-09-02_15:43 - Escrevendo fornecedores...</t>
  </si>
  <si>
    <t>2016-09-02_15:43 - Escrevendo departamentos...</t>
  </si>
  <si>
    <t>2016-09-02_15:43 - Escrevendo centros de custo...</t>
  </si>
  <si>
    <t>2016-09-02_15:43 - Escrevendo recursos e classes de transacao...</t>
  </si>
  <si>
    <t>2016-09-02_15:43 - -------------Início da exportação transações de projeto-------------</t>
  </si>
  <si>
    <t>2016-09-02_15:43 - Arquivo xog sendo gravado em: C:\xog_rumo_all_financial\xog_transaction_lote_20160902_154357.xml</t>
  </si>
  <si>
    <t>2016-09-02_15:43 -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</si>
  <si>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2016-09-02_15:43 - Enviando requisição de login</t>
  </si>
  <si>
    <t>2016-09-02_15:43 - Login realizado. SessionID capturado: 9394966__AFFA4489-7159-436D-B111-4CF4A440A6D5</t>
  </si>
  <si>
    <t>2016-09-02_15:43 - Chamando mensagem de requisição</t>
  </si>
  <si>
    <t>2016-09-02_15:43 - Capturando resultado final</t>
  </si>
  <si>
    <t>2016-09-02_15:43 - Efetuando logout</t>
  </si>
  <si>
    <t>2016-09-02_15:43 - Logout realizado</t>
  </si>
  <si>
    <t>2016-09-02_15:43 - -------------Fim da exportação transações de projeto-------------</t>
  </si>
  <si>
    <t>2016-09-02_15:44 - -------------Início da exportação transações de projeto-------------</t>
  </si>
  <si>
    <t>2016-09-02_15:44 - Arquivo xog sendo gravado em: C:\xog_rumo_all_financial\xog_transaction_lote_20160902_154403.xml</t>
  </si>
  <si>
    <t>2016-09-02_15:44 - Proxy identificado</t>
  </si>
  <si>
    <t>2016-09-02_15:44 - Ambiente selecionado: DEV</t>
  </si>
  <si>
    <t>2016-09-02_15:44 -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</si>
  <si>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2016-09-02_15:44 - Enviando requisição de login</t>
  </si>
  <si>
    <t>2016-09-02_15:44 - Login realizado. SessionID capturado: 9394967__451DAA5B-14C9-4238-8556-E49B2E974E71</t>
  </si>
  <si>
    <t>2016-09-02_15:44 - Chamando mensagem de requisição</t>
  </si>
  <si>
    <t>2016-09-02_15:44 - Capturando resultado final</t>
  </si>
  <si>
    <t>2016-09-02_15:44 - Efetuando logout</t>
  </si>
  <si>
    <t>2016-09-02_15:44 - Logout realizado</t>
  </si>
  <si>
    <t>2016-09-02_15:44 - -------------Fim da exportação transações de projeto-------------</t>
  </si>
  <si>
    <t>2016-09-02_15:44 - Arquivo xog sendo gravado em: C:\xog_rumo_all_financial\xog_transaction_lote_20160902_154408.xml</t>
  </si>
  <si>
    <t>2016-09-02_15:44 - Login realizado. SessionID capturado: 9394968__B5555B78-5B45-48DD-A5E0-F456E4F95FDB</t>
  </si>
  <si>
    <t>2016-09-02_15:44 - Arquivo xog sendo gravado em: C:\xog_rumo_all_financial\xog_transaction_lote_20160902_154413.xml</t>
  </si>
  <si>
    <t>2016-09-02_15:44 - Login realizado. SessionID capturado: 9394969__36C7D9F2-ACE0-4616-8CF5-B260058C8443</t>
  </si>
  <si>
    <t>2016-09-02_15:44 - Arquivo xog sendo gravado em: C:\xog_rumo_all_financial\xog_transaction_lote_20160902_154418.xml</t>
  </si>
  <si>
    <t>2016-09-02_15:44 - Login realizado. SessionID capturado: 9394970__5077A717-1581-4E48-A183-4F22DFE46771</t>
  </si>
  <si>
    <t>2016-09-02_15:44 - Arquivo xog sendo gravado em: C:\xog_rumo_all_financial\xog_transaction_lote_20160902_154423.xml</t>
  </si>
  <si>
    <t>2016-09-02_15:44 - Login realizado. SessionID capturado: 9394971__B14424A3-8A56-4267-8C8A-AEF4E965CEBD</t>
  </si>
  <si>
    <t>2016-09-02_15:44 - Arquivo xog sendo gravado em: C:\xog_rumo_all_financial\xog_transaction_lote_20160902_154428.xml</t>
  </si>
  <si>
    <t>2016-09-02_15:44 - Login realizado. SessionID capturado: 9394972__6B85EF77-A29C-48BE-AB4D-0B9FAEDE9349</t>
  </si>
  <si>
    <t>2016-09-02_15:44 - Arquivo xog sendo gravado em: C:\xog_rumo_all_financial\xog_transaction_lote_20160902_154433.xml</t>
  </si>
  <si>
    <t>2016-09-02_15:44 - Login realizado. SessionID capturado: 9394973__3F8BD403-0F22-40F7-8678-36F9DA818B4E</t>
  </si>
  <si>
    <t>2016-09-02_15:44 - Arquivo xog sendo gravado em: C:\xog_rumo_all_financial\xog_transaction_lote_20160902_154438.xml</t>
  </si>
  <si>
    <t>2016-09-02_15:44 - Login realizado. SessionID capturado: 9394974__64376662-E0FC-47C1-92DD-E8D412075BAE</t>
  </si>
  <si>
    <t>2016-09-02_15:44 - Arquivo xog sendo gravado em: C:\xog_rumo_all_financial\xog_transaction_lote_20160902_154443.xml</t>
  </si>
  <si>
    <t>2016-09-02_15:44 - Login realizado. SessionID capturado: 9394975__D83FB287-E0AA-41A8-9EE4-6B1ABC9A39C8</t>
  </si>
  <si>
    <t>2016-09-02_15:44 - Arquivo xog sendo gravado em: C:\xog_rumo_all_financial\xog_transaction_lote_20160902_154448.xml</t>
  </si>
  <si>
    <t>2016-09-02_15:44 - Login realizado. SessionID capturado: 9394977__8439CB69-2C4E-4D0F-9333-CC18962ED0DE</t>
  </si>
  <si>
    <t>2016-09-02_15:44 - Arquivo xog sendo gravado em: C:\xog_rumo_all_financial\xog_transaction_lote_20160902_154453.xml</t>
  </si>
  <si>
    <t>2016-09-02_15:44 - Login realizado. SessionID capturado: 9394978__F3B445E0-01A2-4A02-AEB8-F847D20E35F9</t>
  </si>
  <si>
    <t>2016-09-02_15:44 - Arquivo xog sendo gravado em: C:\xog_rumo_all_financial\xog_transaction_lote_20160902_154458.xml</t>
  </si>
  <si>
    <t>2016-09-02_15:44 - Login realizado. SessionID capturado: 9394979__1BD5A9CB-F8BB-46B0-8348-5E9895913636</t>
  </si>
  <si>
    <t>2016-09-02_15:45 - -------------Início da exportação transações de projeto-------------</t>
  </si>
  <si>
    <t>2016-09-02_15:45 - Arquivo xog sendo gravado em: C:\xog_rumo_all_financial\xog_transaction_lote_20160902_154503.xml</t>
  </si>
  <si>
    <t>2016-09-02_15:45 - Proxy identificado</t>
  </si>
  <si>
    <t>2016-09-02_15:45 - Ambiente selecionado: DEV</t>
  </si>
  <si>
    <t>2016-09-02_15:45 -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</si>
  <si>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2016-09-02_15:45 - Enviando requisição de login</t>
  </si>
  <si>
    <t>2016-09-02_15:45 - Login realizado. SessionID capturado: 9394980__92FABF40-255D-4BBA-846C-3BF3FE71B9B4</t>
  </si>
  <si>
    <t>2016-09-02_15:45 - Chamando mensagem de requisição</t>
  </si>
  <si>
    <t>2016-09-02_15:45 - Capturando resultado final</t>
  </si>
  <si>
    <t>2016-09-02_15:45 - Efetuando logout</t>
  </si>
  <si>
    <t>2016-09-02_15:45 - Logout realizado</t>
  </si>
  <si>
    <t>2016-09-02_15:45 - -------------Fim da exportação transações de projeto-------------</t>
  </si>
  <si>
    <t>2016-09-02_15:45 - Arquivo xog sendo gravado em: C:\xog_rumo_all_financial\xog_transaction_lote_20160902_154508.xml</t>
  </si>
  <si>
    <t>2016-09-02_15:45 - Login realizado. SessionID capturado: 9394981__AC0FA5DF-61B4-4B75-81D7-554B28BE1E23</t>
  </si>
  <si>
    <t>2016-09-02_15:45 - Arquivo xog sendo gravado em: C:\xog_rumo_all_financial\xog_transaction_lote_20160902_154513.xml</t>
  </si>
  <si>
    <t>2016-09-02_15:45 - Login realizado. SessionID capturado: 9394982__5FA981DE-6F2A-4B02-9515-D88A3B6B5533</t>
  </si>
  <si>
    <t>2016-09-02_15:45 - Arquivo xog sendo gravado em: C:\xog_rumo_all_financial\xog_transaction_lote_20160902_154518.xml</t>
  </si>
  <si>
    <t>2016-09-02_15:45 - Login realizado. SessionID capturado: 9394983__8C282CA2-0C12-44B7-9435-DD6EE3317386</t>
  </si>
  <si>
    <t>2016-09-02_15:45 - Arquivo xog sendo gravado em: C:\xog_rumo_all_financial\xog_transaction_lote_20160902_154523.xml</t>
  </si>
  <si>
    <t>2016-09-02_15:45 - Login realizado. SessionID capturado: 9394984__AD8376ED-E23D-45AF-9B13-16DD89020654</t>
  </si>
  <si>
    <t>2016-09-02_15:54 - -------------Início da exportação transações de projeto-------------</t>
  </si>
  <si>
    <t>2016-09-02_15:54 - Arquivo xog sendo gravado em: C:\xog_rumo_all_financial\xog_transaction_lote_20160902_155427.xml</t>
  </si>
  <si>
    <t>2016-09-02_15:54 - Proxy identificado</t>
  </si>
  <si>
    <t>2016-09-02_15:54 - Ambiente selecionado: DEV</t>
  </si>
  <si>
    <t>2016-09-02_15:54 -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</si>
  <si>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2016-09-02_15:54 - Enviando requisição de login</t>
  </si>
  <si>
    <t>2016-09-02_15:54 - Login realizado. SessionID capturado: 9394986__9EA15043-03CB-44BD-A95C-DF421CE8B5EB</t>
  </si>
  <si>
    <t>2016-09-02_15:54 - Chamando mensagem de requisição</t>
  </si>
  <si>
    <t>2016-09-02_15:54 - Capturando resultado final</t>
  </si>
  <si>
    <t>2016-09-02_15:54 - Efetuando logout</t>
  </si>
  <si>
    <t>2016-09-02_15:54 - Logout realizado</t>
  </si>
  <si>
    <t>2016-09-02_15:54 - -------------Fim da exportação transações de projeto-------------</t>
  </si>
  <si>
    <t>2016-09-02_15:54 - Arquivo xog sendo gravado em: C:\xog_rumo_all_financial\xog_transaction_lote_20160902_155431.xml</t>
  </si>
  <si>
    <t>2016-09-02_16:10 - Proxy identificado</t>
  </si>
  <si>
    <t>2016-09-02_16:10 - Ambiente selecionado: DEV</t>
  </si>
  <si>
    <t>2016-09-02_16:10 - Escrevendo tarefas...</t>
  </si>
  <si>
    <t>2016-09-02_16:10 - Escrevendo locais...</t>
  </si>
  <si>
    <t>2016-09-02_16:10 - Escrevendo períodos...</t>
  </si>
  <si>
    <t>2016-09-02_16:10 - Escrevendo fornecedores...</t>
  </si>
  <si>
    <t>2016-09-02_16:10 - Escrevendo departamentos...</t>
  </si>
  <si>
    <t>2016-09-02_16:10 - Escrevendo centros de custo...</t>
  </si>
  <si>
    <t>2016-09-02_16:10 - Escrevendo recursos e classes de transacao...</t>
  </si>
  <si>
    <t>2016-09-02_16:10 - Escrevendo classes de transacao...</t>
  </si>
  <si>
    <t>2016-09-02_16:11 - Escrevendo tarefas...</t>
  </si>
  <si>
    <t>2016-09-02_16:11 - Escrevendo locais...</t>
  </si>
  <si>
    <t>2016-09-02_16:11 - Escrevendo períodos...</t>
  </si>
  <si>
    <t>2016-09-02_16:11 - Escrevendo fornecedores...</t>
  </si>
  <si>
    <t>2016-09-02_16:11 - Escrevendo departamentos...</t>
  </si>
  <si>
    <t>2016-09-02_16:11 - Escrevendo centros de custo...</t>
  </si>
  <si>
    <t>2016-09-02_16:11 - Escrevendo recursos e classes de transacao...</t>
  </si>
  <si>
    <t>2016-09-02_16:11 - Escrevendo classes de transacao...</t>
  </si>
  <si>
    <t>2016-09-02_16:11 - Proxy identificado</t>
  </si>
  <si>
    <t>2016-09-02_16:11 - Ambiente selecionado: DEV</t>
  </si>
  <si>
    <t>2016-09-02_16:12 - -------------Início da exportação transações de projeto-------------</t>
  </si>
  <si>
    <t>2016-09-02_16:12 - Arquivo xog sendo gravado em: C:\xog_rumo_all_financial\xog_transaction_lote_20160902_161228.xml</t>
  </si>
  <si>
    <t>2016-09-02_16:12 - Proxy identificado</t>
  </si>
  <si>
    <t>2016-09-02_16:12 - Ambiente selecionado: DEV</t>
  </si>
  <si>
    <t>2016-09-02_16:12 -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</si>
  <si>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2016-09-02_16:12 - Enviando requisição de login</t>
  </si>
  <si>
    <t>2016-09-02_16:12 - Login realizado. SessionID capturado: 9395012__2F0FF7BB-BD82-4C39-B592-D297FE94524A</t>
  </si>
  <si>
    <t>2016-09-02_16:12 - Chamando mensagem de requisição</t>
  </si>
  <si>
    <t>2016-09-02_16:12 - Capturando resultado final</t>
  </si>
  <si>
    <t>2016-09-02_16:12 - Efetuando logout</t>
  </si>
  <si>
    <t>2016-09-02_16:12 - Logout realizado</t>
  </si>
  <si>
    <t>2016-09-02_16:12 - -------------Fim da exportação transações de projeto-------------</t>
  </si>
  <si>
    <t>2016-09-02_16:12 - Arquivo xog sendo gravado em: C:\xog_rumo_all_financial\xog_transaction_lote_20160902_161231.xml</t>
  </si>
  <si>
    <t>2016-09-02_16:12 - Login realizado. SessionID capturado: 9395013__4A5FC619-9AC9-45F2-B92E-036775AE749A</t>
  </si>
  <si>
    <t>2016-09-02_16:12 - Arquivo xog sendo gravado em: C:\xog_rumo_all_financial\xog_transaction_lote_20160902_161233.xml</t>
  </si>
  <si>
    <t>2016-09-02_16:12 - Login realizado. SessionID capturado: 9395014__B6F7FEF6-EE14-41F9-9899-F304752AED8B</t>
  </si>
  <si>
    <t>2016-09-02_16:14 - Proxy identificado</t>
  </si>
  <si>
    <t>2016-09-02_16:14 - Ambiente selecionado: DEV</t>
  </si>
  <si>
    <t>2016-09-02_16:14 - Escrevendo tarefas...</t>
  </si>
  <si>
    <t>2016-09-02_16:14 - Escrevendo locais...</t>
  </si>
  <si>
    <t>2016-09-02_16:14 - Escrevendo períodos...</t>
  </si>
  <si>
    <t>2016-09-02_16:14 - Escrevendo fornecedores...</t>
  </si>
  <si>
    <t>2016-09-02_16:14 - Escrevendo departamentos...</t>
  </si>
  <si>
    <t>2016-09-02_16:14 - Escrevendo centros de custo...</t>
  </si>
  <si>
    <t>2016-09-02_16:14 - Escrevendo recursos e classes de transacao...</t>
  </si>
  <si>
    <t>2016-09-02_16:14 - Escrevendo classes de transacao...</t>
  </si>
  <si>
    <t>2016-09-02_16:17 - -------------Início da exportação transações de projeto-------------</t>
  </si>
  <si>
    <t>2016-09-02_16:17 - Arquivo xog sendo gravado em: C:\xog_rumo_all_financial\xog_transaction_lote_20160902_161701.xml</t>
  </si>
  <si>
    <t>2016-09-02_16:17 - Proxy identificado</t>
  </si>
  <si>
    <t>2016-09-02_16:17 - Ambiente selecionado: DEV</t>
  </si>
  <si>
    <t>2016-09-02_16:17 -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</si>
  <si>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2016-09-02_16:17 - Enviando requisição de login</t>
  </si>
  <si>
    <t>2016-09-02_16:17 - Login realizado. SessionID capturado: 9395024__3EDC3B33-B0AB-42D1-9350-CC63E1D14571</t>
  </si>
  <si>
    <t>2016-09-02_16:17 - Chamando mensagem de requisição</t>
  </si>
  <si>
    <t>2016-09-02_16:17 - Capturando resultado final</t>
  </si>
  <si>
    <t>2016-09-02_16:17 - Efetuando logout</t>
  </si>
  <si>
    <t>2016-09-02_16:17 - Logout realizado</t>
  </si>
  <si>
    <t>2016-09-02_16:17 - -------------Fim da exportação transações de projeto-------------</t>
  </si>
  <si>
    <t>2016-09-02_16:17 - Arquivo xog sendo gravado em: C:\xog_rumo_all_financial\xog_transaction_lote_20160902_161704.xml</t>
  </si>
  <si>
    <t>2016-09-02_16:17 - Login realizado. SessionID capturado: 9395025__004839B9-40BA-4DF3-AD76-574E8E343EE3</t>
  </si>
  <si>
    <t>2016-09-02_16:18 - Proxy identificado</t>
  </si>
  <si>
    <t>2016-09-02_16:18 - Ambiente selecionado: DEV</t>
  </si>
  <si>
    <t>2016-09-02_16:18 - Escrevendo tarefas...</t>
  </si>
  <si>
    <t>2016-09-02_16:18 - Escrevendo locais...</t>
  </si>
  <si>
    <t>2016-09-02_16:18 - Escrevendo períodos...</t>
  </si>
  <si>
    <t>2016-09-02_16:18 - Escrevendo fornecedores...</t>
  </si>
  <si>
    <t>2016-09-02_16:18 - Escrevendo departamentos...</t>
  </si>
  <si>
    <t>2016-09-02_16:18 - Escrevendo centros de custo...</t>
  </si>
  <si>
    <t>2016-09-02_16:18 - Escrevendo recursos e classes de transacao...</t>
  </si>
  <si>
    <t>2016-09-02_16:18 - Escrevendo classes de transacao...</t>
  </si>
  <si>
    <t>2016-09-02_16:19 - Escrevendo classes de transacao...</t>
  </si>
  <si>
    <t>2016-09-02_16:19 - Proxy identificado</t>
  </si>
  <si>
    <t>2016-09-02_16:19 - Ambiente selecionado: DEV</t>
  </si>
  <si>
    <t>2016-09-02_16:19 - Escrevendo tarefas...</t>
  </si>
  <si>
    <t>2016-09-02_16:19 - Escrevendo locais...</t>
  </si>
  <si>
    <t>2016-09-02_16:19 - Escrevendo períodos...</t>
  </si>
  <si>
    <t>2016-09-02_16:19 - Escrevendo fornecedores...</t>
  </si>
  <si>
    <t>2016-09-02_16:19 - Escrevendo departamentos...</t>
  </si>
  <si>
    <t>2016-09-02_16:19 - Escrevendo centros de custo...</t>
  </si>
  <si>
    <t>2016-09-02_16:19 - Escrevendo recursos e classes de transacao...</t>
  </si>
  <si>
    <t>2016-09-02_16:20 - Proxy identificado</t>
  </si>
  <si>
    <t>2016-09-02_16:20 - Ambiente selecionado: DEV</t>
  </si>
  <si>
    <t>2016-09-02_16:23 - -------------Início da exportação transações de projeto-------------</t>
  </si>
  <si>
    <t>2016-09-02_16:23 - Arquivo xog sendo gravado em: C:\xog_rumo_all_financial\xog_transaction_lote_20160902_162314.xml</t>
  </si>
  <si>
    <t>2016-09-02_16:23 - Proxy identificado</t>
  </si>
  <si>
    <t>2016-09-02_16:23 - Ambiente selecionado: DEV</t>
  </si>
  <si>
    <t>2016-09-02_16:23 -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</si>
  <si>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2016-09-02_16:23 - Enviando requisição de login</t>
  </si>
  <si>
    <t>2016-09-02_16:23 - Login realizado. SessionID capturado: 9395035__85BB59E2-5A3B-4304-8B45-2B1B8E6BCF26</t>
  </si>
  <si>
    <t>2016-09-02_16:23 - Chamando mensagem de requisição</t>
  </si>
  <si>
    <t>2016-09-02_16:23 - Capturando resultado final</t>
  </si>
  <si>
    <t>2016-09-02_16:23 - Efetuando logout</t>
  </si>
  <si>
    <t>2016-09-02_16:23 - Logout realizado</t>
  </si>
  <si>
    <t>2016-09-02_16:23 - -------------Fim da exportação transações de projeto-------------</t>
  </si>
  <si>
    <t>2016-09-02_16:23 - Arquivo xog sendo gravado em: C:\xog_rumo_all_financial\xog_transaction_lote_20160902_162321.xml</t>
  </si>
  <si>
    <t>2016-09-02_16:23 - Login realizado. SessionID capturado: 9395036__9DA4BB8B-0651-4D9A-B82B-FAFC35E45C20</t>
  </si>
  <si>
    <t>2016-09-02_16:23 - Arquivo xog sendo gravado em: C:\xog_rumo_all_financial\xog_transaction_lote_20160902_162326.xml</t>
  </si>
  <si>
    <t>2016-09-02_16:23 - Login realizado. SessionID capturado: 9395037__03987F12-1D10-43E0-86CE-890105D35B50</t>
  </si>
  <si>
    <t>2016-09-02_16:23 - Arquivo xog sendo gravado em: C:\xog_rumo_all_financial\xog_transaction_lote_20160902_162331.xml</t>
  </si>
  <si>
    <t>2016-09-02_16:23 - Login realizado. SessionID capturado: 9395038__8E882EF4-C417-4B8A-AF7A-3C3953546FB4</t>
  </si>
  <si>
    <t>2016-09-02_16:23 - Arquivo xog sendo gravado em: C:\xog_rumo_all_financial\xog_transaction_lote_20160902_162336.xml</t>
  </si>
  <si>
    <t>2016-09-02_16:23 - Login realizado. SessionID capturado: 9395039__FCF90697-F4D8-4F47-85E4-499A8435E83A</t>
  </si>
  <si>
    <t>2016-09-02_16:23 - Arquivo xog sendo gravado em: C:\xog_rumo_all_financial\xog_transaction_lote_20160902_162341.xml</t>
  </si>
  <si>
    <t>2016-09-02_16:23 - Login realizado. SessionID capturado: 9395040__E62DAC0E-D3DA-4325-9740-022373E44D03</t>
  </si>
  <si>
    <t>2016-09-02_16:23 - Arquivo xog sendo gravado em: C:\xog_rumo_all_financial\xog_transaction_lote_20160902_162346.xml</t>
  </si>
  <si>
    <t>2016-09-02_16:23 - Login realizado. SessionID capturado: 9395041__96D891D8-9E2C-4258-AD22-042F78101076</t>
  </si>
  <si>
    <t>2016-09-02_16:26 - -------------Início da exportação transações de projeto-------------</t>
  </si>
  <si>
    <t>2016-09-02_16:26 - Arquivo xog sendo gravado em: C:\xog_rumo_all_financial\xog_transaction_lote_20160902_162632.xml</t>
  </si>
  <si>
    <t>2016-09-02_16:26 - Proxy identificado</t>
  </si>
  <si>
    <t>2016-09-02_16:26 - Ambiente selecionado: DEV</t>
  </si>
  <si>
    <t>2016-09-02_16:26 -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</si>
  <si>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2016-09-02_16:26 - Enviando requisição de login</t>
  </si>
  <si>
    <t>2016-09-02_16:26 - Login realizado. SessionID capturado: 9406043__66C1657A-CFE3-4473-8292-E9435AD1F630</t>
  </si>
  <si>
    <t>2016-09-02_16:26 - Chamando mensagem de requisição</t>
  </si>
  <si>
    <t>2016-09-02_16:26 - Capturando resultado final</t>
  </si>
  <si>
    <t>2016-09-02_16:26 - Efetuando logout</t>
  </si>
  <si>
    <t>2016-09-02_16:26 - Logout realizado</t>
  </si>
  <si>
    <t>2016-09-02_16:26 - -------------Fim da exportação transações de projeto-------------</t>
  </si>
  <si>
    <t>2016-09-02_16:26 - Arquivo xog sendo gravado em: C:\xog_rumo_all_financial\xog_transaction_lote_20160902_162643.xml</t>
  </si>
  <si>
    <t>2016-09-02_16:26 - Login realizado. SessionID capturado: 9406044__92DA4016-689F-4C02-9C1B-7E9ED5EA2298</t>
  </si>
  <si>
    <t>2016-09-02_16:26 - Arquivo xog sendo gravado em: C:\xog_rumo_all_financial\xog_transaction_lote_20160902_162653.xml</t>
  </si>
  <si>
    <t>2016-09-02_16:26 - Login realizado. SessionID capturado: 9406045__A0495A62-AF6B-4241-8BAF-12A6136146F0</t>
  </si>
  <si>
    <t>2016-09-02_16:27 - -------------Início da exportação transações de projeto-------------</t>
  </si>
  <si>
    <t>2016-09-02_16:27 - Arquivo xog sendo gravado em: C:\xog_rumo_all_financial\xog_transaction_lote_20160902_162703.xml</t>
  </si>
  <si>
    <t>2016-09-02_16:27 - Proxy identificado</t>
  </si>
  <si>
    <t>2016-09-02_16:27 - Ambiente selecionado: DEV</t>
  </si>
  <si>
    <t>2016-09-02_16:27 -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</si>
  <si>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2016-09-02_16:27 - Enviando requisição de login</t>
  </si>
  <si>
    <t>2016-09-02_16:27 - Login realizado. SessionID capturado: 9406046__0D751E31-80BC-4F2E-9DCA-75DA940D5F32</t>
  </si>
  <si>
    <t>2016-09-02_16:27 - Chamando mensagem de requisição</t>
  </si>
  <si>
    <t>2016-09-02_16:27 - Capturando resultado final</t>
  </si>
  <si>
    <t>2016-09-02_16:27 - Efetuando logout</t>
  </si>
  <si>
    <t>2016-09-02_16:27 - Logout realizado</t>
  </si>
  <si>
    <t>2016-09-02_16:27 - -------------Fim da exportação transações de projeto-------------</t>
  </si>
  <si>
    <t>2016-09-02_16:27 - Arquivo xog sendo gravado em: C:\xog_rumo_all_financial\xog_transaction_lote_20160902_162713.xml</t>
  </si>
  <si>
    <t>2016-09-02_16:27 - Login realizado. SessionID capturado: 9406047__0C77FC8B-593A-46EC-B811-E7DE1FC1EAAA</t>
  </si>
  <si>
    <t>2016-09-02_16:27 - Arquivo xog sendo gravado em: C:\xog_rumo_all_financial\xog_transaction_lote_20160902_162723.xml</t>
  </si>
  <si>
    <t>2016-09-02_16:27 - Login realizado. SessionID capturado: 9406048__D0EEF733-9DD9-4986-9062-C5EB4E3F58B6</t>
  </si>
  <si>
    <t>2016-09-02_16:27 - Arquivo xog sendo gravado em: C:\xog_rumo_all_financial\xog_transaction_lote_20160902_162733.xml</t>
  </si>
  <si>
    <t>2016-09-02_16:27 - Login realizado. SessionID capturado: 9406049__F44017B9-DDDC-4F96-B115-228B4AB3229C</t>
  </si>
  <si>
    <t>2016-09-02_16:47 - -------------Início da exportação transações de projeto-------------</t>
  </si>
  <si>
    <t>2016-09-02_16:47 - Arquivo xog sendo gravado em: C:\xog_rumo_all_financial\xog_transaction_lote_20160902_164713.xml</t>
  </si>
  <si>
    <t>2016-09-02_16:48 - -------------Início da exportação transações de projeto-------------</t>
  </si>
  <si>
    <t>2016-09-02_16:48 - Arquivo xog sendo gravado em: C:\xog_rumo_all_financial\xog_transaction_lote_20160902_164841.xml</t>
  </si>
  <si>
    <t>2016-09-02_16:49 - -------------Início da exportação transações de projeto-------------</t>
  </si>
  <si>
    <t>2016-09-02_16:49 - Arquivo xog sendo gravado em: C:\xog_rumo_all_financial\xog_transaction_lote_20160902_164914.xml</t>
  </si>
  <si>
    <t>2016-09-02_16:49 - Arquivo xog sendo gravado em: C:\xog_rumo_all_financial\xog_transaction_lote_20160902_164957.xml</t>
  </si>
  <si>
    <t>2016-09-02_16:51 - -------------Início da exportação transações de projeto-------------</t>
  </si>
  <si>
    <t>2016-09-02_16:51 - Arquivo xog sendo gravado em: C:\xog_rumo_all_financial\xog_transaction_lote_20160902_165101.xml</t>
  </si>
  <si>
    <t>2016-09-02_16:52 - -------------Início da exportação transações de projeto-------------</t>
  </si>
  <si>
    <t>2016-09-02_16:52 - Arquivo xog sendo gravado em: C:\xog_rumo_all_financial\xog_transaction_lote_20160902_165235.xml</t>
  </si>
  <si>
    <t>2016-09-02_16:53 - -------------Início da exportação transações de projeto-------------</t>
  </si>
  <si>
    <t>2016-09-02_16:53 - Arquivo xog sendo gravado em: C:\xog_rumo_all_financial\xog_transaction_lote_20160902_165352.xml</t>
  </si>
  <si>
    <t>2016-09-02_16:54 - -------------Fim da exportação transações de projeto-------------</t>
  </si>
  <si>
    <t>2016-09-02_16:55 - -------------Início da exportação transações de projeto-------------</t>
  </si>
  <si>
    <t>2016-09-02_16:55 - Arquivo xog sendo gravado em: C:\xog_rumo_all_financial\xog_transaction_lote_20160902_165504.xml</t>
  </si>
  <si>
    <t>2016-09-02_16:55 - -------------Fim da exportação transações de projeto-------------</t>
  </si>
  <si>
    <t>2016-09-02_16:56 - -------------Início da exportação transações de projeto-------------</t>
  </si>
  <si>
    <t>2016-09-02_16:56 - Arquivo xog sendo gravado em: C:\xog_rumo_all_financial\xog_transaction_lote_20160902_165618.xml</t>
  </si>
  <si>
    <t>2016-09-02_16:56 - -------------Fim da exportação transações de projeto-------------</t>
  </si>
  <si>
    <t>2016-09-02_16:58 - -------------Início da exportação transações de projeto-------------</t>
  </si>
  <si>
    <t>2016-09-02_16:58 - Arquivo xog sendo gravado em: C:\xog_rumo_all_financial\xog_transaction_lote_20160902_165841.xml</t>
  </si>
  <si>
    <t>2016-09-02_17:00 - -------------Início da exportação transações de projeto-------------</t>
  </si>
  <si>
    <t>2016-09-02_17:00 - Arquivo xog sendo gravado em: C:\xog_rumo_all_financial\xog_transaction_lote_20160902_170004.xml</t>
  </si>
  <si>
    <t>2016-09-02_17:00 - Proxy identificado</t>
  </si>
  <si>
    <t>2016-09-02_17:00 - Ambiente selecionado: DEV</t>
  </si>
  <si>
    <t>2016-09-02_17:00 -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</si>
  <si>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2016-09-02_17:00 - Enviando requisição de login</t>
  </si>
  <si>
    <t>2016-09-02_17:00 - Login realizado. SessionID capturado: 9406057__285B9DF5-69E2-495F-BCF6-B1E202174D63</t>
  </si>
  <si>
    <t>2016-09-02_17:00 - Chamando mensagem de requisição</t>
  </si>
  <si>
    <t>2016-09-02_17:00 - Capturando resultado final</t>
  </si>
  <si>
    <t>2016-09-02_17:00 - Efetuando logout</t>
  </si>
  <si>
    <t>2016-09-02_17:00 - Logout realizado</t>
  </si>
  <si>
    <t>2016-09-02_17:00 - -------------Fim da exportação transações de projeto-------------</t>
  </si>
  <si>
    <t>2016-09-02_17:00 - Arquivo xog sendo gravado em: C:\xog_rumo_all_financial\xog_transaction_lote_20160902_170012.xml</t>
  </si>
  <si>
    <t>2016-09-02_17:22 - -------------Início da exportação transações de projeto-------------</t>
  </si>
  <si>
    <t>2016-09-02_17:22 - Arquivo xog sendo gravado em: C:\xog_rumo_all_financial\xog_transaction_lote_20160902_172227.xml</t>
  </si>
  <si>
    <t>2016-09-02_17:23 - -------------Início da exportação transações de projeto-------------</t>
  </si>
  <si>
    <t>2016-09-02_17:23 - Arquivo xog sendo gravado em: C:\xog_rumo_all_financial\xog_transaction_lote_20160902_172300.xml</t>
  </si>
  <si>
    <t>2016-09-02_17:23 - Proxy identificado</t>
  </si>
  <si>
    <t>2016-09-02_17:23 - Ambiente selecionado: DEV</t>
  </si>
  <si>
    <t>2016-09-02_17:23 -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</si>
  <si>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2016-09-02_17:23 - Enviando requisição de login</t>
  </si>
  <si>
    <t>2016-09-02_17:23 - Login realizado. SessionID capturado: 9406062__FD80ECE5-9FB1-4694-8CD6-2D3F1F082A9A</t>
  </si>
  <si>
    <t>2016-09-02_17:23 - Chamando mensagem de requisição</t>
  </si>
  <si>
    <t>2016-09-02_17:23 - Capturando resultado final</t>
  </si>
  <si>
    <t>2016-09-02_17:23 - Efetuando logout</t>
  </si>
  <si>
    <t>2016-09-02_17:23 - Logout realizado</t>
  </si>
  <si>
    <t>2016-09-02_17:23 - -------------Fim da exportação transações de projeto-------------</t>
  </si>
  <si>
    <t>2016-09-02_17:24 - -------------Início da exportação transações de projeto-------------</t>
  </si>
  <si>
    <t>2016-09-02_17:24 - Arquivo xog sendo gravado em: C:\xog_rumo_all_financial\xog_transaction_lote_20160902_172427.xml</t>
  </si>
  <si>
    <t>2016-09-02_17:25 - -------------Início da exportação transações de projeto-------------</t>
  </si>
  <si>
    <t>2016-09-02_17:25 - Arquivo xog sendo gravado em: C:\xog_rumo_all_financial\xog_transaction_lote_20160902_172514.xml</t>
  </si>
  <si>
    <t>2016-09-02_17:27 - -------------Início da exportação transações de projeto-------------</t>
  </si>
  <si>
    <t>2016-09-02_17:27 - Arquivo xog sendo gravado em: C:\xog_rumo_all_financial\xog_transaction_lote_20160902_172712.xml</t>
  </si>
  <si>
    <t>2016-09-02_17:28 - -------------Início da exportação transações de projeto-------------</t>
  </si>
  <si>
    <t>2016-09-02_17:28 - Arquivo xog sendo gravado em: C:\xog_rumo_all_financial\xog_transaction_lote_20160902_172848.xml</t>
  </si>
  <si>
    <t>2016-09-02_17:29 - -------------Início da exportação transações de projeto-------------</t>
  </si>
  <si>
    <t>2016-09-02_17:30 - Arquivo xog sendo gravado em: C:\xog_rumo_all_financial\xog_transaction_lote_20160902_172959.xml</t>
  </si>
  <si>
    <t>2016-09-02_17:36 - -------------Início da exportação transações de projeto-------------</t>
  </si>
  <si>
    <t>2016-09-02_17:36 - Arquivo xog sendo gravado em: C:\xog_rumo_all_financial\xog_transaction_lote_20160902_173628.xml</t>
  </si>
  <si>
    <t>2016-09-02_17:37 - -------------Início da exportação transações de projeto-------------</t>
  </si>
  <si>
    <t>2016-09-02_17:37 - Arquivo xog sendo gravado em: C:\xog_rumo_all_financial\xog_transaction_lote_20160902_173730.xml</t>
  </si>
  <si>
    <t>2016-09-02_17:38 - -------------Fim da exportação transações de projeto-------------</t>
  </si>
  <si>
    <t>2016-09-02_17:41 - -------------Início da exportação transações de projeto-------------</t>
  </si>
  <si>
    <t>2016-09-02_17:41 - Arquivo xog sendo gravado em: C:\xog_rumo_all_financial\xog_transaction_lote_20160902_174054.xml</t>
  </si>
  <si>
    <t>2016-09-02_17:41 - Arquivo xog sendo gravado em: C:\xog_rumo_all_financial\xog_transaction_lote_20160902_174131.xml</t>
  </si>
  <si>
    <t>2016-09-02_17:42 - -------------Início da exportação transações de projeto-------------</t>
  </si>
  <si>
    <t>2016-09-02_17:42 - Arquivo xog sendo gravado em: C:\xog_rumo_all_financial\xog_transaction_lote_20160902_174223.xml</t>
  </si>
  <si>
    <t>2016-09-02_17:42 - -------------Fim da exportação transações de projeto-------------</t>
  </si>
  <si>
    <t>2016-09-02_17:42 - Arquivo xog sendo gravado em: C:\xog_rumo_all_financial\xog_transaction_lote_20160902_174239.xml</t>
  </si>
  <si>
    <t>2016-09-02_17:42 - Arquivo xog sendo gravado em: C:\xog_rumo_all_financial\xog_transaction_lote_20160902_174259.xml</t>
  </si>
  <si>
    <t>2016-09-02_17:43 - -------------Início da exportação transações de projeto-------------</t>
  </si>
  <si>
    <t>2016-09-02_17:43 - Arquivo xog sendo gravado em: C:\xog_rumo_all_financial\xog_transaction_lote_20160902_174312.xml</t>
  </si>
  <si>
    <t>2016-09-02_17:43 - -------------Fim da exportação transações de projeto-------------</t>
  </si>
  <si>
    <t>2016-09-02_17:43 - Arquivo xog sendo gravado em: C:\xog_rumo_all_financial\xog_transaction_lote_20160902_174319.xml</t>
  </si>
  <si>
    <t>2016-09-02_17:43 - Arquivo xog sendo gravado em: C:\xog_rumo_all_financial\xog_transaction_lote_20160902_174327.xml</t>
  </si>
  <si>
    <t>2016-09-02_17:44 - -------------Início da exportação transações de projeto-------------</t>
  </si>
  <si>
    <t>2016-09-02_17:44 - Arquivo xog sendo gravado em: C:\xog_rumo_all_financial\xog_transaction_lote_20160902_174440.xml</t>
  </si>
  <si>
    <t>2016-09-02_17:44 - -------------Fim da exportação transações de projeto-------------</t>
  </si>
  <si>
    <t>2016-09-02_17:44 - Arquivo xog sendo gravado em: C:\xog_rumo_all_financial\xog_transaction_lote_20160902_174445.xml</t>
  </si>
  <si>
    <t>2016-09-02_17:44 - Arquivo xog sendo gravado em: C:\xog_rumo_all_financial\xog_transaction_lote_20160902_174450.xml</t>
  </si>
  <si>
    <t>2016-09-02_17:46 - -------------Início da exportação transações de projeto-------------</t>
  </si>
  <si>
    <t>2016-09-02_17:46 - Arquivo xog sendo gravado em: C:\xog_rumo_all_financial\xog_transaction_lote_20160902_174606.xml</t>
  </si>
  <si>
    <t>2016-09-02_17:46 - Proxy identificado</t>
  </si>
  <si>
    <t>2016-09-02_17:46 - Ambiente selecionado: DEV</t>
  </si>
  <si>
    <t>2016-09-02_17:46 -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</si>
  <si>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2016-09-02_17:46 - Enviando requisição de login</t>
  </si>
  <si>
    <t>2016-09-02_17:46 - Login realizado. SessionID capturado: 9406068__2C340D18-F67D-4578-ABEB-C91605C56609</t>
  </si>
  <si>
    <t>2016-09-02_17:46 - Chamando mensagem de requisição</t>
  </si>
  <si>
    <t>2016-09-02_17:46 - Capturando resultado final</t>
  </si>
  <si>
    <t>2016-09-02_17:46 - Efetuando logout</t>
  </si>
  <si>
    <t>2016-09-02_17:46 - Logout realizado</t>
  </si>
  <si>
    <t>2016-09-02_17:46 - -------------Fim da exportação transações de projeto-------------</t>
  </si>
  <si>
    <t>2016-09-02_17:46 - Arquivo xog sendo gravado em: C:\xog_rumo_all_financial\xog_transaction_lote_20160902_174612.xml</t>
  </si>
  <si>
    <t>2016-09-02_17:46 - Login realizado. SessionID capturado: 9406069__32E45D2D-7389-4D0E-80CF-1D959CAE421A</t>
  </si>
  <si>
    <t>2016-09-02_17:46 - Arquivo xog sendo gravado em: C:\xog_rumo_all_financial\xog_transaction_lote_20160902_174617.xml</t>
  </si>
  <si>
    <t>2016-09-02_17:46 - Login realizado. SessionID capturado: 9406070__B1BBA6EE-8119-4ABB-9349-FB4F4FF877F5</t>
  </si>
  <si>
    <t>2016-09-02_17:49 - -------------Início da exportação transações de projeto-------------</t>
  </si>
  <si>
    <t>2016-09-02_17:49 - Arquivo xog sendo gravado em: C:\xog_rumo_all_financial\xog_transaction_lote_20160902_174917.xml</t>
  </si>
  <si>
    <t>2016-09-02_17:49 - Proxy identificado</t>
  </si>
  <si>
    <t>2016-09-02_17:49 - Ambiente selecionado: DEV</t>
  </si>
  <si>
    <t>2016-09-02_17:49 -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</si>
  <si>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2016-09-02_17:49 - Enviando requisição de login</t>
  </si>
  <si>
    <t>2016-09-02_17:49 - Login realizado. SessionID capturado: 9406071__B90B83DB-963C-42A6-9988-C92C78DE62CE</t>
  </si>
  <si>
    <t>2016-09-02_17:49 - Chamando mensagem de requisição</t>
  </si>
  <si>
    <t>2016-09-02_17:49 - Capturando resultado final</t>
  </si>
  <si>
    <t>2016-09-02_17:49 - Efetuando logout</t>
  </si>
  <si>
    <t>2016-09-02_17:49 - Logout realizado</t>
  </si>
  <si>
    <t>2016-09-02_17:49 - -------------Fim da exportação transações de projeto-------------</t>
  </si>
  <si>
    <t>2016-09-02_17:49 - Arquivo xog sendo gravado em: C:\xog_rumo_all_financial\xog_transaction_lote_20160902_174923.xml</t>
  </si>
  <si>
    <t>2016-09-02_17:49 - Login realizado. SessionID capturado: 9406072__939C4512-8082-479B-AD1F-D8D6310D9A5B</t>
  </si>
  <si>
    <t>2016-09-02_17:49 - Arquivo xog sendo gravado em: C:\xog_rumo_all_financial\xog_transaction_lote_20160902_174928.xml</t>
  </si>
  <si>
    <t>2016-09-02_17:49 - Login realizado. SessionID capturado: 9406073__3844B052-8A42-4784-9A76-792A8C7F2501</t>
  </si>
  <si>
    <t>2016-09-02_17:52 - -------------Início da exportação transações de projeto-------------</t>
  </si>
  <si>
    <t>2016-09-02_17:52 - Arquivo xog sendo gravado em: C:\xog_rumo_all_financial\xog_transaction_lote_20160902_175247.xml</t>
  </si>
  <si>
    <t>2016-09-02_17:52 - Proxy identificado</t>
  </si>
  <si>
    <t>2016-09-02_17:52 - Ambiente selecionado: DEV</t>
  </si>
  <si>
    <t>2016-09-02_17:52 -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</si>
  <si>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2016-09-02_17:52 - Enviando requisição de login</t>
  </si>
  <si>
    <t>2016-09-02_17:52 - Login realizado. SessionID capturado: 9406075__CF55BE14-01B6-4191-B31D-17DFB75F3806</t>
  </si>
  <si>
    <t>2016-09-02_17:52 - Chamando mensagem de requisição</t>
  </si>
  <si>
    <t>2016-09-02_17:52 - Capturando resultado final</t>
  </si>
  <si>
    <t>2016-09-02_17:52 - Efetuando logout</t>
  </si>
  <si>
    <t>2016-09-02_17:52 - Logout realizado</t>
  </si>
  <si>
    <t>2016-09-02_17:52 - -------------Fim da exportação transações de projeto-------------</t>
  </si>
  <si>
    <t>2016-09-02_17:52 - Arquivo xog sendo gravado em: C:\xog_rumo_all_financial\xog_transaction_lote_20160902_175254.xml</t>
  </si>
  <si>
    <t>2016-09-02_17:52 - Login realizado. SessionID capturado: 9406076__4895C634-D4E8-4F5F-8B62-20C778D23733</t>
  </si>
  <si>
    <t>2016-09-02_17:53 - -------------Início da exportação transações de projeto-------------</t>
  </si>
  <si>
    <t>2016-09-02_17:53 - Arquivo xog sendo gravado em: C:\xog_rumo_all_financial\xog_transaction_lote_20160902_175300.xml</t>
  </si>
  <si>
    <t>2016-09-02_17:53 - Proxy identificado</t>
  </si>
  <si>
    <t>2016-09-02_17:53 - Ambiente selecionado: DEV</t>
  </si>
  <si>
    <t>2016-09-02_17:53 -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</si>
  <si>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2016-09-02_17:53 - Enviando requisição de login</t>
  </si>
  <si>
    <t>2016-09-02_17:53 - Login realizado. SessionID capturado: 9406077__A1C04F04-6007-4B33-9915-07387146D774</t>
  </si>
  <si>
    <t>2016-09-02_17:53 - Chamando mensagem de requisição</t>
  </si>
  <si>
    <t>2016-09-02_17:53 - Capturando resultado final</t>
  </si>
  <si>
    <t>2016-09-02_17:53 - Efetuando logout</t>
  </si>
  <si>
    <t>2016-09-02_17:53 - Logout realizado</t>
  </si>
  <si>
    <t>2016-09-02_17:53 - -------------Fim da exportação transações de projeto-------------</t>
  </si>
  <si>
    <t>2016-09-02_17:58 - -------------Início da exportação transações de projeto-------------</t>
  </si>
  <si>
    <t>2016-09-02_17:58 - Arquivo xog sendo gravado em: C:\xog_rumo_all_financial\xog_transaction_lote_20160902_175832.xml</t>
  </si>
  <si>
    <t>2016-09-02_17:58 - Proxy identificado</t>
  </si>
  <si>
    <t>2016-09-02_17:58 - Ambiente selecionado: DEV</t>
  </si>
  <si>
    <t>2016-09-02_17:58 -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</si>
  <si>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2016-09-02_17:58 - Enviando requisição de login</t>
  </si>
  <si>
    <t>2016-09-02_17:58 - Login realizado. SessionID capturado: 9406079__802E54C1-78FA-418B-A135-DE6AF552289A</t>
  </si>
  <si>
    <t>2016-09-02_17:58 - Chamando mensagem de requisição</t>
  </si>
  <si>
    <t>2016-09-02_17:58 - Capturando resultado final</t>
  </si>
  <si>
    <t>2016-09-02_17:58 - Efetuando logout</t>
  </si>
  <si>
    <t>2016-09-02_17:58 - Logout realizado</t>
  </si>
  <si>
    <t>2016-09-02_17:58 - -------------Fim da exportação transações de projeto-------------</t>
  </si>
  <si>
    <t>2016-09-02_17:58 - Arquivo xog sendo gravado em: C:\xog_rumo_all_financial\xog_transaction_lote_20160902_175838.xml</t>
  </si>
  <si>
    <t>2016-09-02_17:58 - Login realizado. SessionID capturado: 9406080__D5B3D3A0-E6BA-40C1-BA0F-D27683ED47BC</t>
  </si>
  <si>
    <t>2016-09-02_17:58 - Arquivo xog sendo gravado em: C:\xog_rumo_all_financial\xog_transaction_lote_20160902_175843.xml</t>
  </si>
  <si>
    <t>2016-09-02_17:58 - Login realizado. SessionID capturado: 9406081__79C534C3-E8CF-4D57-BAF5-A9C78D7609C1</t>
  </si>
  <si>
    <t>2016-09-02_18:06 - -------------Início da exportação transações de projeto-------------</t>
  </si>
  <si>
    <t>2016-09-02_18:06 - Arquivo xog sendo gravado em: C:\xog_rumo_all_financial\xog_transaction_20160902_180635.xml</t>
  </si>
  <si>
    <t>2016-09-02_18:08 - Proxy identificado</t>
  </si>
  <si>
    <t>2016-09-02_18:08 - Ambiente selecionado: DEV</t>
  </si>
  <si>
    <t>2016-09-02_18:08 - Escrevendo tarefas...</t>
  </si>
  <si>
    <t>2016-09-02_18:08 - Escrevendo locais...</t>
  </si>
  <si>
    <t>2016-09-02_18:08 - Escrevendo períodos...</t>
  </si>
  <si>
    <t>2016-09-02_18:08 - Escrevendo fornecedores...</t>
  </si>
  <si>
    <t>2016-09-02_18:08 - Escrevendo departamentos...</t>
  </si>
  <si>
    <t>2016-09-02_18:08 - Escrevendo centros de custo...</t>
  </si>
  <si>
    <t>2016-09-02_18:08 - Escrevendo recursos e classes de transacao...</t>
  </si>
  <si>
    <t>2016-09-02_18:08 - Escrevendo classes de transacao...</t>
  </si>
  <si>
    <t>2016-09-02_18:12 - -------------Início da exportação transações de projeto-------------</t>
  </si>
  <si>
    <t>2016-09-02_18:12 - Arquivo xog sendo gravado em: C:\xog_rumo_all_financial\xog_transaction_20160902_181236.xml</t>
  </si>
  <si>
    <t>2016-09-02_18:13 - -------------Início da exportação transações de projeto-------------</t>
  </si>
  <si>
    <t>2016-09-02_18:13 - Arquivo xog sendo gravado em: C:\xog_rumo_all_financial\xog_transaction_20160902_181320.xml</t>
  </si>
  <si>
    <t>2016-09-02_18:15 - -------------Início da exportação transações de projeto-------------</t>
  </si>
  <si>
    <t>2016-09-02_18:15 - Arquivo xog sendo gravado em: C:\xog_rumo_all_financial\xog_transaction_20160902_181547.xml</t>
  </si>
  <si>
    <t>2016-09-02_18:17 - -------------Início da exportação transações de projeto-------------</t>
  </si>
  <si>
    <t>2016-09-02_18:17 - Arquivo xog sendo gravado em: C:\xog_rumo_all_financial\xog_transaction_20160902_181700.xml</t>
  </si>
  <si>
    <t>2016-09-02_18:19 - Proxy identificado</t>
  </si>
  <si>
    <t>2016-09-02_18:19 - Ambiente selecionado: DEV</t>
  </si>
  <si>
    <t>2016-09-02_18:19 - Escrevendo tarefas...</t>
  </si>
  <si>
    <t>2016-09-02_18:19 - Escrevendo locais...</t>
  </si>
  <si>
    <t>2016-09-02_18:19 - Escrevendo períodos...</t>
  </si>
  <si>
    <t>2016-09-02_18:19 - Escrevendo fornecedores...</t>
  </si>
  <si>
    <t>2016-09-02_18:19 - Escrevendo departamentos...</t>
  </si>
  <si>
    <t>2016-09-02_18:19 - Escrevendo centros de custo...</t>
  </si>
  <si>
    <t>2016-09-02_18:19 - Escrevendo recursos e classes de transacao...</t>
  </si>
  <si>
    <t>2016-09-02_18:19 - Escrevendo classes de transacao...</t>
  </si>
  <si>
    <t>2016-09-02_18:20 - -------------Início da exportação transações de projeto-------------</t>
  </si>
  <si>
    <t>2016-09-02_18:20 - Arquivo xog sendo gravado em: C:\xog_rumo_all_financial\xog_transaction_20160902_182044.xml</t>
  </si>
  <si>
    <t>2016-09-02_18:22 - -------------Início da exportação transações de projeto-------------</t>
  </si>
  <si>
    <t>2016-09-02_18:22 - Arquivo xog sendo gravado em: C:\xog_rumo_all_financial\xog_transaction_20160902_182205.xml</t>
  </si>
  <si>
    <t>2016-09-02_18:22 - Arquivo xog sendo gravado em: C:\xog_rumo_all_financial\xog_transaction_20160902_182256.xml</t>
  </si>
  <si>
    <t>2016-09-02_18:22 - -------------Fim da exportação transações de projeto-------------</t>
  </si>
  <si>
    <t>2016-09-02_18:23 - -------------Início da exportação transações de projeto-------------</t>
  </si>
  <si>
    <t>2016-09-02_18:23 - Arquivo xog sendo gravado em: C:\xog_rumo_all_financial\xog_transaction_20160902_182348.xml</t>
  </si>
  <si>
    <t>2016-09-02_18:23 - Proxy identificado</t>
  </si>
  <si>
    <t>2016-09-02_18:23 - Ambiente selecionado: DEV</t>
  </si>
  <si>
    <t>2016-09-02_18:23 -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</si>
  <si>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2016-09-02_18:23 - Enviando requisição de login</t>
  </si>
  <si>
    <t>2016-09-02_18:23 - Login realizado. SessionID capturado: 9406104__60715302-516D-4F33-AD57-3796A23FEEF2</t>
  </si>
  <si>
    <t>2016-09-02_18:23 - Chamando mensagem de requisição</t>
  </si>
  <si>
    <t>2016-09-02_18:23 - Capturando resultado final</t>
  </si>
  <si>
    <t>2016-09-02_18:23 - Efetuando logout</t>
  </si>
  <si>
    <t>2016-09-02_18:23 - Logout realizado</t>
  </si>
  <si>
    <t>2016-09-02_18:23 - -------------Fim da exportação transações de projeto-------------</t>
  </si>
  <si>
    <t>2016-09-02_18:25 - -------------Início da exportação transações de projeto-------------</t>
  </si>
  <si>
    <t>2016-09-02_18:25 - Arquivo xog sendo gravado em: C:\xog_rumo_all_financial\xog_transaction_20160902_182538.xml</t>
  </si>
  <si>
    <t>2016-09-02_18:25 - Proxy identificado</t>
  </si>
  <si>
    <t>2016-09-02_18:25 - Ambiente selecionado: DEV</t>
  </si>
  <si>
    <t>2016-09-02_18:25 -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</si>
  <si>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2016-09-02_18:25 - Enviando requisição de login</t>
  </si>
  <si>
    <t>2016-09-02_18:25 - Login realizado. SessionID capturado: 9406106__6B41C311-EE90-4ACB-AE4B-F4F88FC4D854</t>
  </si>
  <si>
    <t>2016-09-02_18:25 - Chamando mensagem de requisição</t>
  </si>
  <si>
    <t>2016-09-02_18:25 - Capturando resultado final</t>
  </si>
  <si>
    <t>2016-09-02_18:25 - Efetuando logout</t>
  </si>
  <si>
    <t>2016-09-02_18:25 - Logout realizado</t>
  </si>
  <si>
    <t>2016-09-02_18:25 - -------------Fim da exportação transações de projeto-------------</t>
  </si>
  <si>
    <t>2016-09-02_18:31 - Proxy identificado</t>
  </si>
  <si>
    <t>2016-09-02_18:31 - Ambiente selecionado: DEV</t>
  </si>
  <si>
    <t>2016-09-02_18:31 - Escrevendo tarefas...</t>
  </si>
  <si>
    <t>2016-09-02_18:32 - Escrevendo locais...</t>
  </si>
  <si>
    <t>2016-09-02_18:32 - Escrevendo períodos...</t>
  </si>
  <si>
    <t>2016-09-02_18:32 - Escrevendo fornecedores...</t>
  </si>
  <si>
    <t>2016-09-02_18:32 - Escrevendo departamentos...</t>
  </si>
  <si>
    <t>2016-09-02_18:32 - Escrevendo centros de custo...</t>
  </si>
  <si>
    <t>2016-09-02_18:32 - Escrevendo recursos e classes de transacao...</t>
  </si>
  <si>
    <t>2016-09-02_18:32 - Escrevendo classes de transacao...</t>
  </si>
  <si>
    <t>2016-09-02_18:32 - Proxy identificado</t>
  </si>
  <si>
    <t>2016-09-02_18:32 - Ambiente selecionado: DEV</t>
  </si>
  <si>
    <t>2016-09-02_18:32 - Escrevendo tarefas...</t>
  </si>
  <si>
    <t>2016-09-06_16:29 - Proxy identificado</t>
  </si>
  <si>
    <t>2016-09-06_16:29 - Ambiente selecionado: DEV</t>
  </si>
  <si>
    <t>2016-09-06_16:29 - Escrevendo tarefas...</t>
  </si>
  <si>
    <t>2016-09-06_16:29 - Escrevendo locais...</t>
  </si>
  <si>
    <t>2016-09-06_16:29 - Escrevendo períodos...</t>
  </si>
  <si>
    <t>2016-09-06_16:29 - Escrevendo fornecedores...</t>
  </si>
  <si>
    <t>2016-09-06_16:29 - Escrevendo departamentos...</t>
  </si>
  <si>
    <t>2016-09-06_16:29 - Escrevendo centros de custo...</t>
  </si>
  <si>
    <t>2016-09-06_16:29 - Escrevendo recursos e classes de transacao...</t>
  </si>
  <si>
    <t>2016-09-06_16:29 - Escrevendo classes de transacao...</t>
  </si>
  <si>
    <t>2016-09-19_13:45 - Proxy identificado</t>
  </si>
  <si>
    <t>2016-09-19_13:45 - Ambiente selecionado: DEV</t>
  </si>
  <si>
    <t>2016-09-19_13:45 - Escrevendo tarefas...</t>
  </si>
  <si>
    <t>2016-09-19_13:45 - Escrevendo locais...</t>
  </si>
  <si>
    <t>2016-09-19_13:45 - Escrevendo períodos...</t>
  </si>
  <si>
    <t>2016-09-19_13:45 - Escrevendo fornecedores...</t>
  </si>
  <si>
    <t>2016-09-19_13:45 - Escrevendo departamentos...</t>
  </si>
  <si>
    <t>2016-09-19_13:45 - Escrevendo centros de custo...</t>
  </si>
  <si>
    <t>2016-09-19_13:45 - Escrevendo recursos e classes de transacao...</t>
  </si>
  <si>
    <t>2016-09-19_13:45 - Escrevendo classes de transacao...</t>
  </si>
  <si>
    <t>2016-09-19_13:46 - Escrevendo classes de transacao...</t>
  </si>
  <si>
    <t>2016-09-19_13:46 - Proxy identificado</t>
  </si>
  <si>
    <t>2016-09-19_13:46 - Ambiente selecionado: DEV</t>
  </si>
  <si>
    <t>2016-09-19_13:46 - Escrevendo tarefas...</t>
  </si>
  <si>
    <t>2016-09-19_13:46 - Escrevendo locais...</t>
  </si>
  <si>
    <t>2016-09-19_13:46 - Escrevendo períodos...</t>
  </si>
  <si>
    <t>2016-09-19_13:46 - Escrevendo fornecedores...</t>
  </si>
  <si>
    <t>2016-09-19_13:46 - Escrevendo departamentos...</t>
  </si>
  <si>
    <t>2016-09-19_13:46 - Escrevendo centros de custo...</t>
  </si>
  <si>
    <t>2016-09-19_13:46 - Escrevendo recursos e classes de transacao...</t>
  </si>
  <si>
    <t>2016-09-19_15:48 - -------------Início da exportação transações de projeto-------------</t>
  </si>
  <si>
    <t>2016-09-19_15:48 - Arquivo xog sendo gravado em: C:\xog_rumo_all_financial\xog_transaction_lote_20160919_154849.xml</t>
  </si>
  <si>
    <t>2016-09-19_15:50 - -------------Início da exportação transações de projeto-------------</t>
  </si>
  <si>
    <t>2016-09-19_15:50 - Arquivo xog sendo gravado em: C:\xog_rumo_all_financial\xog_transaction_lote_20160919_155024.xml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</si>
</sst>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;;;**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color theme="0" tint="-4.9989318521683403E-2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77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92D400"/>
      </left>
      <right style="thin">
        <color rgb="FF92D400"/>
      </right>
      <top style="thin">
        <color rgb="FF92D400"/>
      </top>
      <bottom style="hair">
        <color theme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</cellStyleXfs>
  <cellXfs count="98">
    <xf numFmtId="0" fontId="0" fillId="0" borderId="0" xfId="0"/>
    <xf numFmtId="0" fontId="3" fillId="0" borderId="0" xfId="2"/>
    <xf numFmtId="0" fontId="0" fillId="2" borderId="0" xfId="0" applyFill="1"/>
    <xf numFmtId="0" fontId="0" fillId="3" borderId="1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7" xfId="0" applyFill="1" applyBorder="1" applyAlignment="1" applyProtection="1">
      <alignment horizontal="left"/>
      <protection locked="0"/>
    </xf>
    <xf numFmtId="0" fontId="0" fillId="2" borderId="7" xfId="0" applyFill="1" applyBorder="1" applyProtection="1">
      <protection locked="0"/>
    </xf>
    <xf numFmtId="164" fontId="6" fillId="2" borderId="7" xfId="3" applyNumberFormat="1" applyFill="1" applyBorder="1" applyProtection="1">
      <protection locked="0"/>
    </xf>
    <xf numFmtId="164" fontId="6" fillId="2" borderId="7" xfId="3" applyNumberFormat="1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8" fillId="2" borderId="0" xfId="0" applyFont="1" applyFill="1" applyBorder="1"/>
    <xf numFmtId="0" fontId="8" fillId="2" borderId="0" xfId="0" applyFont="1" applyFill="1"/>
    <xf numFmtId="0" fontId="8" fillId="2" borderId="2" xfId="0" applyFont="1" applyFill="1" applyBorder="1"/>
    <xf numFmtId="0" fontId="8" fillId="2" borderId="3" xfId="0" applyFont="1" applyFill="1" applyBorder="1"/>
    <xf numFmtId="0" fontId="0" fillId="3" borderId="0" xfId="0" applyFill="1" applyBorder="1"/>
    <xf numFmtId="0" fontId="2" fillId="3" borderId="0" xfId="0" applyFont="1" applyFill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Protection="1"/>
    <xf numFmtId="0" fontId="0" fillId="2" borderId="1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Protection="1">
      <protection hidden="1"/>
    </xf>
    <xf numFmtId="14" fontId="0" fillId="4" borderId="0" xfId="0" applyNumberFormat="1" applyFill="1" applyProtection="1">
      <protection hidden="1"/>
    </xf>
    <xf numFmtId="0" fontId="0" fillId="4" borderId="0" xfId="0" applyFill="1" applyAlignment="1" applyProtection="1">
      <alignment wrapText="1"/>
      <protection hidden="1"/>
    </xf>
    <xf numFmtId="0" fontId="3" fillId="5" borderId="0" xfId="2" applyFill="1" applyProtection="1">
      <protection hidden="1"/>
    </xf>
    <xf numFmtId="14" fontId="3" fillId="5" borderId="0" xfId="2" applyNumberFormat="1" applyFill="1" applyProtection="1">
      <protection hidden="1"/>
    </xf>
    <xf numFmtId="0" fontId="3" fillId="5" borderId="0" xfId="2" applyFill="1" applyAlignment="1" applyProtection="1">
      <alignment wrapText="1"/>
      <protection hidden="1"/>
    </xf>
    <xf numFmtId="0" fontId="2" fillId="6" borderId="13" xfId="0" applyFont="1" applyFill="1" applyBorder="1" applyAlignment="1" applyProtection="1">
      <alignment horizontal="center" vertical="center"/>
      <protection hidden="1"/>
    </xf>
    <xf numFmtId="0" fontId="2" fillId="7" borderId="13" xfId="0" applyFont="1" applyFill="1" applyBorder="1" applyAlignment="1" applyProtection="1">
      <alignment horizontal="center" vertical="center"/>
      <protection hidden="1"/>
    </xf>
    <xf numFmtId="0" fontId="2" fillId="6" borderId="13" xfId="0" applyFont="1" applyFill="1" applyBorder="1" applyAlignment="1" applyProtection="1">
      <alignment horizontal="center" vertical="center" wrapText="1"/>
      <protection hidden="1"/>
    </xf>
    <xf numFmtId="0" fontId="2" fillId="7" borderId="13" xfId="0" applyFont="1" applyFill="1" applyBorder="1" applyAlignment="1" applyProtection="1">
      <alignment horizontal="center" vertical="center" wrapText="1"/>
      <protection hidden="1"/>
    </xf>
    <xf numFmtId="0" fontId="9" fillId="7" borderId="13" xfId="0" applyFont="1" applyFill="1" applyBorder="1" applyAlignment="1" applyProtection="1">
      <alignment horizontal="center" vertical="center" wrapText="1"/>
      <protection hidden="1"/>
    </xf>
    <xf numFmtId="0" fontId="10" fillId="6" borderId="13" xfId="0" applyFont="1" applyFill="1" applyBorder="1" applyAlignment="1" applyProtection="1">
      <alignment horizontal="center" vertical="center" wrapText="1"/>
      <protection hidden="1"/>
    </xf>
    <xf numFmtId="0" fontId="10" fillId="7" borderId="13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 applyProtection="1">
      <protection locked="0"/>
    </xf>
    <xf numFmtId="0" fontId="0" fillId="0" borderId="14" xfId="0" applyBorder="1" applyProtection="1">
      <protection hidden="1"/>
    </xf>
    <xf numFmtId="0" fontId="0" fillId="0" borderId="14" xfId="0" quotePrefix="1" applyBorder="1" applyAlignment="1" applyProtection="1">
      <alignment horizontal="center" vertical="center"/>
      <protection hidden="1"/>
    </xf>
    <xf numFmtId="0" fontId="0" fillId="0" borderId="14" xfId="0" quotePrefix="1" applyBorder="1" applyProtection="1">
      <protection locked="0"/>
    </xf>
    <xf numFmtId="0" fontId="0" fillId="0" borderId="14" xfId="0" quotePrefix="1" applyBorder="1" applyProtection="1">
      <protection hidden="1"/>
    </xf>
    <xf numFmtId="14" fontId="0" fillId="0" borderId="14" xfId="0" applyNumberFormat="1" applyBorder="1" applyProtection="1">
      <protection locked="0"/>
    </xf>
    <xf numFmtId="44" fontId="0" fillId="0" borderId="14" xfId="1" applyFont="1" applyBorder="1" applyProtection="1">
      <protection locked="0"/>
    </xf>
    <xf numFmtId="44" fontId="0" fillId="0" borderId="14" xfId="0" applyNumberFormat="1" applyBorder="1" applyProtection="1">
      <protection hidden="1"/>
    </xf>
    <xf numFmtId="0" fontId="3" fillId="0" borderId="0" xfId="2" applyAlignment="1">
      <alignment wrapText="1"/>
    </xf>
    <xf numFmtId="14" fontId="3" fillId="0" borderId="0" xfId="2" applyNumberFormat="1"/>
    <xf numFmtId="0" fontId="11" fillId="8" borderId="15" xfId="2" applyFont="1" applyFill="1" applyBorder="1" applyAlignment="1">
      <alignment horizontal="center" vertical="center"/>
    </xf>
    <xf numFmtId="49" fontId="11" fillId="8" borderId="15" xfId="2" applyNumberFormat="1" applyFont="1" applyFill="1" applyBorder="1" applyAlignment="1">
      <alignment horizontal="center" vertical="center"/>
    </xf>
    <xf numFmtId="1" fontId="11" fillId="8" borderId="15" xfId="2" applyNumberFormat="1" applyFont="1" applyFill="1" applyBorder="1" applyAlignment="1">
      <alignment horizontal="center" vertical="center"/>
    </xf>
    <xf numFmtId="0" fontId="11" fillId="8" borderId="16" xfId="2" applyFont="1" applyFill="1" applyBorder="1" applyAlignment="1">
      <alignment horizontal="center" vertical="center"/>
    </xf>
    <xf numFmtId="0" fontId="12" fillId="5" borderId="0" xfId="2" applyFont="1" applyFill="1" applyProtection="1">
      <protection hidden="1"/>
    </xf>
    <xf numFmtId="0" fontId="13" fillId="2" borderId="17" xfId="0" applyFont="1" applyFill="1" applyBorder="1" applyAlignment="1" applyProtection="1">
      <alignment vertical="center"/>
      <protection hidden="1"/>
    </xf>
    <xf numFmtId="0" fontId="3" fillId="5" borderId="17" xfId="2" applyFill="1" applyBorder="1" applyProtection="1"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4" borderId="18" xfId="0" applyFill="1" applyBorder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14" fillId="4" borderId="0" xfId="0" applyFont="1" applyFill="1" applyProtection="1">
      <protection hidden="1"/>
    </xf>
    <xf numFmtId="0" fontId="3" fillId="0" borderId="0" xfId="2" applyProtection="1">
      <protection hidden="1"/>
    </xf>
    <xf numFmtId="0" fontId="13" fillId="2" borderId="15" xfId="0" applyFont="1" applyFill="1" applyBorder="1" applyAlignment="1" applyProtection="1">
      <alignment vertical="center"/>
      <protection hidden="1"/>
    </xf>
    <xf numFmtId="0" fontId="3" fillId="5" borderId="15" xfId="2" applyFill="1" applyBorder="1" applyProtection="1">
      <protection hidden="1"/>
    </xf>
    <xf numFmtId="0" fontId="2" fillId="6" borderId="19" xfId="0" applyFont="1" applyFill="1" applyBorder="1" applyAlignment="1" applyProtection="1">
      <alignment horizontal="center" vertical="center" wrapText="1"/>
      <protection hidden="1"/>
    </xf>
    <xf numFmtId="0" fontId="2" fillId="7" borderId="19" xfId="0" applyFont="1" applyFill="1" applyBorder="1" applyAlignment="1" applyProtection="1">
      <alignment horizontal="center" vertical="center" wrapText="1"/>
      <protection hidden="1"/>
    </xf>
    <xf numFmtId="0" fontId="9" fillId="7" borderId="19" xfId="0" applyFont="1" applyFill="1" applyBorder="1" applyAlignment="1" applyProtection="1">
      <alignment horizontal="center" vertical="center" wrapText="1"/>
      <protection hidden="1"/>
    </xf>
    <xf numFmtId="0" fontId="10" fillId="6" borderId="19" xfId="0" applyFont="1" applyFill="1" applyBorder="1" applyAlignment="1" applyProtection="1">
      <alignment horizontal="center" vertical="center" wrapText="1"/>
      <protection hidden="1"/>
    </xf>
    <xf numFmtId="0" fontId="10" fillId="7" borderId="19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4" fillId="2" borderId="2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4" fillId="2" borderId="0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5" fillId="2" borderId="0" xfId="0" applyFont="1" applyFill="1" applyBorder="1" applyProtection="1">
      <protection hidden="1"/>
    </xf>
    <xf numFmtId="0" fontId="0" fillId="2" borderId="6" xfId="0" applyFill="1" applyBorder="1" applyProtection="1">
      <protection hidden="1"/>
    </xf>
    <xf numFmtId="164" fontId="7" fillId="2" borderId="0" xfId="0" applyNumberFormat="1" applyFont="1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0" fillId="2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6" fillId="0" borderId="0" xfId="3" quotePrefix="1" applyProtection="1">
      <protection locked="0"/>
    </xf>
    <xf numFmtId="0" fontId="3" fillId="0" borderId="0" xfId="2" applyAlignment="1">
      <alignment horizontal="center"/>
    </xf>
    <xf numFmtId="0" fontId="3" fillId="5" borderId="0" xfId="2" applyFill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3" fillId="5" borderId="0" xfId="2" applyFill="1" applyAlignment="1" applyProtection="1">
      <alignment horizontal="center" vertical="center"/>
      <protection hidden="1"/>
    </xf>
    <xf numFmtId="0" fontId="3" fillId="0" borderId="0" xfId="2" applyAlignment="1">
      <alignment horizontal="center" vertical="center"/>
    </xf>
    <xf numFmtId="0" fontId="0" fillId="0" borderId="14" xfId="0" applyBorder="1" applyAlignment="1" applyProtection="1">
      <alignment horizontal="left" vertical="center"/>
      <protection hidden="1"/>
    </xf>
    <xf numFmtId="0" fontId="3" fillId="0" borderId="0" xfId="2" applyAlignment="1">
      <alignment horizontal="left" vertical="center"/>
    </xf>
    <xf numFmtId="0" fontId="0" fillId="0" borderId="14" xfId="0" applyBorder="1" applyAlignment="1" applyProtection="1">
      <alignment horizontal="center"/>
      <protection locked="0"/>
    </xf>
    <xf numFmtId="44" fontId="0" fillId="0" borderId="14" xfId="1" applyFont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44" fontId="0" fillId="0" borderId="14" xfId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3" fillId="0" borderId="0" xfId="2" applyAlignment="1" applyProtection="1">
      <alignment horizontal="center" vertical="center"/>
      <protection hidden="1"/>
    </xf>
    <xf numFmtId="0" fontId="13" fillId="9" borderId="17" xfId="0" applyFont="1" applyFill="1" applyBorder="1" applyAlignment="1" applyProtection="1">
      <alignment horizontal="center" vertical="center" wrapText="1"/>
      <protection locked="0"/>
    </xf>
    <xf numFmtId="0" fontId="13" fillId="2" borderId="15" xfId="0" applyFont="1" applyFill="1" applyBorder="1" applyAlignment="1" applyProtection="1">
      <alignment horizontal="center" vertical="top"/>
      <protection hidden="1"/>
    </xf>
  </cellXfs>
  <cellStyles count="4">
    <cellStyle name="Currency" xfId="1" builtinId="4"/>
    <cellStyle name="Hyperlink" xfId="3" builtinId="8"/>
    <cellStyle name="Normal" xfId="0" builtinId="0"/>
    <cellStyle name="Normal 2" xfId="2"/>
  </cellStyles>
  <dxfs count="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FIGURA&#199;&#213;E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FIGURA&#199;&#213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9521</xdr:colOff>
      <xdr:row>0</xdr:row>
      <xdr:rowOff>176832</xdr:rowOff>
    </xdr:from>
    <xdr:to>
      <xdr:col>5</xdr:col>
      <xdr:colOff>152399</xdr:colOff>
      <xdr:row>3</xdr:row>
      <xdr:rowOff>11180</xdr:rowOff>
    </xdr:to>
    <xdr:grpSp>
      <xdr:nvGrpSpPr>
        <xdr:cNvPr id="2" name="Group 32"/>
        <xdr:cNvGrpSpPr/>
      </xdr:nvGrpSpPr>
      <xdr:grpSpPr>
        <a:xfrm rot="10800000" flipV="1">
          <a:off x="619121" y="176832"/>
          <a:ext cx="593407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3" name="Freeform 2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Rectangle 3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Servidor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Proxy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5</xdr:col>
      <xdr:colOff>142875</xdr:colOff>
      <xdr:row>12</xdr:row>
      <xdr:rowOff>144530</xdr:rowOff>
    </xdr:to>
    <xdr:grpSp>
      <xdr:nvGrpSpPr>
        <xdr:cNvPr id="5" name="Group 32"/>
        <xdr:cNvGrpSpPr/>
      </xdr:nvGrpSpPr>
      <xdr:grpSpPr>
        <a:xfrm rot="10800000" flipV="1">
          <a:off x="628646" y="2024682"/>
          <a:ext cx="591502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6" name="Freeform 5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7" name="Rectangle 6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Ambiente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CA PPM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3</xdr:col>
      <xdr:colOff>504825</xdr:colOff>
      <xdr:row>10</xdr:row>
      <xdr:rowOff>123825</xdr:rowOff>
    </xdr:from>
    <xdr:to>
      <xdr:col>4</xdr:col>
      <xdr:colOff>514350</xdr:colOff>
      <xdr:row>12</xdr:row>
      <xdr:rowOff>49281</xdr:rowOff>
    </xdr:to>
    <xdr:sp macro="[0]!TestConection" textlink="">
      <xdr:nvSpPr>
        <xdr:cNvPr id="8" name="Rounded Rectangle 7"/>
        <xdr:cNvSpPr>
          <a:spLocks noChangeAspect="1"/>
        </xdr:cNvSpPr>
      </xdr:nvSpPr>
      <xdr:spPr>
        <a:xfrm>
          <a:off x="3409950" y="2124075"/>
          <a:ext cx="1962150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Testar</a:t>
          </a:r>
          <a:r>
            <a:rPr lang="pt-BR" sz="12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Conexão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609596</xdr:colOff>
      <xdr:row>24</xdr:row>
      <xdr:rowOff>157782</xdr:rowOff>
    </xdr:from>
    <xdr:to>
      <xdr:col>7</xdr:col>
      <xdr:colOff>0</xdr:colOff>
      <xdr:row>27</xdr:row>
      <xdr:rowOff>87380</xdr:rowOff>
    </xdr:to>
    <xdr:grpSp>
      <xdr:nvGrpSpPr>
        <xdr:cNvPr id="9" name="Group 32"/>
        <xdr:cNvGrpSpPr/>
      </xdr:nvGrpSpPr>
      <xdr:grpSpPr>
        <a:xfrm rot="10800000" flipV="1">
          <a:off x="609596" y="4825032"/>
          <a:ext cx="7505704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0" name="Freeform 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1" name="Rectangle 1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16384</xdr:col>
      <xdr:colOff>94449</xdr:colOff>
      <xdr:row>6</xdr:row>
      <xdr:rowOff>309564</xdr:rowOff>
    </xdr:to>
    <xdr:sp macro="" textlink="">
      <xdr:nvSpPr>
        <xdr:cNvPr id="13" name="Rounded Rectangle 12"/>
        <xdr:cNvSpPr/>
      </xdr:nvSpPr>
      <xdr:spPr>
        <a:xfrm>
          <a:off x="0" y="0"/>
          <a:ext cx="20723678" cy="1452564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r>
            <a:rPr lang="pt-BR" sz="1100"/>
            <a:t>	1 - Clicar no botão "Atualizar Planilha" para sincronizar todas as informações de investimentos do ambiente;</a:t>
          </a:r>
        </a:p>
        <a:p>
          <a:pPr algn="l"/>
          <a:r>
            <a:rPr lang="pt-BR" sz="1100"/>
            <a:t>	2 - Preencher os dados que serão submetidos ao CA PPM obedecendo às regras descritas como comentário nos títulos das colunas;</a:t>
          </a:r>
        </a:p>
        <a:p>
          <a:pPr algn="l"/>
          <a:r>
            <a:rPr lang="pt-BR" sz="1100"/>
            <a:t>	3 - Enviar as informações para carga de custos realizados dos investimentos clicando no botão "Enviar Dados";</a:t>
          </a:r>
        </a:p>
        <a:p>
          <a:pPr algn="l"/>
          <a:r>
            <a:rPr lang="pt-BR" sz="1100"/>
            <a:t>	4 - Para limpar a planilha, clicar em "Limpar Planilha".</a:t>
          </a:r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2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23825" y="123825"/>
          <a:ext cx="457200" cy="457200"/>
          <a:chOff x="49697" y="16565"/>
          <a:chExt cx="458403" cy="460277"/>
        </a:xfrm>
      </xdr:grpSpPr>
      <xdr:sp macro="" textlink="">
        <xdr:nvSpPr>
          <xdr:cNvPr id="3" name="Oval 2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4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21</xdr:col>
      <xdr:colOff>49625</xdr:colOff>
      <xdr:row>2</xdr:row>
      <xdr:rowOff>165653</xdr:rowOff>
    </xdr:from>
    <xdr:to>
      <xdr:col>24</xdr:col>
      <xdr:colOff>76663</xdr:colOff>
      <xdr:row>4</xdr:row>
      <xdr:rowOff>111923</xdr:rowOff>
    </xdr:to>
    <xdr:sp macro="[0]!EnviarDados" textlink="">
      <xdr:nvSpPr>
        <xdr:cNvPr id="9" name="Rounded Rectangle 8"/>
        <xdr:cNvSpPr>
          <a:spLocks noChangeAspect="1"/>
        </xdr:cNvSpPr>
      </xdr:nvSpPr>
      <xdr:spPr>
        <a:xfrm>
          <a:off x="18646587" y="546653"/>
          <a:ext cx="173433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2 - Enviar Dados</a:t>
          </a:r>
        </a:p>
      </xdr:txBody>
    </xdr:sp>
    <xdr:clientData/>
  </xdr:twoCellAnchor>
  <xdr:twoCellAnchor editAs="absolute">
    <xdr:from>
      <xdr:col>21</xdr:col>
      <xdr:colOff>49625</xdr:colOff>
      <xdr:row>0</xdr:row>
      <xdr:rowOff>112059</xdr:rowOff>
    </xdr:from>
    <xdr:to>
      <xdr:col>24</xdr:col>
      <xdr:colOff>76663</xdr:colOff>
      <xdr:row>2</xdr:row>
      <xdr:rowOff>58329</xdr:rowOff>
    </xdr:to>
    <xdr:sp macro="[0]!AtualizaDados" textlink="">
      <xdr:nvSpPr>
        <xdr:cNvPr id="10" name="Rounded Rectangle 9"/>
        <xdr:cNvSpPr>
          <a:spLocks noChangeAspect="1"/>
        </xdr:cNvSpPr>
      </xdr:nvSpPr>
      <xdr:spPr>
        <a:xfrm>
          <a:off x="18646587" y="112059"/>
          <a:ext cx="173433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1 - Atualizar Planilha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49625</xdr:colOff>
      <xdr:row>5</xdr:row>
      <xdr:rowOff>37683</xdr:rowOff>
    </xdr:from>
    <xdr:to>
      <xdr:col>24</xdr:col>
      <xdr:colOff>76663</xdr:colOff>
      <xdr:row>6</xdr:row>
      <xdr:rowOff>174453</xdr:rowOff>
    </xdr:to>
    <xdr:sp macro="[0]!LimparDados" textlink="">
      <xdr:nvSpPr>
        <xdr:cNvPr id="11" name="Rounded Rectangle 10"/>
        <xdr:cNvSpPr>
          <a:spLocks noChangeAspect="1"/>
        </xdr:cNvSpPr>
      </xdr:nvSpPr>
      <xdr:spPr>
        <a:xfrm>
          <a:off x="18646587" y="990183"/>
          <a:ext cx="173433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3 - Limpar</a:t>
          </a:r>
          <a:r>
            <a:rPr lang="pt-BR" sz="11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Planilha</a:t>
          </a:r>
          <a:endParaRPr lang="pt-BR" sz="11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639536</xdr:colOff>
      <xdr:row>0</xdr:row>
      <xdr:rowOff>122465</xdr:rowOff>
    </xdr:from>
    <xdr:to>
      <xdr:col>5</xdr:col>
      <xdr:colOff>492258</xdr:colOff>
      <xdr:row>2</xdr:row>
      <xdr:rowOff>103415</xdr:rowOff>
    </xdr:to>
    <xdr:sp macro="" textlink="">
      <xdr:nvSpPr>
        <xdr:cNvPr id="12" name="Rectangle 11"/>
        <xdr:cNvSpPr/>
      </xdr:nvSpPr>
      <xdr:spPr>
        <a:xfrm>
          <a:off x="639536" y="122465"/>
          <a:ext cx="6112008" cy="36195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Carga de Custos Realizados em Lote de Projetos</a:t>
          </a:r>
          <a:r>
            <a:rPr lang="pt-BR" sz="1200" b="1" baseline="0">
              <a:solidFill>
                <a:srgbClr val="002776"/>
              </a:solidFill>
              <a:latin typeface="Arial" pitchFamily="34" charset="0"/>
              <a:cs typeface="Arial" pitchFamily="34" charset="0"/>
            </a:rPr>
            <a:t> </a:t>
          </a:r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- Instruções</a:t>
          </a:r>
          <a:endParaRPr lang="pt-BR" sz="1800" b="1">
            <a:solidFill>
              <a:srgbClr val="00277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1770529</xdr:colOff>
      <xdr:row>7</xdr:row>
      <xdr:rowOff>142876</xdr:rowOff>
    </xdr:to>
    <xdr:sp macro="" textlink="">
      <xdr:nvSpPr>
        <xdr:cNvPr id="6" name="Rounded Rectangle 5"/>
        <xdr:cNvSpPr/>
      </xdr:nvSpPr>
      <xdr:spPr>
        <a:xfrm>
          <a:off x="0" y="0"/>
          <a:ext cx="20876558" cy="1442758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r>
            <a:rPr lang="pt-BR" sz="1100"/>
            <a:t>	1 - Clicar no botão "Atualizar Planilha" para sincronizar todas as informações de investimentos do ambiente;</a:t>
          </a:r>
        </a:p>
        <a:p>
          <a:pPr algn="l"/>
          <a:r>
            <a:rPr lang="pt-BR" sz="1100"/>
            <a:t>	2 - Preencher os dados que serão submetidos ao CA PPM obedecendo às regras descritas como comentário nos títulos das colunas;</a:t>
          </a:r>
        </a:p>
        <a:p>
          <a:pPr algn="l"/>
          <a:r>
            <a:rPr lang="pt-BR" sz="1100"/>
            <a:t>	3 - Clicar no botão Atualizar Tarefas</a:t>
          </a:r>
          <a:r>
            <a:rPr lang="pt-BR" sz="1100" baseline="0"/>
            <a:t> para carregar as tarefas dos projetos informado na coluna anterior;</a:t>
          </a:r>
          <a:endParaRPr lang="pt-BR" sz="1100"/>
        </a:p>
        <a:p>
          <a:pPr algn="l"/>
          <a:r>
            <a:rPr lang="pt-BR" sz="1100"/>
            <a:t>	4 - Enviar as informações para carga de custos realizados dos investimentos clicando no botão "Enviar Dados";</a:t>
          </a:r>
        </a:p>
        <a:p>
          <a:pPr algn="l"/>
          <a:r>
            <a:rPr lang="pt-BR" sz="1100"/>
            <a:t>	5 - Para limpar a planilha, clicar em "Limpar Planilha".</a:t>
          </a:r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2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23825" y="123825"/>
          <a:ext cx="457200" cy="457200"/>
          <a:chOff x="49697" y="16565"/>
          <a:chExt cx="458403" cy="460277"/>
        </a:xfrm>
      </xdr:grpSpPr>
      <xdr:sp macro="" textlink="">
        <xdr:nvSpPr>
          <xdr:cNvPr id="3" name="Oval 2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4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582706</xdr:colOff>
      <xdr:row>0</xdr:row>
      <xdr:rowOff>99732</xdr:rowOff>
    </xdr:from>
    <xdr:to>
      <xdr:col>9</xdr:col>
      <xdr:colOff>1143000</xdr:colOff>
      <xdr:row>2</xdr:row>
      <xdr:rowOff>80682</xdr:rowOff>
    </xdr:to>
    <xdr:sp macro="" textlink="">
      <xdr:nvSpPr>
        <xdr:cNvPr id="5" name="Rectangle 4"/>
        <xdr:cNvSpPr/>
      </xdr:nvSpPr>
      <xdr:spPr>
        <a:xfrm>
          <a:off x="582706" y="99732"/>
          <a:ext cx="6073588" cy="36195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Carga de Custos Realizados em Lote de Projetos</a:t>
          </a:r>
          <a:r>
            <a:rPr lang="pt-BR" sz="1200" b="1" baseline="0">
              <a:solidFill>
                <a:srgbClr val="002776"/>
              </a:solidFill>
              <a:latin typeface="Arial" pitchFamily="34" charset="0"/>
              <a:cs typeface="Arial" pitchFamily="34" charset="0"/>
            </a:rPr>
            <a:t> </a:t>
          </a:r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- Instruções</a:t>
          </a:r>
          <a:endParaRPr lang="pt-BR" sz="1800" b="1">
            <a:solidFill>
              <a:srgbClr val="00277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22</xdr:col>
      <xdr:colOff>3233667</xdr:colOff>
      <xdr:row>1</xdr:row>
      <xdr:rowOff>66343</xdr:rowOff>
    </xdr:from>
    <xdr:to>
      <xdr:col>23</xdr:col>
      <xdr:colOff>1580016</xdr:colOff>
      <xdr:row>3</xdr:row>
      <xdr:rowOff>12613</xdr:rowOff>
    </xdr:to>
    <xdr:sp macro="[0]!LimparDadosLote" textlink="">
      <xdr:nvSpPr>
        <xdr:cNvPr id="7" name="Rounded Rectangle 6"/>
        <xdr:cNvSpPr>
          <a:spLocks noChangeAspect="1"/>
        </xdr:cNvSpPr>
      </xdr:nvSpPr>
      <xdr:spPr>
        <a:xfrm>
          <a:off x="18955520" y="256843"/>
          <a:ext cx="173052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3 - Limpar Planilha</a:t>
          </a:r>
        </a:p>
      </xdr:txBody>
    </xdr:sp>
    <xdr:clientData/>
  </xdr:twoCellAnchor>
  <xdr:twoCellAnchor editAs="absolute">
    <xdr:from>
      <xdr:col>22</xdr:col>
      <xdr:colOff>1323865</xdr:colOff>
      <xdr:row>3</xdr:row>
      <xdr:rowOff>167196</xdr:rowOff>
    </xdr:from>
    <xdr:to>
      <xdr:col>22</xdr:col>
      <xdr:colOff>3054390</xdr:colOff>
      <xdr:row>5</xdr:row>
      <xdr:rowOff>147084</xdr:rowOff>
    </xdr:to>
    <xdr:sp macro="[0]!Update_DataValidation_Task" textlink="">
      <xdr:nvSpPr>
        <xdr:cNvPr id="8" name="Rounded Rectangle 7"/>
        <xdr:cNvSpPr>
          <a:spLocks noChangeAspect="1"/>
        </xdr:cNvSpPr>
      </xdr:nvSpPr>
      <xdr:spPr>
        <a:xfrm>
          <a:off x="17045718" y="738696"/>
          <a:ext cx="173052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2 - Atualizar Tarefas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22</xdr:col>
      <xdr:colOff>3233667</xdr:colOff>
      <xdr:row>3</xdr:row>
      <xdr:rowOff>167196</xdr:rowOff>
    </xdr:from>
    <xdr:to>
      <xdr:col>23</xdr:col>
      <xdr:colOff>1580016</xdr:colOff>
      <xdr:row>5</xdr:row>
      <xdr:rowOff>147084</xdr:rowOff>
    </xdr:to>
    <xdr:sp macro="[0]!EnviarDadosLote" textlink="">
      <xdr:nvSpPr>
        <xdr:cNvPr id="9" name="Rounded Rectangle 8"/>
        <xdr:cNvSpPr>
          <a:spLocks noChangeAspect="1"/>
        </xdr:cNvSpPr>
      </xdr:nvSpPr>
      <xdr:spPr>
        <a:xfrm>
          <a:off x="18955520" y="738696"/>
          <a:ext cx="173052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4 - Enviar</a:t>
          </a:r>
          <a:r>
            <a:rPr lang="pt-BR" sz="11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Dados</a:t>
          </a:r>
          <a:endParaRPr lang="pt-BR" sz="11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22</xdr:col>
      <xdr:colOff>1323865</xdr:colOff>
      <xdr:row>1</xdr:row>
      <xdr:rowOff>66343</xdr:rowOff>
    </xdr:from>
    <xdr:to>
      <xdr:col>22</xdr:col>
      <xdr:colOff>3054390</xdr:colOff>
      <xdr:row>3</xdr:row>
      <xdr:rowOff>12613</xdr:rowOff>
    </xdr:to>
    <xdr:sp macro="[0]!AtualizaDadosLote" textlink="">
      <xdr:nvSpPr>
        <xdr:cNvPr id="10" name="Rounded Rectangle 9"/>
        <xdr:cNvSpPr>
          <a:spLocks noChangeAspect="1"/>
        </xdr:cNvSpPr>
      </xdr:nvSpPr>
      <xdr:spPr>
        <a:xfrm>
          <a:off x="17045718" y="256843"/>
          <a:ext cx="173052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1 - Atualizar Planilha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RUMO%20ALL/ALL%20-%20Planilha%20de%20Carga%20de%20Dados%20Financeiros%20-%20Projetos%20-%20vf%20%20(DT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2-CUSTOS REALIZADOS"/>
      <sheetName val="ENTRADA DE DADOS"/>
      <sheetName val="2- DADOS DE CARGA REAL"/>
      <sheetName val="APOIO"/>
      <sheetName val="DEBUG"/>
      <sheetName val="ALL - Planilha de Carga de Dado"/>
    </sheetNames>
    <sheetDataSet>
      <sheetData sheetId="0" refreshError="1"/>
      <sheetData sheetId="1" refreshError="1"/>
      <sheetData sheetId="2">
        <row r="8">
          <cell r="C8">
            <v>619</v>
          </cell>
        </row>
      </sheetData>
      <sheetData sheetId="3" refreshError="1"/>
      <sheetData sheetId="4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44"/>
  <sheetViews>
    <sheetView tabSelected="1" workbookViewId="0"/>
  </sheetViews>
  <sheetFormatPr defaultColWidth="0" defaultRowHeight="15" customHeight="1" x14ac:dyDescent="0.25"/>
  <cols>
    <col min="1" max="1" width="9.140625" customWidth="1"/>
    <col min="2" max="2" width="6.7109375" customWidth="1"/>
    <col min="3" max="3" width="27.7109375" bestFit="1" customWidth="1"/>
    <col min="4" max="4" width="39.5703125" customWidth="1"/>
    <col min="5" max="6" width="12.85546875" bestFit="1" customWidth="1"/>
    <col min="7" max="7" width="12.85546875" customWidth="1"/>
    <col min="8" max="8" width="17.42578125" hidden="1" customWidth="1"/>
    <col min="9" max="9" width="7.28515625" hidden="1" customWidth="1"/>
    <col min="10" max="10" width="0" hidden="1" customWidth="1"/>
    <col min="11" max="16384" width="9.140625" hidden="1"/>
  </cols>
  <sheetData>
    <row r="1" spans="1:10" x14ac:dyDescent="0.25">
      <c r="A1" s="65"/>
      <c r="B1" s="65"/>
      <c r="C1" s="65"/>
      <c r="D1" s="65"/>
      <c r="E1" s="65"/>
      <c r="F1" s="65"/>
      <c r="G1" s="65"/>
      <c r="H1" s="2"/>
      <c r="I1" s="2"/>
      <c r="J1" s="2"/>
    </row>
    <row r="2" spans="1:10" ht="18.75" x14ac:dyDescent="0.3">
      <c r="A2" s="65"/>
      <c r="B2" s="66"/>
      <c r="C2" s="67"/>
      <c r="D2" s="68"/>
      <c r="E2" s="69"/>
      <c r="F2" s="65"/>
      <c r="G2" s="65"/>
      <c r="H2" s="2"/>
      <c r="I2" s="2"/>
      <c r="J2" s="2"/>
    </row>
    <row r="3" spans="1:10" ht="18.75" x14ac:dyDescent="0.3">
      <c r="A3" s="65"/>
      <c r="B3" s="70"/>
      <c r="C3" s="71"/>
      <c r="D3" s="72"/>
      <c r="E3" s="73"/>
      <c r="F3" s="65"/>
      <c r="G3" s="65"/>
      <c r="H3" s="2"/>
      <c r="I3" s="2"/>
      <c r="J3" s="2"/>
    </row>
    <row r="4" spans="1:10" x14ac:dyDescent="0.25">
      <c r="A4" s="65"/>
      <c r="B4" s="70"/>
      <c r="C4" s="74"/>
      <c r="D4" s="72"/>
      <c r="E4" s="73"/>
      <c r="F4" s="65"/>
      <c r="G4" s="65"/>
      <c r="H4" s="2"/>
      <c r="I4" s="2"/>
      <c r="J4" s="2"/>
    </row>
    <row r="5" spans="1:10" x14ac:dyDescent="0.25">
      <c r="A5" s="65"/>
      <c r="B5" s="70"/>
      <c r="C5" s="75" t="s">
        <v>0</v>
      </c>
      <c r="D5" s="7" t="s">
        <v>9</v>
      </c>
      <c r="E5" s="73"/>
      <c r="F5" s="65"/>
      <c r="G5" s="65"/>
      <c r="H5" s="2"/>
      <c r="I5" s="2"/>
      <c r="J5" s="2"/>
    </row>
    <row r="6" spans="1:10" x14ac:dyDescent="0.25">
      <c r="A6" s="65"/>
      <c r="B6" s="70"/>
      <c r="C6" s="75" t="s">
        <v>1</v>
      </c>
      <c r="D6" s="8"/>
      <c r="E6" s="73"/>
      <c r="F6" s="65"/>
      <c r="G6" s="65"/>
      <c r="H6" s="2"/>
      <c r="I6" s="2"/>
      <c r="J6" s="2"/>
    </row>
    <row r="7" spans="1:10" x14ac:dyDescent="0.25">
      <c r="A7" s="65"/>
      <c r="B7" s="70"/>
      <c r="C7" s="75" t="s">
        <v>2</v>
      </c>
      <c r="D7" s="7"/>
      <c r="E7" s="73"/>
      <c r="F7" s="65"/>
      <c r="G7" s="65"/>
      <c r="H7" s="2"/>
      <c r="I7" s="2"/>
      <c r="J7" s="2"/>
    </row>
    <row r="8" spans="1:10" x14ac:dyDescent="0.25">
      <c r="A8" s="65"/>
      <c r="B8" s="70"/>
      <c r="C8" s="75" t="s">
        <v>3</v>
      </c>
      <c r="D8" s="8"/>
      <c r="E8" s="73"/>
      <c r="F8" s="65"/>
      <c r="G8" s="65"/>
      <c r="H8" s="2"/>
      <c r="I8" s="2"/>
      <c r="J8" s="2"/>
    </row>
    <row r="9" spans="1:10" x14ac:dyDescent="0.25">
      <c r="A9" s="65"/>
      <c r="B9" s="70"/>
      <c r="C9" s="75" t="s">
        <v>4</v>
      </c>
      <c r="D9" s="9"/>
      <c r="E9" s="73"/>
      <c r="F9" s="65"/>
      <c r="G9" s="65"/>
      <c r="H9" s="2"/>
      <c r="I9" s="2"/>
      <c r="J9" s="2"/>
    </row>
    <row r="10" spans="1:10" x14ac:dyDescent="0.25">
      <c r="A10" s="65"/>
      <c r="B10" s="70"/>
      <c r="C10" s="72"/>
      <c r="D10" s="76"/>
      <c r="E10" s="73"/>
      <c r="F10" s="65"/>
      <c r="G10" s="65"/>
      <c r="H10" s="2"/>
      <c r="I10" s="2"/>
      <c r="J10" s="2"/>
    </row>
    <row r="11" spans="1:10" x14ac:dyDescent="0.25">
      <c r="A11" s="65"/>
      <c r="B11" s="70"/>
      <c r="C11" s="72"/>
      <c r="D11" s="72"/>
      <c r="E11" s="73"/>
      <c r="F11" s="65"/>
      <c r="G11" s="65"/>
      <c r="H11" s="2"/>
      <c r="I11" s="2"/>
      <c r="J11" s="2"/>
    </row>
    <row r="12" spans="1:10" x14ac:dyDescent="0.25">
      <c r="A12" s="65"/>
      <c r="B12" s="70"/>
      <c r="C12" s="74"/>
      <c r="D12" s="72"/>
      <c r="E12" s="73"/>
      <c r="F12" s="65"/>
      <c r="G12" s="65"/>
      <c r="H12" s="2"/>
      <c r="I12" s="2"/>
      <c r="J12" s="2"/>
    </row>
    <row r="13" spans="1:10" x14ac:dyDescent="0.25">
      <c r="A13" s="65"/>
      <c r="B13" s="70"/>
      <c r="C13" s="74"/>
      <c r="D13" s="72"/>
      <c r="E13" s="73"/>
      <c r="F13" s="65"/>
      <c r="G13" s="65"/>
      <c r="H13" s="2"/>
      <c r="I13" s="2"/>
      <c r="J13" s="2"/>
    </row>
    <row r="14" spans="1:10" x14ac:dyDescent="0.25">
      <c r="A14" s="65"/>
      <c r="B14" s="70"/>
      <c r="C14" s="74"/>
      <c r="D14" s="72"/>
      <c r="E14" s="73"/>
      <c r="F14" s="65"/>
      <c r="G14" s="65"/>
      <c r="H14" s="2"/>
      <c r="I14" s="2"/>
      <c r="J14" s="2"/>
    </row>
    <row r="15" spans="1:10" x14ac:dyDescent="0.25">
      <c r="A15" s="65"/>
      <c r="B15" s="70"/>
      <c r="C15" s="75" t="s">
        <v>5</v>
      </c>
      <c r="D15" s="7" t="s">
        <v>572</v>
      </c>
      <c r="E15" s="73"/>
      <c r="F15" s="65"/>
      <c r="G15" s="65"/>
      <c r="H15" s="2"/>
      <c r="I15" s="2"/>
      <c r="J15" s="2"/>
    </row>
    <row r="16" spans="1:10" x14ac:dyDescent="0.25">
      <c r="A16" s="65"/>
      <c r="B16" s="70"/>
      <c r="C16" s="75" t="s">
        <v>6</v>
      </c>
      <c r="D16" s="81"/>
      <c r="E16" s="73"/>
      <c r="F16" s="65"/>
      <c r="G16" s="65"/>
      <c r="H16" s="2"/>
      <c r="I16" s="2"/>
      <c r="J16" s="2"/>
    </row>
    <row r="17" spans="1:10" x14ac:dyDescent="0.25">
      <c r="A17" s="65"/>
      <c r="B17" s="70"/>
      <c r="C17" s="75" t="s">
        <v>4</v>
      </c>
      <c r="D17" s="10"/>
      <c r="E17" s="73"/>
      <c r="F17" s="65"/>
      <c r="G17" s="65"/>
      <c r="H17" s="2"/>
      <c r="I17" s="2"/>
      <c r="J17" s="2"/>
    </row>
    <row r="18" spans="1:10" x14ac:dyDescent="0.25">
      <c r="A18" s="65"/>
      <c r="B18" s="70"/>
      <c r="C18" s="72"/>
      <c r="D18" s="72"/>
      <c r="E18" s="73"/>
      <c r="F18" s="65"/>
      <c r="G18" s="65"/>
      <c r="H18" s="2"/>
      <c r="I18" s="2"/>
      <c r="J18" s="2"/>
    </row>
    <row r="19" spans="1:10" x14ac:dyDescent="0.25">
      <c r="A19" s="65"/>
      <c r="B19" s="70"/>
      <c r="C19" s="74" t="s">
        <v>7</v>
      </c>
      <c r="D19" s="72"/>
      <c r="E19" s="73"/>
      <c r="F19" s="65"/>
      <c r="G19" s="65"/>
      <c r="H19" s="2"/>
      <c r="I19" s="2"/>
      <c r="J19" s="2"/>
    </row>
    <row r="20" spans="1:10" x14ac:dyDescent="0.25">
      <c r="A20" s="65"/>
      <c r="B20" s="70"/>
      <c r="C20" s="77" t="s">
        <v>8</v>
      </c>
      <c r="D20" s="11" t="s">
        <v>9</v>
      </c>
      <c r="E20" s="73"/>
      <c r="F20" s="65"/>
      <c r="G20" s="65"/>
      <c r="H20" s="2"/>
      <c r="I20" s="2"/>
      <c r="J20" s="2"/>
    </row>
    <row r="21" spans="1:10" x14ac:dyDescent="0.25">
      <c r="A21" s="65"/>
      <c r="B21" s="70"/>
      <c r="C21" s="72"/>
      <c r="D21" s="72"/>
      <c r="E21" s="73"/>
      <c r="F21" s="65"/>
      <c r="G21" s="65"/>
      <c r="H21" s="2"/>
      <c r="I21" s="2"/>
      <c r="J21" s="2"/>
    </row>
    <row r="22" spans="1:10" x14ac:dyDescent="0.25">
      <c r="A22" s="65"/>
      <c r="B22" s="78"/>
      <c r="C22" s="79"/>
      <c r="D22" s="79"/>
      <c r="E22" s="80"/>
      <c r="F22" s="65"/>
      <c r="G22" s="65"/>
      <c r="H22" s="2"/>
      <c r="I22" s="2"/>
      <c r="J22" s="2"/>
    </row>
    <row r="23" spans="1:10" x14ac:dyDescent="0.25">
      <c r="A23" s="65"/>
      <c r="B23" s="65"/>
      <c r="C23" s="72"/>
      <c r="D23" s="72"/>
      <c r="E23" s="72"/>
      <c r="F23" s="65"/>
      <c r="G23" s="65"/>
      <c r="H23" s="2"/>
      <c r="I23" s="2"/>
      <c r="J23" s="2"/>
    </row>
    <row r="24" spans="1:10" x14ac:dyDescent="0.25">
      <c r="A24" s="65"/>
      <c r="B24" s="72"/>
      <c r="C24" s="65"/>
      <c r="D24" s="65"/>
      <c r="E24" s="65"/>
      <c r="F24" s="65"/>
      <c r="G24" s="65"/>
      <c r="H24" s="2"/>
      <c r="I24" s="2"/>
      <c r="J24" s="2"/>
    </row>
    <row r="25" spans="1:10" x14ac:dyDescent="0.25">
      <c r="A25" s="2"/>
      <c r="B25" s="12"/>
      <c r="C25" s="13"/>
      <c r="D25" s="13"/>
      <c r="E25" s="13"/>
      <c r="F25" s="13"/>
      <c r="G25" s="2"/>
      <c r="H25" s="2"/>
      <c r="I25" s="22"/>
      <c r="J25" s="2"/>
    </row>
    <row r="26" spans="1:10" x14ac:dyDescent="0.25">
      <c r="A26" s="2"/>
      <c r="B26" s="3"/>
      <c r="C26" s="14"/>
      <c r="D26" s="14"/>
      <c r="E26" s="15"/>
      <c r="F26" s="13"/>
      <c r="G26" s="2"/>
      <c r="H26" s="2"/>
      <c r="I26" s="2"/>
      <c r="J26" s="2"/>
    </row>
    <row r="27" spans="1:10" s="2" customFormat="1" x14ac:dyDescent="0.25">
      <c r="B27" s="4"/>
      <c r="C27" s="5"/>
      <c r="D27" s="5"/>
      <c r="E27" s="6"/>
    </row>
    <row r="28" spans="1:10" x14ac:dyDescent="0.25">
      <c r="A28" s="2"/>
      <c r="B28" s="4"/>
      <c r="C28" s="16"/>
      <c r="D28" s="16"/>
      <c r="E28" s="16"/>
      <c r="F28" s="16"/>
      <c r="G28" s="16"/>
      <c r="H28" s="2"/>
      <c r="I28" s="2"/>
      <c r="J28" s="2"/>
    </row>
    <row r="29" spans="1:10" x14ac:dyDescent="0.25">
      <c r="A29" s="2"/>
      <c r="B29" s="4"/>
      <c r="C29" s="17" t="s">
        <v>10</v>
      </c>
      <c r="D29" s="17" t="s">
        <v>11</v>
      </c>
      <c r="E29" s="17" t="s">
        <v>12</v>
      </c>
      <c r="F29" s="17" t="s">
        <v>13</v>
      </c>
      <c r="G29" s="17" t="s">
        <v>14</v>
      </c>
      <c r="H29" s="2"/>
      <c r="I29" s="2"/>
      <c r="J29" s="2"/>
    </row>
    <row r="30" spans="1:10" x14ac:dyDescent="0.25">
      <c r="A30" s="2"/>
      <c r="B30" s="4"/>
      <c r="C30" s="18" t="s">
        <v>199</v>
      </c>
      <c r="D30" s="19" t="str">
        <f>"&lt;tns:Filter&gt;&lt;tns:param_code&gt;"&amp;'2-CUSTOS REALIZADOS'!C8&amp;"&lt;/tns:param_code&gt;&lt;/tns:Filter&gt;"</f>
        <v>&lt;tns:Filter&gt;&lt;tns:param_code&gt;&lt;/tns:param_code&gt;&lt;/tns:Filter&gt;</v>
      </c>
      <c r="E30" s="20">
        <v>2</v>
      </c>
      <c r="F30" s="20">
        <v>1</v>
      </c>
      <c r="G30" s="20">
        <v>5</v>
      </c>
      <c r="H30" s="2"/>
      <c r="I30" s="2"/>
      <c r="J30" s="2"/>
    </row>
    <row r="31" spans="1:10" x14ac:dyDescent="0.25">
      <c r="A31" s="2"/>
      <c r="B31" s="4"/>
      <c r="C31" s="18" t="s">
        <v>15</v>
      </c>
      <c r="D31" s="19"/>
      <c r="E31" s="20">
        <v>2</v>
      </c>
      <c r="F31" s="20">
        <v>1</v>
      </c>
      <c r="G31" s="20">
        <v>5</v>
      </c>
      <c r="H31" s="2"/>
      <c r="I31" s="2"/>
      <c r="J31" s="2"/>
    </row>
    <row r="32" spans="1:10" x14ac:dyDescent="0.25">
      <c r="A32" s="2"/>
      <c r="B32" s="4"/>
      <c r="C32" s="18" t="s">
        <v>16</v>
      </c>
      <c r="D32" s="18"/>
      <c r="E32" s="20">
        <v>2</v>
      </c>
      <c r="F32" s="20">
        <v>9</v>
      </c>
      <c r="G32" s="20">
        <v>10</v>
      </c>
      <c r="H32" s="2"/>
      <c r="I32" s="2"/>
      <c r="J32" s="2"/>
    </row>
    <row r="33" spans="1:10" x14ac:dyDescent="0.25">
      <c r="A33" s="2"/>
      <c r="B33" s="4"/>
      <c r="C33" s="18" t="s">
        <v>17</v>
      </c>
      <c r="D33" s="18"/>
      <c r="E33" s="21">
        <v>2</v>
      </c>
      <c r="F33" s="21">
        <v>12</v>
      </c>
      <c r="G33" s="21">
        <v>13</v>
      </c>
      <c r="H33" s="2"/>
      <c r="I33" s="2"/>
      <c r="J33" s="2"/>
    </row>
    <row r="34" spans="1:10" x14ac:dyDescent="0.25">
      <c r="A34" s="2"/>
      <c r="B34" s="4"/>
      <c r="C34" s="18" t="s">
        <v>18</v>
      </c>
      <c r="D34" s="18"/>
      <c r="E34" s="20">
        <v>2</v>
      </c>
      <c r="F34" s="21">
        <v>15</v>
      </c>
      <c r="G34" s="21">
        <v>16</v>
      </c>
      <c r="H34" s="2"/>
      <c r="I34" s="2"/>
      <c r="J34" s="2"/>
    </row>
    <row r="35" spans="1:10" x14ac:dyDescent="0.25">
      <c r="A35" s="2"/>
      <c r="B35" s="4"/>
      <c r="C35" s="18" t="s">
        <v>19</v>
      </c>
      <c r="D35" s="18"/>
      <c r="E35" s="20">
        <v>2</v>
      </c>
      <c r="F35" s="21">
        <v>18</v>
      </c>
      <c r="G35" s="21">
        <v>21</v>
      </c>
      <c r="H35" s="2"/>
      <c r="I35" s="2"/>
      <c r="J35" s="2"/>
    </row>
    <row r="36" spans="1:10" x14ac:dyDescent="0.25">
      <c r="A36" s="2"/>
      <c r="B36" s="4"/>
      <c r="C36" s="18" t="s">
        <v>20</v>
      </c>
      <c r="D36" s="18"/>
      <c r="E36" s="21">
        <v>2</v>
      </c>
      <c r="F36" s="21">
        <v>23</v>
      </c>
      <c r="G36" s="21">
        <v>24</v>
      </c>
      <c r="H36" s="2"/>
      <c r="I36" s="2"/>
      <c r="J36" s="2"/>
    </row>
    <row r="37" spans="1:10" x14ac:dyDescent="0.25">
      <c r="A37" s="2"/>
      <c r="B37" s="4"/>
      <c r="C37" s="18" t="s">
        <v>21</v>
      </c>
      <c r="D37" s="18"/>
      <c r="E37" s="21">
        <v>2</v>
      </c>
      <c r="F37" s="21">
        <v>26</v>
      </c>
      <c r="G37" s="21">
        <v>29</v>
      </c>
      <c r="H37" s="2"/>
      <c r="I37" s="2"/>
      <c r="J37" s="2"/>
    </row>
    <row r="38" spans="1:10" x14ac:dyDescent="0.25">
      <c r="A38" s="2"/>
      <c r="B38" s="4"/>
      <c r="C38" s="18" t="s">
        <v>22</v>
      </c>
      <c r="D38" s="18"/>
      <c r="E38" s="21">
        <v>2</v>
      </c>
      <c r="F38" s="21">
        <v>31</v>
      </c>
      <c r="G38" s="21">
        <v>33</v>
      </c>
      <c r="H38" s="2"/>
      <c r="I38" s="2"/>
      <c r="J38" s="2"/>
    </row>
    <row r="39" spans="1:10" x14ac:dyDescent="0.25">
      <c r="A39" s="2"/>
      <c r="B39" s="4"/>
      <c r="C39" s="18"/>
      <c r="D39" s="18"/>
      <c r="E39" s="21"/>
      <c r="F39" s="21"/>
      <c r="G39" s="21"/>
      <c r="H39" s="2"/>
      <c r="I39" s="2"/>
      <c r="J39" s="2"/>
    </row>
    <row r="40" spans="1:10" x14ac:dyDescent="0.25">
      <c r="A40" s="2"/>
      <c r="B40" s="4"/>
      <c r="C40" s="18"/>
      <c r="D40" s="18"/>
      <c r="E40" s="21"/>
      <c r="F40" s="21"/>
      <c r="G40" s="21"/>
      <c r="H40" s="2"/>
      <c r="I40" s="2"/>
      <c r="J40" s="2"/>
    </row>
    <row r="41" spans="1:1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x14ac:dyDescent="0.25">
      <c r="A42" s="2"/>
      <c r="B42" s="2"/>
      <c r="C42" s="2"/>
      <c r="D42" s="2"/>
      <c r="E42" s="2"/>
      <c r="F42" s="2"/>
      <c r="G42" s="2"/>
      <c r="H42" s="2"/>
    </row>
    <row r="43" spans="1:10" x14ac:dyDescent="0.25">
      <c r="A43" s="2"/>
      <c r="B43" s="2"/>
      <c r="C43" s="2"/>
      <c r="D43" s="2"/>
      <c r="E43" s="2"/>
      <c r="F43" s="2"/>
      <c r="G43" s="2"/>
      <c r="H43" s="2"/>
    </row>
    <row r="44" spans="1:10" x14ac:dyDescent="0.25">
      <c r="A44" s="2"/>
      <c r="B44" s="2"/>
      <c r="C44" s="2"/>
      <c r="D44" s="2"/>
      <c r="E44" s="2"/>
      <c r="F44" s="2"/>
      <c r="G44" s="2"/>
      <c r="H44" s="2"/>
    </row>
  </sheetData>
  <sheetProtection selectLockedCells="1"/>
  <protectedRanges>
    <protectedRange sqref="C2:E21" name="Range1"/>
  </protectedRanges>
  <dataValidations count="2">
    <dataValidation type="list" allowBlank="1" showInputMessage="1" showErrorMessage="1" sqref="D5 D20">
      <formula1>"Sim,Não"</formula1>
    </dataValidation>
    <dataValidation type="list" allowBlank="1" showInputMessage="1" showErrorMessage="1" sqref="D15">
      <formula1>"DEV,PROD"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201"/>
  <sheetViews>
    <sheetView showGridLines="0" zoomScale="85" zoomScaleNormal="85" workbookViewId="0"/>
  </sheetViews>
  <sheetFormatPr defaultColWidth="0" defaultRowHeight="12.75" zeroHeight="1" x14ac:dyDescent="0.2"/>
  <cols>
    <col min="1" max="1" width="50.140625" style="57" customWidth="1"/>
    <col min="2" max="2" width="20.7109375" style="57" hidden="1" customWidth="1"/>
    <col min="3" max="3" width="32.42578125" style="57" customWidth="1"/>
    <col min="4" max="5" width="20.7109375" style="57" hidden="1" customWidth="1"/>
    <col min="6" max="6" width="20.7109375" style="57" customWidth="1"/>
    <col min="7" max="7" width="20.7109375" style="57" hidden="1" customWidth="1"/>
    <col min="8" max="8" width="20.7109375" style="57" customWidth="1"/>
    <col min="9" max="10" width="20.7109375" style="57" hidden="1" customWidth="1"/>
    <col min="11" max="11" width="20.7109375" style="57" customWidth="1"/>
    <col min="12" max="16" width="20.7109375" style="57" hidden="1" customWidth="1"/>
    <col min="17" max="20" width="20.7109375" style="57" customWidth="1"/>
    <col min="21" max="21" width="50.7109375" style="57" customWidth="1"/>
    <col min="22" max="22" width="20.7109375" style="57" customWidth="1"/>
    <col min="23" max="23" width="20.7109375" style="95" hidden="1" customWidth="1"/>
    <col min="24" max="25" width="4.85546875" style="1" customWidth="1"/>
    <col min="26" max="16384" width="9.140625" style="1" hidden="1"/>
  </cols>
  <sheetData>
    <row r="1" spans="1:23" ht="15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93"/>
    </row>
    <row r="2" spans="1:23" ht="15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93"/>
    </row>
    <row r="3" spans="1:23" ht="15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93"/>
    </row>
    <row r="4" spans="1:23" ht="15" x14ac:dyDescent="0.25">
      <c r="A4" s="23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85"/>
    </row>
    <row r="5" spans="1:23" ht="15" x14ac:dyDescent="0.25">
      <c r="A5" s="26"/>
      <c r="B5" s="26" t="e">
        <f>VLOOKUP($A5,APOIO!$C:$D,2,FALSE)</f>
        <v>#N/A</v>
      </c>
      <c r="C5" s="27"/>
      <c r="D5" s="26" t="e">
        <f>VLOOKUP($C5,APOIO!$Z:$AC,2,FALSE)</f>
        <v>#N/A</v>
      </c>
      <c r="E5" s="26" t="e">
        <f>VLOOKUP($C5,APOIO!$Z:$AC,4,FALSE)</f>
        <v>#N/A</v>
      </c>
      <c r="F5" s="26"/>
      <c r="G5" s="26" t="e">
        <f>VLOOKUP($F5,APOIO!$W:$X,2,FALSE)</f>
        <v>#N/A</v>
      </c>
      <c r="H5" s="26"/>
      <c r="I5" s="26" t="e">
        <f>VLOOKUP($H5,APOIO!$AE:$AG,2,FALSE)</f>
        <v>#N/A</v>
      </c>
      <c r="J5" s="26" t="e">
        <f>VLOOKUP($H5,APOIO!$AE:$AG,3,FALSE)</f>
        <v>#N/A</v>
      </c>
      <c r="K5" s="26"/>
      <c r="L5" s="28" t="e">
        <f>VLOOKUP($K5,APOIO!$I:$J,2,FALSE)</f>
        <v>#N/A</v>
      </c>
      <c r="M5" s="28"/>
      <c r="N5" s="26"/>
      <c r="O5" s="26"/>
      <c r="P5" s="26"/>
      <c r="Q5" s="26"/>
      <c r="R5" s="50">
        <v>1</v>
      </c>
      <c r="S5" s="23"/>
      <c r="T5" s="56">
        <f t="shared" ref="T5" si="0">R5*S5</f>
        <v>0</v>
      </c>
      <c r="U5" s="23"/>
      <c r="V5" s="23"/>
      <c r="W5" s="93" t="e">
        <f>VLOOKUP($C$8,APOIO!$A:$F,5,FALSE)</f>
        <v>#N/A</v>
      </c>
    </row>
    <row r="6" spans="1:23" ht="15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85"/>
    </row>
    <row r="7" spans="1:23" ht="30" customHeight="1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85">
        <f>COLUMN(W10)</f>
        <v>23</v>
      </c>
    </row>
    <row r="8" spans="1:23" ht="15" x14ac:dyDescent="0.25">
      <c r="A8" s="51" t="s">
        <v>434</v>
      </c>
      <c r="B8" s="52"/>
      <c r="C8" s="96"/>
      <c r="D8" s="96"/>
      <c r="E8" s="96"/>
      <c r="F8" s="54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5"/>
      <c r="U8" s="55"/>
      <c r="V8" s="55"/>
      <c r="W8" s="85"/>
    </row>
    <row r="9" spans="1:23" ht="15" x14ac:dyDescent="0.25">
      <c r="A9" s="58" t="s">
        <v>184</v>
      </c>
      <c r="B9" s="59"/>
      <c r="C9" s="97" t="e">
        <f>VLOOKUP($C$8,APOIO!$A:$B,2,FALSE)</f>
        <v>#N/A</v>
      </c>
      <c r="D9" s="97"/>
      <c r="E9" s="97"/>
      <c r="F9" s="54"/>
      <c r="G9" s="53">
        <f>COLUMN()</f>
        <v>7</v>
      </c>
      <c r="H9" s="53"/>
      <c r="I9" s="53">
        <f>COLUMN()</f>
        <v>9</v>
      </c>
      <c r="J9" s="53">
        <f>COLUMN()</f>
        <v>10</v>
      </c>
      <c r="K9" s="53"/>
      <c r="L9" s="53">
        <f>COLUMN()</f>
        <v>12</v>
      </c>
      <c r="M9" s="53"/>
      <c r="N9" s="53"/>
      <c r="O9" s="53"/>
      <c r="P9" s="53"/>
      <c r="Q9" s="53"/>
      <c r="R9" s="53"/>
      <c r="S9" s="53"/>
      <c r="T9" s="55"/>
      <c r="U9" s="53"/>
      <c r="V9" s="53"/>
      <c r="W9" s="85"/>
    </row>
    <row r="10" spans="1:23" customFormat="1" ht="45" customHeight="1" x14ac:dyDescent="0.25">
      <c r="A10" s="60" t="s">
        <v>27</v>
      </c>
      <c r="B10" s="61" t="s">
        <v>28</v>
      </c>
      <c r="C10" s="60" t="s">
        <v>29</v>
      </c>
      <c r="D10" s="61" t="s">
        <v>30</v>
      </c>
      <c r="E10" s="61" t="s">
        <v>31</v>
      </c>
      <c r="F10" s="60" t="s">
        <v>115</v>
      </c>
      <c r="G10" s="61" t="s">
        <v>32</v>
      </c>
      <c r="H10" s="60" t="s">
        <v>33</v>
      </c>
      <c r="I10" s="61" t="s">
        <v>34</v>
      </c>
      <c r="J10" s="61" t="s">
        <v>35</v>
      </c>
      <c r="K10" s="60" t="s">
        <v>36</v>
      </c>
      <c r="L10" s="62" t="s">
        <v>37</v>
      </c>
      <c r="M10" s="63" t="s">
        <v>38</v>
      </c>
      <c r="N10" s="64" t="s">
        <v>39</v>
      </c>
      <c r="O10" s="63" t="s">
        <v>40</v>
      </c>
      <c r="P10" s="64" t="s">
        <v>41</v>
      </c>
      <c r="Q10" s="60" t="s">
        <v>42</v>
      </c>
      <c r="R10" s="60" t="s">
        <v>43</v>
      </c>
      <c r="S10" s="60" t="s">
        <v>44</v>
      </c>
      <c r="T10" s="61" t="s">
        <v>45</v>
      </c>
      <c r="U10" s="60" t="s">
        <v>46</v>
      </c>
      <c r="V10" s="61" t="s">
        <v>47</v>
      </c>
      <c r="W10" s="32" t="s">
        <v>1040</v>
      </c>
    </row>
    <row r="11" spans="1:23" customFormat="1" ht="15" x14ac:dyDescent="0.25">
      <c r="A11" s="36"/>
      <c r="B11" s="37" t="e">
        <f>VLOOKUP($A11,APOIO!$C:$D,2,FALSE)</f>
        <v>#N/A</v>
      </c>
      <c r="C11" s="36"/>
      <c r="D11" s="37" t="e">
        <f>VLOOKUP($C11,APOIO!$Z:$AC,2,FALSE)</f>
        <v>#N/A</v>
      </c>
      <c r="E11" s="37" t="e">
        <f>VLOOKUP($C11,APOIO!$Z:$AC,4,FALSE)</f>
        <v>#N/A</v>
      </c>
      <c r="F11" s="39"/>
      <c r="G11" s="40" t="s">
        <v>65</v>
      </c>
      <c r="H11" s="39"/>
      <c r="I11" s="40" t="e">
        <f>VLOOKUP($H11,APOIO!$AE:$AG,2,FALSE)</f>
        <v>#N/A</v>
      </c>
      <c r="J11" s="40" t="e">
        <f>VLOOKUP($H11,APOIO!$AE:$AG,3,FALSE)</f>
        <v>#N/A</v>
      </c>
      <c r="K11" s="36"/>
      <c r="L11" s="40" t="e">
        <f>VLOOKUP($K11,APOIO!$I:$J,2,FALSE)</f>
        <v>#N/A</v>
      </c>
      <c r="M11" s="37"/>
      <c r="N11" s="37"/>
      <c r="O11" s="37"/>
      <c r="P11" s="37"/>
      <c r="Q11" s="41"/>
      <c r="R11" s="89"/>
      <c r="S11" s="90"/>
      <c r="T11" s="43">
        <f t="shared" ref="T11:T74" si="1">R11*S11</f>
        <v>0</v>
      </c>
      <c r="U11" s="36"/>
      <c r="V11" s="37"/>
      <c r="W11" s="94" t="e">
        <f>VLOOKUP($C$8,APOIO!$A:$F,5,FALSE)</f>
        <v>#N/A</v>
      </c>
    </row>
    <row r="12" spans="1:23" customFormat="1" ht="15" x14ac:dyDescent="0.25">
      <c r="A12" s="36"/>
      <c r="B12" s="37" t="e">
        <f>VLOOKUP($A12,APOIO!$C:$D,2,FALSE)</f>
        <v>#N/A</v>
      </c>
      <c r="C12" s="36"/>
      <c r="D12" s="37" t="e">
        <f>VLOOKUP($C12,APOIO!$Z:$AC,2,FALSE)</f>
        <v>#N/A</v>
      </c>
      <c r="E12" s="37" t="e">
        <f>VLOOKUP($C12,APOIO!$Z:$AC,4,FALSE)</f>
        <v>#N/A</v>
      </c>
      <c r="F12" s="39"/>
      <c r="G12" s="40" t="s">
        <v>65</v>
      </c>
      <c r="H12" s="39"/>
      <c r="I12" s="40" t="e">
        <f>VLOOKUP($H12,APOIO!$AE:$AG,2,FALSE)</f>
        <v>#N/A</v>
      </c>
      <c r="J12" s="40" t="e">
        <f>VLOOKUP($H12,APOIO!$AE:$AG,3,FALSE)</f>
        <v>#N/A</v>
      </c>
      <c r="K12" s="36"/>
      <c r="L12" s="40" t="e">
        <f>VLOOKUP($K12,APOIO!$I:$J,2,FALSE)</f>
        <v>#N/A</v>
      </c>
      <c r="M12" s="37"/>
      <c r="N12" s="37"/>
      <c r="O12" s="37"/>
      <c r="P12" s="37"/>
      <c r="Q12" s="41"/>
      <c r="R12" s="89"/>
      <c r="S12" s="90"/>
      <c r="T12" s="43">
        <f t="shared" si="1"/>
        <v>0</v>
      </c>
      <c r="U12" s="36"/>
      <c r="V12" s="37"/>
      <c r="W12" s="94" t="e">
        <f>VLOOKUP($C$8,APOIO!$A:$F,5,FALSE)</f>
        <v>#N/A</v>
      </c>
    </row>
    <row r="13" spans="1:23" customFormat="1" ht="15" x14ac:dyDescent="0.25">
      <c r="A13" s="36"/>
      <c r="B13" s="37" t="e">
        <f>VLOOKUP($A13,APOIO!$C:$D,2,FALSE)</f>
        <v>#N/A</v>
      </c>
      <c r="C13" s="36"/>
      <c r="D13" s="37" t="e">
        <f>VLOOKUP($C13,APOIO!$Z:$AC,2,FALSE)</f>
        <v>#N/A</v>
      </c>
      <c r="E13" s="37" t="e">
        <f>VLOOKUP($C13,APOIO!$Z:$AC,4,FALSE)</f>
        <v>#N/A</v>
      </c>
      <c r="F13" s="39"/>
      <c r="G13" s="40" t="e">
        <f>VLOOKUP($F13,APOIO!$W:$X,2,FALSE)</f>
        <v>#N/A</v>
      </c>
      <c r="H13" s="39"/>
      <c r="I13" s="40" t="e">
        <f>VLOOKUP($H13,APOIO!$AE:$AG,2,FALSE)</f>
        <v>#N/A</v>
      </c>
      <c r="J13" s="40" t="e">
        <f>VLOOKUP($H13,APOIO!$AE:$AG,3,FALSE)</f>
        <v>#N/A</v>
      </c>
      <c r="K13" s="36"/>
      <c r="L13" s="40" t="e">
        <f>VLOOKUP($K13,APOIO!$I:$J,2,FALSE)</f>
        <v>#N/A</v>
      </c>
      <c r="M13" s="37"/>
      <c r="N13" s="37"/>
      <c r="O13" s="37"/>
      <c r="P13" s="37"/>
      <c r="Q13" s="41"/>
      <c r="R13" s="89"/>
      <c r="S13" s="90"/>
      <c r="T13" s="43">
        <f t="shared" si="1"/>
        <v>0</v>
      </c>
      <c r="U13" s="36"/>
      <c r="V13" s="37"/>
      <c r="W13" s="94" t="e">
        <f>VLOOKUP($C$8,APOIO!$A:$F,5,FALSE)</f>
        <v>#N/A</v>
      </c>
    </row>
    <row r="14" spans="1:23" customFormat="1" ht="15" x14ac:dyDescent="0.25">
      <c r="A14" s="36"/>
      <c r="B14" s="37" t="e">
        <f>VLOOKUP($A14,APOIO!$C:$D,2,FALSE)</f>
        <v>#N/A</v>
      </c>
      <c r="C14" s="36"/>
      <c r="D14" s="37" t="e">
        <f>VLOOKUP($C14,APOIO!$Z:$AC,2,FALSE)</f>
        <v>#N/A</v>
      </c>
      <c r="E14" s="37" t="e">
        <f>VLOOKUP($C14,APOIO!$Z:$AC,4,FALSE)</f>
        <v>#N/A</v>
      </c>
      <c r="F14" s="39"/>
      <c r="G14" s="40" t="e">
        <f>VLOOKUP($F14,APOIO!$W:$X,2,FALSE)</f>
        <v>#N/A</v>
      </c>
      <c r="H14" s="36"/>
      <c r="I14" s="40" t="e">
        <f>VLOOKUP($H14,APOIO!$AE:$AG,2,FALSE)</f>
        <v>#N/A</v>
      </c>
      <c r="J14" s="40" t="e">
        <f>VLOOKUP($H14,APOIO!$AE:$AG,3,FALSE)</f>
        <v>#N/A</v>
      </c>
      <c r="K14" s="36"/>
      <c r="L14" s="40" t="e">
        <f>VLOOKUP($K14,APOIO!$I:$J,2,FALSE)</f>
        <v>#N/A</v>
      </c>
      <c r="M14" s="37"/>
      <c r="N14" s="37"/>
      <c r="O14" s="37"/>
      <c r="P14" s="37"/>
      <c r="Q14" s="41"/>
      <c r="R14" s="36"/>
      <c r="S14" s="42"/>
      <c r="T14" s="43">
        <f t="shared" si="1"/>
        <v>0</v>
      </c>
      <c r="U14" s="36"/>
      <c r="V14" s="37"/>
      <c r="W14" s="94" t="e">
        <f>VLOOKUP($C$8,APOIO!$A:$F,5,FALSE)</f>
        <v>#N/A</v>
      </c>
    </row>
    <row r="15" spans="1:23" customFormat="1" ht="15" x14ac:dyDescent="0.25">
      <c r="A15" s="36"/>
      <c r="B15" s="37" t="e">
        <f>VLOOKUP($A15,APOIO!$C:$D,2,FALSE)</f>
        <v>#N/A</v>
      </c>
      <c r="C15" s="36"/>
      <c r="D15" s="37" t="e">
        <f>VLOOKUP($C15,APOIO!$Z:$AC,2,FALSE)</f>
        <v>#N/A</v>
      </c>
      <c r="E15" s="37" t="e">
        <f>VLOOKUP($C15,APOIO!$Z:$AC,4,FALSE)</f>
        <v>#N/A</v>
      </c>
      <c r="F15" s="39"/>
      <c r="G15" s="40" t="e">
        <f>VLOOKUP($F15,APOIO!$W:$X,2,FALSE)</f>
        <v>#N/A</v>
      </c>
      <c r="H15" s="36"/>
      <c r="I15" s="40" t="e">
        <f>VLOOKUP($H15,APOIO!$AE:$AG,2,FALSE)</f>
        <v>#N/A</v>
      </c>
      <c r="J15" s="40" t="e">
        <f>VLOOKUP($H15,APOIO!$AE:$AG,3,FALSE)</f>
        <v>#N/A</v>
      </c>
      <c r="K15" s="36"/>
      <c r="L15" s="40" t="e">
        <f>VLOOKUP($K15,APOIO!$I:$J,2,FALSE)</f>
        <v>#N/A</v>
      </c>
      <c r="M15" s="37"/>
      <c r="N15" s="37"/>
      <c r="O15" s="37"/>
      <c r="P15" s="37"/>
      <c r="Q15" s="41"/>
      <c r="R15" s="36"/>
      <c r="S15" s="42"/>
      <c r="T15" s="43">
        <f t="shared" si="1"/>
        <v>0</v>
      </c>
      <c r="U15" s="36"/>
      <c r="V15" s="37"/>
      <c r="W15" s="94" t="e">
        <f>VLOOKUP($C$8,APOIO!$A:$F,5,FALSE)</f>
        <v>#N/A</v>
      </c>
    </row>
    <row r="16" spans="1:23" customFormat="1" ht="15" x14ac:dyDescent="0.25">
      <c r="A16" s="36"/>
      <c r="B16" s="37" t="e">
        <f>VLOOKUP($A16,APOIO!$C:$D,2,FALSE)</f>
        <v>#N/A</v>
      </c>
      <c r="C16" s="36"/>
      <c r="D16" s="37" t="e">
        <f>VLOOKUP($C16,APOIO!$Z:$AC,2,FALSE)</f>
        <v>#N/A</v>
      </c>
      <c r="E16" s="37" t="e">
        <f>VLOOKUP($C16,APOIO!$Z:$AC,4,FALSE)</f>
        <v>#N/A</v>
      </c>
      <c r="F16" s="39"/>
      <c r="G16" s="40" t="e">
        <f>VLOOKUP($F16,APOIO!$W:$X,2,FALSE)</f>
        <v>#N/A</v>
      </c>
      <c r="H16" s="36"/>
      <c r="I16" s="40" t="e">
        <f>VLOOKUP($H16,APOIO!$AE:$AG,2,FALSE)</f>
        <v>#N/A</v>
      </c>
      <c r="J16" s="40" t="e">
        <f>VLOOKUP($H16,APOIO!$AE:$AG,3,FALSE)</f>
        <v>#N/A</v>
      </c>
      <c r="K16" s="36"/>
      <c r="L16" s="40" t="e">
        <f>VLOOKUP($K16,APOIO!$I:$J,2,FALSE)</f>
        <v>#N/A</v>
      </c>
      <c r="M16" s="37"/>
      <c r="N16" s="37"/>
      <c r="O16" s="37"/>
      <c r="P16" s="37"/>
      <c r="Q16" s="41"/>
      <c r="R16" s="36"/>
      <c r="S16" s="42"/>
      <c r="T16" s="43">
        <f t="shared" si="1"/>
        <v>0</v>
      </c>
      <c r="U16" s="36"/>
      <c r="V16" s="37"/>
      <c r="W16" s="94" t="e">
        <f>VLOOKUP($C$8,APOIO!$A:$F,5,FALSE)</f>
        <v>#N/A</v>
      </c>
    </row>
    <row r="17" spans="1:23" customFormat="1" ht="15" x14ac:dyDescent="0.25">
      <c r="A17" s="36"/>
      <c r="B17" s="37" t="e">
        <f>VLOOKUP($A17,APOIO!$C:$D,2,FALSE)</f>
        <v>#N/A</v>
      </c>
      <c r="C17" s="36"/>
      <c r="D17" s="37" t="e">
        <f>VLOOKUP($C17,APOIO!$Z:$AC,2,FALSE)</f>
        <v>#N/A</v>
      </c>
      <c r="E17" s="37" t="e">
        <f>VLOOKUP($C17,APOIO!$Z:$AC,4,FALSE)</f>
        <v>#N/A</v>
      </c>
      <c r="F17" s="39"/>
      <c r="G17" s="40" t="e">
        <f>VLOOKUP($F17,APOIO!$W:$X,2,FALSE)</f>
        <v>#N/A</v>
      </c>
      <c r="H17" s="36"/>
      <c r="I17" s="40" t="e">
        <f>VLOOKUP($H17,APOIO!$AE:$AG,2,FALSE)</f>
        <v>#N/A</v>
      </c>
      <c r="J17" s="40" t="e">
        <f>VLOOKUP($H17,APOIO!$AE:$AG,3,FALSE)</f>
        <v>#N/A</v>
      </c>
      <c r="K17" s="36"/>
      <c r="L17" s="40" t="e">
        <f>VLOOKUP($K17,APOIO!$I:$J,2,FALSE)</f>
        <v>#N/A</v>
      </c>
      <c r="M17" s="37"/>
      <c r="N17" s="37"/>
      <c r="O17" s="37"/>
      <c r="P17" s="37"/>
      <c r="Q17" s="41"/>
      <c r="R17" s="36"/>
      <c r="S17" s="42"/>
      <c r="T17" s="43">
        <f t="shared" si="1"/>
        <v>0</v>
      </c>
      <c r="U17" s="36"/>
      <c r="V17" s="37"/>
      <c r="W17" s="94" t="e">
        <f>VLOOKUP($C$8,APOIO!$A:$F,5,FALSE)</f>
        <v>#N/A</v>
      </c>
    </row>
    <row r="18" spans="1:23" customFormat="1" ht="15" x14ac:dyDescent="0.25">
      <c r="A18" s="36"/>
      <c r="B18" s="37" t="e">
        <f>VLOOKUP($A18,APOIO!$C:$D,2,FALSE)</f>
        <v>#N/A</v>
      </c>
      <c r="C18" s="36"/>
      <c r="D18" s="37" t="e">
        <f>VLOOKUP($C18,APOIO!$Z:$AC,2,FALSE)</f>
        <v>#N/A</v>
      </c>
      <c r="E18" s="37" t="e">
        <f>VLOOKUP($C18,APOIO!$Z:$AC,4,FALSE)</f>
        <v>#N/A</v>
      </c>
      <c r="F18" s="39"/>
      <c r="G18" s="40" t="e">
        <f>VLOOKUP($F18,APOIO!$W:$X,2,FALSE)</f>
        <v>#N/A</v>
      </c>
      <c r="H18" s="36"/>
      <c r="I18" s="40" t="e">
        <f>VLOOKUP($H18,APOIO!$AE:$AG,2,FALSE)</f>
        <v>#N/A</v>
      </c>
      <c r="J18" s="40" t="e">
        <f>VLOOKUP($H18,APOIO!$AE:$AG,3,FALSE)</f>
        <v>#N/A</v>
      </c>
      <c r="K18" s="36"/>
      <c r="L18" s="40" t="e">
        <f>VLOOKUP($K18,APOIO!$I:$J,2,FALSE)</f>
        <v>#N/A</v>
      </c>
      <c r="M18" s="37"/>
      <c r="N18" s="37"/>
      <c r="O18" s="37"/>
      <c r="P18" s="37"/>
      <c r="Q18" s="41"/>
      <c r="R18" s="36"/>
      <c r="S18" s="42"/>
      <c r="T18" s="43">
        <f t="shared" si="1"/>
        <v>0</v>
      </c>
      <c r="U18" s="36"/>
      <c r="V18" s="37"/>
      <c r="W18" s="94" t="e">
        <f>VLOOKUP($C$8,APOIO!$A:$F,5,FALSE)</f>
        <v>#N/A</v>
      </c>
    </row>
    <row r="19" spans="1:23" customFormat="1" ht="15" x14ac:dyDescent="0.25">
      <c r="A19" s="36"/>
      <c r="B19" s="37" t="e">
        <f>VLOOKUP($A19,APOIO!$C:$D,2,FALSE)</f>
        <v>#N/A</v>
      </c>
      <c r="C19" s="36"/>
      <c r="D19" s="37" t="e">
        <f>VLOOKUP($C19,APOIO!$Z:$AC,2,FALSE)</f>
        <v>#N/A</v>
      </c>
      <c r="E19" s="37" t="e">
        <f>VLOOKUP($C19,APOIO!$Z:$AC,4,FALSE)</f>
        <v>#N/A</v>
      </c>
      <c r="F19" s="39"/>
      <c r="G19" s="40" t="e">
        <f>VLOOKUP($F19,APOIO!$W:$X,2,FALSE)</f>
        <v>#N/A</v>
      </c>
      <c r="H19" s="36"/>
      <c r="I19" s="40" t="e">
        <f>VLOOKUP($H19,APOIO!$AE:$AG,2,FALSE)</f>
        <v>#N/A</v>
      </c>
      <c r="J19" s="40" t="e">
        <f>VLOOKUP($H19,APOIO!$AE:$AG,3,FALSE)</f>
        <v>#N/A</v>
      </c>
      <c r="K19" s="36"/>
      <c r="L19" s="40" t="e">
        <f>VLOOKUP($K19,APOIO!$I:$J,2,FALSE)</f>
        <v>#N/A</v>
      </c>
      <c r="M19" s="37"/>
      <c r="N19" s="37"/>
      <c r="O19" s="37"/>
      <c r="P19" s="37"/>
      <c r="Q19" s="41"/>
      <c r="R19" s="36"/>
      <c r="S19" s="42"/>
      <c r="T19" s="43">
        <f t="shared" si="1"/>
        <v>0</v>
      </c>
      <c r="U19" s="36"/>
      <c r="V19" s="37"/>
      <c r="W19" s="94" t="e">
        <f>VLOOKUP($C$8,APOIO!$A:$F,5,FALSE)</f>
        <v>#N/A</v>
      </c>
    </row>
    <row r="20" spans="1:23" ht="15" x14ac:dyDescent="0.25">
      <c r="A20" s="36"/>
      <c r="B20" s="37" t="e">
        <f>VLOOKUP($A20,APOIO!$C:$D,2,FALSE)</f>
        <v>#N/A</v>
      </c>
      <c r="C20" s="36"/>
      <c r="D20" s="37" t="e">
        <f>VLOOKUP($C20,APOIO!$Z:$AC,2,FALSE)</f>
        <v>#N/A</v>
      </c>
      <c r="E20" s="37" t="e">
        <f>VLOOKUP($C20,APOIO!$Z:$AC,4,FALSE)</f>
        <v>#N/A</v>
      </c>
      <c r="F20" s="39"/>
      <c r="G20" s="40" t="e">
        <f>VLOOKUP($F20,APOIO!$W:$X,2,FALSE)</f>
        <v>#N/A</v>
      </c>
      <c r="H20" s="36"/>
      <c r="I20" s="40" t="e">
        <f>VLOOKUP($H20,APOIO!$AE:$AG,2,FALSE)</f>
        <v>#N/A</v>
      </c>
      <c r="J20" s="40" t="e">
        <f>VLOOKUP($H20,APOIO!$AE:$AG,3,FALSE)</f>
        <v>#N/A</v>
      </c>
      <c r="K20" s="36"/>
      <c r="L20" s="40" t="e">
        <f>VLOOKUP($K20,APOIO!$I:$J,2,FALSE)</f>
        <v>#N/A</v>
      </c>
      <c r="M20" s="37"/>
      <c r="N20" s="37"/>
      <c r="O20" s="37"/>
      <c r="P20" s="37"/>
      <c r="Q20" s="41"/>
      <c r="R20" s="36"/>
      <c r="S20" s="42"/>
      <c r="T20" s="43">
        <f t="shared" si="1"/>
        <v>0</v>
      </c>
      <c r="U20" s="36"/>
      <c r="V20" s="37"/>
      <c r="W20" s="94" t="e">
        <f>VLOOKUP($C$8,APOIO!$A:$F,5,FALSE)</f>
        <v>#N/A</v>
      </c>
    </row>
    <row r="21" spans="1:23" ht="15" x14ac:dyDescent="0.25">
      <c r="A21" s="36"/>
      <c r="B21" s="37" t="e">
        <f>VLOOKUP($A21,APOIO!$C:$D,2,FALSE)</f>
        <v>#N/A</v>
      </c>
      <c r="C21" s="36"/>
      <c r="D21" s="37" t="e">
        <f>VLOOKUP($C21,APOIO!$Z:$AC,2,FALSE)</f>
        <v>#N/A</v>
      </c>
      <c r="E21" s="37" t="e">
        <f>VLOOKUP($C21,APOIO!$Z:$AC,4,FALSE)</f>
        <v>#N/A</v>
      </c>
      <c r="F21" s="39"/>
      <c r="G21" s="40" t="e">
        <f>VLOOKUP($F21,APOIO!$W:$X,2,FALSE)</f>
        <v>#N/A</v>
      </c>
      <c r="H21" s="36"/>
      <c r="I21" s="40" t="e">
        <f>VLOOKUP($H21,APOIO!$AE:$AG,2,FALSE)</f>
        <v>#N/A</v>
      </c>
      <c r="J21" s="40" t="e">
        <f>VLOOKUP($H21,APOIO!$AE:$AG,3,FALSE)</f>
        <v>#N/A</v>
      </c>
      <c r="K21" s="36"/>
      <c r="L21" s="40" t="e">
        <f>VLOOKUP($K21,APOIO!$I:$J,2,FALSE)</f>
        <v>#N/A</v>
      </c>
      <c r="M21" s="37"/>
      <c r="N21" s="37"/>
      <c r="O21" s="37"/>
      <c r="P21" s="37"/>
      <c r="Q21" s="41"/>
      <c r="R21" s="36"/>
      <c r="S21" s="42"/>
      <c r="T21" s="43">
        <f t="shared" si="1"/>
        <v>0</v>
      </c>
      <c r="U21" s="36"/>
      <c r="V21" s="37"/>
      <c r="W21" s="94" t="e">
        <f>VLOOKUP($C$8,APOIO!$A:$F,5,FALSE)</f>
        <v>#N/A</v>
      </c>
    </row>
    <row r="22" spans="1:23" ht="15" x14ac:dyDescent="0.25">
      <c r="A22" s="36"/>
      <c r="B22" s="37" t="e">
        <f>VLOOKUP($A22,APOIO!$C:$D,2,FALSE)</f>
        <v>#N/A</v>
      </c>
      <c r="C22" s="36"/>
      <c r="D22" s="37" t="e">
        <f>VLOOKUP($C22,APOIO!$Z:$AC,2,FALSE)</f>
        <v>#N/A</v>
      </c>
      <c r="E22" s="37" t="e">
        <f>VLOOKUP($C22,APOIO!$Z:$AC,4,FALSE)</f>
        <v>#N/A</v>
      </c>
      <c r="F22" s="39"/>
      <c r="G22" s="40" t="e">
        <f>VLOOKUP($F22,APOIO!$W:$X,2,FALSE)</f>
        <v>#N/A</v>
      </c>
      <c r="H22" s="36"/>
      <c r="I22" s="40" t="e">
        <f>VLOOKUP($H22,APOIO!$AE:$AG,2,FALSE)</f>
        <v>#N/A</v>
      </c>
      <c r="J22" s="40" t="e">
        <f>VLOOKUP($H22,APOIO!$AE:$AG,3,FALSE)</f>
        <v>#N/A</v>
      </c>
      <c r="K22" s="36"/>
      <c r="L22" s="40" t="e">
        <f>VLOOKUP($K22,APOIO!$I:$J,2,FALSE)</f>
        <v>#N/A</v>
      </c>
      <c r="M22" s="37"/>
      <c r="N22" s="37"/>
      <c r="O22" s="37"/>
      <c r="P22" s="37"/>
      <c r="Q22" s="41"/>
      <c r="R22" s="36"/>
      <c r="S22" s="42"/>
      <c r="T22" s="43">
        <f t="shared" si="1"/>
        <v>0</v>
      </c>
      <c r="U22" s="36"/>
      <c r="V22" s="37"/>
      <c r="W22" s="94" t="e">
        <f>VLOOKUP($C$8,APOIO!$A:$F,5,FALSE)</f>
        <v>#N/A</v>
      </c>
    </row>
    <row r="23" spans="1:23" ht="15" x14ac:dyDescent="0.25">
      <c r="A23" s="36"/>
      <c r="B23" s="37" t="e">
        <f>VLOOKUP($A23,APOIO!$C:$D,2,FALSE)</f>
        <v>#N/A</v>
      </c>
      <c r="C23" s="36"/>
      <c r="D23" s="37" t="e">
        <f>VLOOKUP($C23,APOIO!$Z:$AC,2,FALSE)</f>
        <v>#N/A</v>
      </c>
      <c r="E23" s="37" t="e">
        <f>VLOOKUP($C23,APOIO!$Z:$AC,4,FALSE)</f>
        <v>#N/A</v>
      </c>
      <c r="F23" s="39"/>
      <c r="G23" s="40" t="e">
        <f>VLOOKUP($F23,APOIO!$W:$X,2,FALSE)</f>
        <v>#N/A</v>
      </c>
      <c r="H23" s="36"/>
      <c r="I23" s="40" t="e">
        <f>VLOOKUP($H23,APOIO!$AE:$AG,2,FALSE)</f>
        <v>#N/A</v>
      </c>
      <c r="J23" s="40" t="e">
        <f>VLOOKUP($H23,APOIO!$AE:$AG,3,FALSE)</f>
        <v>#N/A</v>
      </c>
      <c r="K23" s="36"/>
      <c r="L23" s="40" t="e">
        <f>VLOOKUP($K23,APOIO!$I:$J,2,FALSE)</f>
        <v>#N/A</v>
      </c>
      <c r="M23" s="37"/>
      <c r="N23" s="37"/>
      <c r="O23" s="37"/>
      <c r="P23" s="37"/>
      <c r="Q23" s="41"/>
      <c r="R23" s="36"/>
      <c r="S23" s="42"/>
      <c r="T23" s="43">
        <f t="shared" si="1"/>
        <v>0</v>
      </c>
      <c r="U23" s="36"/>
      <c r="V23" s="37"/>
      <c r="W23" s="94" t="e">
        <f>VLOOKUP($C$8,APOIO!$A:$F,5,FALSE)</f>
        <v>#N/A</v>
      </c>
    </row>
    <row r="24" spans="1:23" ht="15" x14ac:dyDescent="0.25">
      <c r="A24" s="36"/>
      <c r="B24" s="37" t="e">
        <f>VLOOKUP($A24,APOIO!$C:$D,2,FALSE)</f>
        <v>#N/A</v>
      </c>
      <c r="C24" s="36"/>
      <c r="D24" s="37" t="e">
        <f>VLOOKUP($C24,APOIO!$Z:$AC,2,FALSE)</f>
        <v>#N/A</v>
      </c>
      <c r="E24" s="37" t="e">
        <f>VLOOKUP($C24,APOIO!$Z:$AC,4,FALSE)</f>
        <v>#N/A</v>
      </c>
      <c r="F24" s="39"/>
      <c r="G24" s="40" t="e">
        <f>VLOOKUP($F24,APOIO!$W:$X,2,FALSE)</f>
        <v>#N/A</v>
      </c>
      <c r="H24" s="36"/>
      <c r="I24" s="40" t="e">
        <f>VLOOKUP($H24,APOIO!$AE:$AG,2,FALSE)</f>
        <v>#N/A</v>
      </c>
      <c r="J24" s="40" t="e">
        <f>VLOOKUP($H24,APOIO!$AE:$AG,3,FALSE)</f>
        <v>#N/A</v>
      </c>
      <c r="K24" s="36"/>
      <c r="L24" s="40" t="e">
        <f>VLOOKUP($K24,APOIO!$I:$J,2,FALSE)</f>
        <v>#N/A</v>
      </c>
      <c r="M24" s="37"/>
      <c r="N24" s="37"/>
      <c r="O24" s="37"/>
      <c r="P24" s="37"/>
      <c r="Q24" s="41"/>
      <c r="R24" s="36"/>
      <c r="S24" s="42"/>
      <c r="T24" s="43">
        <f t="shared" si="1"/>
        <v>0</v>
      </c>
      <c r="U24" s="36"/>
      <c r="V24" s="37"/>
      <c r="W24" s="94" t="e">
        <f>VLOOKUP($C$8,APOIO!$A:$F,5,FALSE)</f>
        <v>#N/A</v>
      </c>
    </row>
    <row r="25" spans="1:23" ht="15" x14ac:dyDescent="0.25">
      <c r="A25" s="36"/>
      <c r="B25" s="37" t="e">
        <f>VLOOKUP($A25,APOIO!$C:$D,2,FALSE)</f>
        <v>#N/A</v>
      </c>
      <c r="C25" s="36"/>
      <c r="D25" s="37" t="e">
        <f>VLOOKUP($C25,APOIO!$Z:$AC,2,FALSE)</f>
        <v>#N/A</v>
      </c>
      <c r="E25" s="37" t="e">
        <f>VLOOKUP($C25,APOIO!$Z:$AC,4,FALSE)</f>
        <v>#N/A</v>
      </c>
      <c r="F25" s="39"/>
      <c r="G25" s="40" t="e">
        <f>VLOOKUP($F25,APOIO!$W:$X,2,FALSE)</f>
        <v>#N/A</v>
      </c>
      <c r="H25" s="36"/>
      <c r="I25" s="40" t="e">
        <f>VLOOKUP($H25,APOIO!$AE:$AG,2,FALSE)</f>
        <v>#N/A</v>
      </c>
      <c r="J25" s="40" t="e">
        <f>VLOOKUP($H25,APOIO!$AE:$AG,3,FALSE)</f>
        <v>#N/A</v>
      </c>
      <c r="K25" s="36"/>
      <c r="L25" s="40" t="e">
        <f>VLOOKUP($K25,APOIO!$I:$J,2,FALSE)</f>
        <v>#N/A</v>
      </c>
      <c r="M25" s="37"/>
      <c r="N25" s="37"/>
      <c r="O25" s="37"/>
      <c r="P25" s="37"/>
      <c r="Q25" s="41"/>
      <c r="R25" s="36"/>
      <c r="S25" s="42"/>
      <c r="T25" s="43">
        <f t="shared" si="1"/>
        <v>0</v>
      </c>
      <c r="U25" s="36"/>
      <c r="V25" s="37"/>
      <c r="W25" s="94" t="e">
        <f>VLOOKUP($C$8,APOIO!$A:$F,5,FALSE)</f>
        <v>#N/A</v>
      </c>
    </row>
    <row r="26" spans="1:23" ht="15" x14ac:dyDescent="0.25">
      <c r="A26" s="36"/>
      <c r="B26" s="37" t="e">
        <f>VLOOKUP($A26,APOIO!$C:$D,2,FALSE)</f>
        <v>#N/A</v>
      </c>
      <c r="C26" s="36"/>
      <c r="D26" s="37" t="e">
        <f>VLOOKUP($C26,APOIO!$Z:$AC,2,FALSE)</f>
        <v>#N/A</v>
      </c>
      <c r="E26" s="37" t="e">
        <f>VLOOKUP($C26,APOIO!$Z:$AC,4,FALSE)</f>
        <v>#N/A</v>
      </c>
      <c r="F26" s="39"/>
      <c r="G26" s="40" t="e">
        <f>VLOOKUP($F26,APOIO!$W:$X,2,FALSE)</f>
        <v>#N/A</v>
      </c>
      <c r="H26" s="36"/>
      <c r="I26" s="40" t="e">
        <f>VLOOKUP($H26,APOIO!$AE:$AG,2,FALSE)</f>
        <v>#N/A</v>
      </c>
      <c r="J26" s="40" t="e">
        <f>VLOOKUP($H26,APOIO!$AE:$AG,3,FALSE)</f>
        <v>#N/A</v>
      </c>
      <c r="K26" s="36"/>
      <c r="L26" s="40" t="e">
        <f>VLOOKUP($K26,APOIO!$I:$J,2,FALSE)</f>
        <v>#N/A</v>
      </c>
      <c r="M26" s="37"/>
      <c r="N26" s="37"/>
      <c r="O26" s="37"/>
      <c r="P26" s="37"/>
      <c r="Q26" s="41"/>
      <c r="R26" s="36"/>
      <c r="S26" s="42"/>
      <c r="T26" s="43">
        <f t="shared" si="1"/>
        <v>0</v>
      </c>
      <c r="U26" s="36"/>
      <c r="V26" s="37"/>
      <c r="W26" s="94" t="e">
        <f>VLOOKUP($C$8,APOIO!$A:$F,5,FALSE)</f>
        <v>#N/A</v>
      </c>
    </row>
    <row r="27" spans="1:23" ht="15" x14ac:dyDescent="0.25">
      <c r="A27" s="36"/>
      <c r="B27" s="37" t="e">
        <f>VLOOKUP($A27,APOIO!$C:$D,2,FALSE)</f>
        <v>#N/A</v>
      </c>
      <c r="C27" s="36"/>
      <c r="D27" s="37" t="e">
        <f>VLOOKUP($C27,APOIO!$Z:$AC,2,FALSE)</f>
        <v>#N/A</v>
      </c>
      <c r="E27" s="37" t="e">
        <f>VLOOKUP($C27,APOIO!$Z:$AC,4,FALSE)</f>
        <v>#N/A</v>
      </c>
      <c r="F27" s="39"/>
      <c r="G27" s="40" t="e">
        <f>VLOOKUP($F27,APOIO!$W:$X,2,FALSE)</f>
        <v>#N/A</v>
      </c>
      <c r="H27" s="36"/>
      <c r="I27" s="40" t="e">
        <f>VLOOKUP($H27,APOIO!$AE:$AG,2,FALSE)</f>
        <v>#N/A</v>
      </c>
      <c r="J27" s="40" t="e">
        <f>VLOOKUP($H27,APOIO!$AE:$AG,3,FALSE)</f>
        <v>#N/A</v>
      </c>
      <c r="K27" s="36"/>
      <c r="L27" s="40" t="e">
        <f>VLOOKUP($K27,APOIO!$I:$J,2,FALSE)</f>
        <v>#N/A</v>
      </c>
      <c r="M27" s="37"/>
      <c r="N27" s="37"/>
      <c r="O27" s="37"/>
      <c r="P27" s="37"/>
      <c r="Q27" s="41"/>
      <c r="R27" s="36"/>
      <c r="S27" s="42"/>
      <c r="T27" s="43">
        <f t="shared" si="1"/>
        <v>0</v>
      </c>
      <c r="U27" s="36"/>
      <c r="V27" s="37"/>
      <c r="W27" s="94" t="e">
        <f>VLOOKUP($C$8,APOIO!$A:$F,5,FALSE)</f>
        <v>#N/A</v>
      </c>
    </row>
    <row r="28" spans="1:23" ht="15" x14ac:dyDescent="0.25">
      <c r="A28" s="36"/>
      <c r="B28" s="37" t="e">
        <f>VLOOKUP($A28,APOIO!$C:$D,2,FALSE)</f>
        <v>#N/A</v>
      </c>
      <c r="C28" s="36"/>
      <c r="D28" s="37" t="e">
        <f>VLOOKUP($C28,APOIO!$Z:$AC,2,FALSE)</f>
        <v>#N/A</v>
      </c>
      <c r="E28" s="37" t="e">
        <f>VLOOKUP($C28,APOIO!$Z:$AC,4,FALSE)</f>
        <v>#N/A</v>
      </c>
      <c r="F28" s="39"/>
      <c r="G28" s="40" t="e">
        <f>VLOOKUP($F28,APOIO!$W:$X,2,FALSE)</f>
        <v>#N/A</v>
      </c>
      <c r="H28" s="36"/>
      <c r="I28" s="40" t="e">
        <f>VLOOKUP($H28,APOIO!$AE:$AG,2,FALSE)</f>
        <v>#N/A</v>
      </c>
      <c r="J28" s="40" t="e">
        <f>VLOOKUP($H28,APOIO!$AE:$AG,3,FALSE)</f>
        <v>#N/A</v>
      </c>
      <c r="K28" s="36"/>
      <c r="L28" s="40" t="e">
        <f>VLOOKUP($K28,APOIO!$I:$J,2,FALSE)</f>
        <v>#N/A</v>
      </c>
      <c r="M28" s="37"/>
      <c r="N28" s="37"/>
      <c r="O28" s="37"/>
      <c r="P28" s="37"/>
      <c r="Q28" s="41"/>
      <c r="R28" s="36"/>
      <c r="S28" s="42"/>
      <c r="T28" s="43">
        <f t="shared" si="1"/>
        <v>0</v>
      </c>
      <c r="U28" s="36"/>
      <c r="V28" s="37"/>
      <c r="W28" s="94" t="e">
        <f>VLOOKUP($C$8,APOIO!$A:$F,5,FALSE)</f>
        <v>#N/A</v>
      </c>
    </row>
    <row r="29" spans="1:23" ht="15" x14ac:dyDescent="0.25">
      <c r="A29" s="36"/>
      <c r="B29" s="37" t="e">
        <f>VLOOKUP($A29,APOIO!$C:$D,2,FALSE)</f>
        <v>#N/A</v>
      </c>
      <c r="C29" s="36"/>
      <c r="D29" s="37" t="e">
        <f>VLOOKUP($C29,APOIO!$Z:$AC,2,FALSE)</f>
        <v>#N/A</v>
      </c>
      <c r="E29" s="37" t="e">
        <f>VLOOKUP($C29,APOIO!$Z:$AC,4,FALSE)</f>
        <v>#N/A</v>
      </c>
      <c r="F29" s="39"/>
      <c r="G29" s="40" t="e">
        <f>VLOOKUP($F29,APOIO!$W:$X,2,FALSE)</f>
        <v>#N/A</v>
      </c>
      <c r="H29" s="36"/>
      <c r="I29" s="40" t="e">
        <f>VLOOKUP($H29,APOIO!$AE:$AG,2,FALSE)</f>
        <v>#N/A</v>
      </c>
      <c r="J29" s="40" t="e">
        <f>VLOOKUP($H29,APOIO!$AE:$AG,3,FALSE)</f>
        <v>#N/A</v>
      </c>
      <c r="K29" s="36"/>
      <c r="L29" s="40" t="e">
        <f>VLOOKUP($K29,APOIO!$I:$J,2,FALSE)</f>
        <v>#N/A</v>
      </c>
      <c r="M29" s="37"/>
      <c r="N29" s="37"/>
      <c r="O29" s="37"/>
      <c r="P29" s="37"/>
      <c r="Q29" s="41"/>
      <c r="R29" s="36"/>
      <c r="S29" s="42"/>
      <c r="T29" s="43">
        <f t="shared" si="1"/>
        <v>0</v>
      </c>
      <c r="U29" s="36"/>
      <c r="V29" s="37"/>
      <c r="W29" s="94" t="e">
        <f>VLOOKUP($C$8,APOIO!$A:$F,5,FALSE)</f>
        <v>#N/A</v>
      </c>
    </row>
    <row r="30" spans="1:23" ht="15" x14ac:dyDescent="0.25">
      <c r="A30" s="36"/>
      <c r="B30" s="37" t="e">
        <f>VLOOKUP($A30,APOIO!$C:$D,2,FALSE)</f>
        <v>#N/A</v>
      </c>
      <c r="C30" s="36"/>
      <c r="D30" s="37" t="e">
        <f>VLOOKUP($C30,APOIO!$Z:$AC,2,FALSE)</f>
        <v>#N/A</v>
      </c>
      <c r="E30" s="37" t="e">
        <f>VLOOKUP($C30,APOIO!$Z:$AC,4,FALSE)</f>
        <v>#N/A</v>
      </c>
      <c r="F30" s="39"/>
      <c r="G30" s="40" t="e">
        <f>VLOOKUP($F30,APOIO!$W:$X,2,FALSE)</f>
        <v>#N/A</v>
      </c>
      <c r="H30" s="36"/>
      <c r="I30" s="40" t="e">
        <f>VLOOKUP($H30,APOIO!$AE:$AG,2,FALSE)</f>
        <v>#N/A</v>
      </c>
      <c r="J30" s="40" t="e">
        <f>VLOOKUP($H30,APOIO!$AE:$AG,3,FALSE)</f>
        <v>#N/A</v>
      </c>
      <c r="K30" s="36"/>
      <c r="L30" s="40" t="e">
        <f>VLOOKUP($K30,APOIO!$I:$J,2,FALSE)</f>
        <v>#N/A</v>
      </c>
      <c r="M30" s="37"/>
      <c r="N30" s="37"/>
      <c r="O30" s="37"/>
      <c r="P30" s="37"/>
      <c r="Q30" s="41"/>
      <c r="R30" s="36"/>
      <c r="S30" s="42"/>
      <c r="T30" s="43">
        <f t="shared" si="1"/>
        <v>0</v>
      </c>
      <c r="U30" s="36"/>
      <c r="V30" s="37"/>
      <c r="W30" s="94" t="e">
        <f>VLOOKUP($C$8,APOIO!$A:$F,5,FALSE)</f>
        <v>#N/A</v>
      </c>
    </row>
    <row r="31" spans="1:23" ht="15" x14ac:dyDescent="0.25">
      <c r="A31" s="36"/>
      <c r="B31" s="37" t="e">
        <f>VLOOKUP($A31,APOIO!$C:$D,2,FALSE)</f>
        <v>#N/A</v>
      </c>
      <c r="C31" s="36"/>
      <c r="D31" s="37" t="e">
        <f>VLOOKUP($C31,APOIO!$Z:$AC,2,FALSE)</f>
        <v>#N/A</v>
      </c>
      <c r="E31" s="37" t="e">
        <f>VLOOKUP($C31,APOIO!$Z:$AC,4,FALSE)</f>
        <v>#N/A</v>
      </c>
      <c r="F31" s="39"/>
      <c r="G31" s="40" t="e">
        <f>VLOOKUP($F31,APOIO!$W:$X,2,FALSE)</f>
        <v>#N/A</v>
      </c>
      <c r="H31" s="36"/>
      <c r="I31" s="40" t="e">
        <f>VLOOKUP($H31,APOIO!$AE:$AG,2,FALSE)</f>
        <v>#N/A</v>
      </c>
      <c r="J31" s="40" t="e">
        <f>VLOOKUP($H31,APOIO!$AE:$AG,3,FALSE)</f>
        <v>#N/A</v>
      </c>
      <c r="K31" s="36"/>
      <c r="L31" s="40" t="e">
        <f>VLOOKUP($K31,APOIO!$I:$J,2,FALSE)</f>
        <v>#N/A</v>
      </c>
      <c r="M31" s="37"/>
      <c r="N31" s="37"/>
      <c r="O31" s="37"/>
      <c r="P31" s="37"/>
      <c r="Q31" s="41"/>
      <c r="R31" s="36"/>
      <c r="S31" s="42"/>
      <c r="T31" s="43">
        <f t="shared" si="1"/>
        <v>0</v>
      </c>
      <c r="U31" s="36"/>
      <c r="V31" s="37"/>
      <c r="W31" s="94" t="e">
        <f>VLOOKUP($C$8,APOIO!$A:$F,5,FALSE)</f>
        <v>#N/A</v>
      </c>
    </row>
    <row r="32" spans="1:23" ht="15" x14ac:dyDescent="0.25">
      <c r="A32" s="36"/>
      <c r="B32" s="37" t="e">
        <f>VLOOKUP($A32,APOIO!$C:$D,2,FALSE)</f>
        <v>#N/A</v>
      </c>
      <c r="C32" s="36"/>
      <c r="D32" s="37" t="e">
        <f>VLOOKUP($C32,APOIO!$Z:$AC,2,FALSE)</f>
        <v>#N/A</v>
      </c>
      <c r="E32" s="37" t="e">
        <f>VLOOKUP($C32,APOIO!$Z:$AC,4,FALSE)</f>
        <v>#N/A</v>
      </c>
      <c r="F32" s="39"/>
      <c r="G32" s="40" t="e">
        <f>VLOOKUP($F32,APOIO!$W:$X,2,FALSE)</f>
        <v>#N/A</v>
      </c>
      <c r="H32" s="36"/>
      <c r="I32" s="40" t="e">
        <f>VLOOKUP($H32,APOIO!$AE:$AG,2,FALSE)</f>
        <v>#N/A</v>
      </c>
      <c r="J32" s="40" t="e">
        <f>VLOOKUP($H32,APOIO!$AE:$AG,3,FALSE)</f>
        <v>#N/A</v>
      </c>
      <c r="K32" s="36"/>
      <c r="L32" s="40" t="e">
        <f>VLOOKUP($K32,APOIO!$I:$J,2,FALSE)</f>
        <v>#N/A</v>
      </c>
      <c r="M32" s="37"/>
      <c r="N32" s="37"/>
      <c r="O32" s="37"/>
      <c r="P32" s="37"/>
      <c r="Q32" s="41"/>
      <c r="R32" s="36"/>
      <c r="S32" s="42"/>
      <c r="T32" s="43">
        <f t="shared" si="1"/>
        <v>0</v>
      </c>
      <c r="U32" s="36"/>
      <c r="V32" s="37"/>
      <c r="W32" s="94" t="e">
        <f>VLOOKUP($C$8,APOIO!$A:$F,5,FALSE)</f>
        <v>#N/A</v>
      </c>
    </row>
    <row r="33" spans="1:23" ht="15" x14ac:dyDescent="0.25">
      <c r="A33" s="36"/>
      <c r="B33" s="37" t="e">
        <f>VLOOKUP($A33,APOIO!$C:$D,2,FALSE)</f>
        <v>#N/A</v>
      </c>
      <c r="C33" s="36"/>
      <c r="D33" s="37" t="e">
        <f>VLOOKUP($C33,APOIO!$Z:$AC,2,FALSE)</f>
        <v>#N/A</v>
      </c>
      <c r="E33" s="37" t="e">
        <f>VLOOKUP($C33,APOIO!$Z:$AC,4,FALSE)</f>
        <v>#N/A</v>
      </c>
      <c r="F33" s="39"/>
      <c r="G33" s="40" t="e">
        <f>VLOOKUP($F33,APOIO!$W:$X,2,FALSE)</f>
        <v>#N/A</v>
      </c>
      <c r="H33" s="36"/>
      <c r="I33" s="40" t="e">
        <f>VLOOKUP($H33,APOIO!$AE:$AG,2,FALSE)</f>
        <v>#N/A</v>
      </c>
      <c r="J33" s="40" t="e">
        <f>VLOOKUP($H33,APOIO!$AE:$AG,3,FALSE)</f>
        <v>#N/A</v>
      </c>
      <c r="K33" s="36"/>
      <c r="L33" s="40" t="e">
        <f>VLOOKUP($K33,APOIO!$I:$J,2,FALSE)</f>
        <v>#N/A</v>
      </c>
      <c r="M33" s="37"/>
      <c r="N33" s="37"/>
      <c r="O33" s="37"/>
      <c r="P33" s="37"/>
      <c r="Q33" s="41"/>
      <c r="R33" s="36"/>
      <c r="S33" s="42"/>
      <c r="T33" s="43">
        <f t="shared" si="1"/>
        <v>0</v>
      </c>
      <c r="U33" s="36"/>
      <c r="V33" s="37"/>
      <c r="W33" s="94" t="e">
        <f>VLOOKUP($C$8,APOIO!$A:$F,5,FALSE)</f>
        <v>#N/A</v>
      </c>
    </row>
    <row r="34" spans="1:23" ht="15" x14ac:dyDescent="0.25">
      <c r="A34" s="36"/>
      <c r="B34" s="37" t="e">
        <f>VLOOKUP($A34,APOIO!$C:$D,2,FALSE)</f>
        <v>#N/A</v>
      </c>
      <c r="C34" s="36"/>
      <c r="D34" s="37" t="e">
        <f>VLOOKUP($C34,APOIO!$Z:$AC,2,FALSE)</f>
        <v>#N/A</v>
      </c>
      <c r="E34" s="37" t="e">
        <f>VLOOKUP($C34,APOIO!$Z:$AC,4,FALSE)</f>
        <v>#N/A</v>
      </c>
      <c r="F34" s="39"/>
      <c r="G34" s="40" t="e">
        <f>VLOOKUP($F34,APOIO!$W:$X,2,FALSE)</f>
        <v>#N/A</v>
      </c>
      <c r="H34" s="36"/>
      <c r="I34" s="40" t="e">
        <f>VLOOKUP($H34,APOIO!$AE:$AG,2,FALSE)</f>
        <v>#N/A</v>
      </c>
      <c r="J34" s="40" t="e">
        <f>VLOOKUP($H34,APOIO!$AE:$AG,3,FALSE)</f>
        <v>#N/A</v>
      </c>
      <c r="K34" s="36"/>
      <c r="L34" s="40" t="e">
        <f>VLOOKUP($K34,APOIO!$I:$J,2,FALSE)</f>
        <v>#N/A</v>
      </c>
      <c r="M34" s="37"/>
      <c r="N34" s="37"/>
      <c r="O34" s="37"/>
      <c r="P34" s="37"/>
      <c r="Q34" s="41"/>
      <c r="R34" s="36"/>
      <c r="S34" s="42"/>
      <c r="T34" s="43">
        <f t="shared" si="1"/>
        <v>0</v>
      </c>
      <c r="U34" s="36"/>
      <c r="V34" s="37"/>
      <c r="W34" s="94" t="e">
        <f>VLOOKUP($C$8,APOIO!$A:$F,5,FALSE)</f>
        <v>#N/A</v>
      </c>
    </row>
    <row r="35" spans="1:23" ht="15" x14ac:dyDescent="0.25">
      <c r="A35" s="36"/>
      <c r="B35" s="37" t="e">
        <f>VLOOKUP($A35,APOIO!$C:$D,2,FALSE)</f>
        <v>#N/A</v>
      </c>
      <c r="C35" s="36"/>
      <c r="D35" s="37" t="e">
        <f>VLOOKUP($C35,APOIO!$Z:$AC,2,FALSE)</f>
        <v>#N/A</v>
      </c>
      <c r="E35" s="37" t="e">
        <f>VLOOKUP($C35,APOIO!$Z:$AC,4,FALSE)</f>
        <v>#N/A</v>
      </c>
      <c r="F35" s="39"/>
      <c r="G35" s="40" t="e">
        <f>VLOOKUP($F35,APOIO!$W:$X,2,FALSE)</f>
        <v>#N/A</v>
      </c>
      <c r="H35" s="36"/>
      <c r="I35" s="40" t="e">
        <f>VLOOKUP($H35,APOIO!$AE:$AG,2,FALSE)</f>
        <v>#N/A</v>
      </c>
      <c r="J35" s="40" t="e">
        <f>VLOOKUP($H35,APOIO!$AE:$AG,3,FALSE)</f>
        <v>#N/A</v>
      </c>
      <c r="K35" s="36"/>
      <c r="L35" s="40" t="e">
        <f>VLOOKUP($K35,APOIO!$I:$J,2,FALSE)</f>
        <v>#N/A</v>
      </c>
      <c r="M35" s="37"/>
      <c r="N35" s="37"/>
      <c r="O35" s="37"/>
      <c r="P35" s="37"/>
      <c r="Q35" s="41"/>
      <c r="R35" s="36"/>
      <c r="S35" s="42"/>
      <c r="T35" s="43">
        <f t="shared" si="1"/>
        <v>0</v>
      </c>
      <c r="U35" s="36"/>
      <c r="V35" s="37"/>
      <c r="W35" s="94" t="e">
        <f>VLOOKUP($C$8,APOIO!$A:$F,5,FALSE)</f>
        <v>#N/A</v>
      </c>
    </row>
    <row r="36" spans="1:23" ht="15" x14ac:dyDescent="0.25">
      <c r="A36" s="36"/>
      <c r="B36" s="37" t="e">
        <f>VLOOKUP($A36,APOIO!$C:$D,2,FALSE)</f>
        <v>#N/A</v>
      </c>
      <c r="C36" s="36"/>
      <c r="D36" s="37" t="e">
        <f>VLOOKUP($C36,APOIO!$Z:$AC,2,FALSE)</f>
        <v>#N/A</v>
      </c>
      <c r="E36" s="37" t="e">
        <f>VLOOKUP($C36,APOIO!$Z:$AC,4,FALSE)</f>
        <v>#N/A</v>
      </c>
      <c r="F36" s="39"/>
      <c r="G36" s="40" t="e">
        <f>VLOOKUP($F36,APOIO!$W:$X,2,FALSE)</f>
        <v>#N/A</v>
      </c>
      <c r="H36" s="36"/>
      <c r="I36" s="40" t="e">
        <f>VLOOKUP($H36,APOIO!$AE:$AG,2,FALSE)</f>
        <v>#N/A</v>
      </c>
      <c r="J36" s="40" t="e">
        <f>VLOOKUP($H36,APOIO!$AE:$AG,3,FALSE)</f>
        <v>#N/A</v>
      </c>
      <c r="K36" s="36"/>
      <c r="L36" s="40" t="e">
        <f>VLOOKUP($K36,APOIO!$I:$J,2,FALSE)</f>
        <v>#N/A</v>
      </c>
      <c r="M36" s="37"/>
      <c r="N36" s="37"/>
      <c r="O36" s="37"/>
      <c r="P36" s="37"/>
      <c r="Q36" s="41"/>
      <c r="R36" s="36"/>
      <c r="S36" s="42"/>
      <c r="T36" s="43">
        <f t="shared" si="1"/>
        <v>0</v>
      </c>
      <c r="U36" s="36"/>
      <c r="V36" s="37"/>
      <c r="W36" s="94" t="e">
        <f>VLOOKUP($C$8,APOIO!$A:$F,5,FALSE)</f>
        <v>#N/A</v>
      </c>
    </row>
    <row r="37" spans="1:23" ht="15" x14ac:dyDescent="0.25">
      <c r="A37" s="36"/>
      <c r="B37" s="37" t="e">
        <f>VLOOKUP($A37,APOIO!$C:$D,2,FALSE)</f>
        <v>#N/A</v>
      </c>
      <c r="C37" s="36"/>
      <c r="D37" s="37" t="e">
        <f>VLOOKUP($C37,APOIO!$Z:$AC,2,FALSE)</f>
        <v>#N/A</v>
      </c>
      <c r="E37" s="37" t="e">
        <f>VLOOKUP($C37,APOIO!$Z:$AC,4,FALSE)</f>
        <v>#N/A</v>
      </c>
      <c r="F37" s="39"/>
      <c r="G37" s="40" t="e">
        <f>VLOOKUP($F37,APOIO!$W:$X,2,FALSE)</f>
        <v>#N/A</v>
      </c>
      <c r="H37" s="36"/>
      <c r="I37" s="40" t="e">
        <f>VLOOKUP($H37,APOIO!$AE:$AG,2,FALSE)</f>
        <v>#N/A</v>
      </c>
      <c r="J37" s="40" t="e">
        <f>VLOOKUP($H37,APOIO!$AE:$AG,3,FALSE)</f>
        <v>#N/A</v>
      </c>
      <c r="K37" s="36"/>
      <c r="L37" s="40" t="e">
        <f>VLOOKUP($K37,APOIO!$I:$J,2,FALSE)</f>
        <v>#N/A</v>
      </c>
      <c r="M37" s="37"/>
      <c r="N37" s="37"/>
      <c r="O37" s="37"/>
      <c r="P37" s="37"/>
      <c r="Q37" s="41"/>
      <c r="R37" s="36"/>
      <c r="S37" s="42"/>
      <c r="T37" s="43">
        <f t="shared" si="1"/>
        <v>0</v>
      </c>
      <c r="U37" s="36"/>
      <c r="V37" s="37"/>
      <c r="W37" s="94" t="e">
        <f>VLOOKUP($C$8,APOIO!$A:$F,5,FALSE)</f>
        <v>#N/A</v>
      </c>
    </row>
    <row r="38" spans="1:23" ht="15" x14ac:dyDescent="0.25">
      <c r="A38" s="36"/>
      <c r="B38" s="37" t="e">
        <f>VLOOKUP($A38,APOIO!$C:$D,2,FALSE)</f>
        <v>#N/A</v>
      </c>
      <c r="C38" s="36"/>
      <c r="D38" s="37" t="e">
        <f>VLOOKUP($C38,APOIO!$Z:$AC,2,FALSE)</f>
        <v>#N/A</v>
      </c>
      <c r="E38" s="37" t="e">
        <f>VLOOKUP($C38,APOIO!$Z:$AC,4,FALSE)</f>
        <v>#N/A</v>
      </c>
      <c r="F38" s="39"/>
      <c r="G38" s="40" t="e">
        <f>VLOOKUP($F38,APOIO!$W:$X,2,FALSE)</f>
        <v>#N/A</v>
      </c>
      <c r="H38" s="36"/>
      <c r="I38" s="40" t="e">
        <f>VLOOKUP($H38,APOIO!$AE:$AG,2,FALSE)</f>
        <v>#N/A</v>
      </c>
      <c r="J38" s="40" t="e">
        <f>VLOOKUP($H38,APOIO!$AE:$AG,3,FALSE)</f>
        <v>#N/A</v>
      </c>
      <c r="K38" s="36"/>
      <c r="L38" s="40" t="e">
        <f>VLOOKUP($K38,APOIO!$I:$J,2,FALSE)</f>
        <v>#N/A</v>
      </c>
      <c r="M38" s="37"/>
      <c r="N38" s="37"/>
      <c r="O38" s="37"/>
      <c r="P38" s="37"/>
      <c r="Q38" s="41"/>
      <c r="R38" s="36"/>
      <c r="S38" s="42"/>
      <c r="T38" s="43">
        <f t="shared" si="1"/>
        <v>0</v>
      </c>
      <c r="U38" s="36"/>
      <c r="V38" s="37"/>
      <c r="W38" s="94" t="e">
        <f>VLOOKUP($C$8,APOIO!$A:$F,5,FALSE)</f>
        <v>#N/A</v>
      </c>
    </row>
    <row r="39" spans="1:23" ht="15" x14ac:dyDescent="0.25">
      <c r="A39" s="36"/>
      <c r="B39" s="37" t="e">
        <f>VLOOKUP($A39,APOIO!$C:$D,2,FALSE)</f>
        <v>#N/A</v>
      </c>
      <c r="C39" s="36"/>
      <c r="D39" s="37" t="e">
        <f>VLOOKUP($C39,APOIO!$Z:$AC,2,FALSE)</f>
        <v>#N/A</v>
      </c>
      <c r="E39" s="37" t="e">
        <f>VLOOKUP($C39,APOIO!$Z:$AC,4,FALSE)</f>
        <v>#N/A</v>
      </c>
      <c r="F39" s="39"/>
      <c r="G39" s="40" t="e">
        <f>VLOOKUP($F39,APOIO!$W:$X,2,FALSE)</f>
        <v>#N/A</v>
      </c>
      <c r="H39" s="36"/>
      <c r="I39" s="40" t="e">
        <f>VLOOKUP($H39,APOIO!$AE:$AG,2,FALSE)</f>
        <v>#N/A</v>
      </c>
      <c r="J39" s="40" t="e">
        <f>VLOOKUP($H39,APOIO!$AE:$AG,3,FALSE)</f>
        <v>#N/A</v>
      </c>
      <c r="K39" s="36"/>
      <c r="L39" s="40" t="e">
        <f>VLOOKUP($K39,APOIO!$I:$J,2,FALSE)</f>
        <v>#N/A</v>
      </c>
      <c r="M39" s="37"/>
      <c r="N39" s="37"/>
      <c r="O39" s="37"/>
      <c r="P39" s="37"/>
      <c r="Q39" s="41"/>
      <c r="R39" s="36"/>
      <c r="S39" s="42"/>
      <c r="T39" s="43">
        <f t="shared" si="1"/>
        <v>0</v>
      </c>
      <c r="U39" s="36"/>
      <c r="V39" s="37"/>
      <c r="W39" s="94" t="e">
        <f>VLOOKUP($C$8,APOIO!$A:$F,5,FALSE)</f>
        <v>#N/A</v>
      </c>
    </row>
    <row r="40" spans="1:23" ht="15" x14ac:dyDescent="0.25">
      <c r="A40" s="36"/>
      <c r="B40" s="37" t="e">
        <f>VLOOKUP($A40,APOIO!$C:$D,2,FALSE)</f>
        <v>#N/A</v>
      </c>
      <c r="C40" s="36"/>
      <c r="D40" s="37" t="e">
        <f>VLOOKUP($C40,APOIO!$Z:$AC,2,FALSE)</f>
        <v>#N/A</v>
      </c>
      <c r="E40" s="37" t="e">
        <f>VLOOKUP($C40,APOIO!$Z:$AC,4,FALSE)</f>
        <v>#N/A</v>
      </c>
      <c r="F40" s="39"/>
      <c r="G40" s="40" t="e">
        <f>VLOOKUP($F40,APOIO!$W:$X,2,FALSE)</f>
        <v>#N/A</v>
      </c>
      <c r="H40" s="36"/>
      <c r="I40" s="40" t="e">
        <f>VLOOKUP($H40,APOIO!$AE:$AG,2,FALSE)</f>
        <v>#N/A</v>
      </c>
      <c r="J40" s="40" t="e">
        <f>VLOOKUP($H40,APOIO!$AE:$AG,3,FALSE)</f>
        <v>#N/A</v>
      </c>
      <c r="K40" s="36"/>
      <c r="L40" s="40" t="e">
        <f>VLOOKUP($K40,APOIO!$I:$J,2,FALSE)</f>
        <v>#N/A</v>
      </c>
      <c r="M40" s="37"/>
      <c r="N40" s="37"/>
      <c r="O40" s="37"/>
      <c r="P40" s="37"/>
      <c r="Q40" s="41"/>
      <c r="R40" s="36"/>
      <c r="S40" s="42"/>
      <c r="T40" s="43">
        <f t="shared" si="1"/>
        <v>0</v>
      </c>
      <c r="U40" s="36"/>
      <c r="V40" s="37"/>
      <c r="W40" s="94" t="e">
        <f>VLOOKUP($C$8,APOIO!$A:$F,5,FALSE)</f>
        <v>#N/A</v>
      </c>
    </row>
    <row r="41" spans="1:23" ht="15" x14ac:dyDescent="0.25">
      <c r="A41" s="36"/>
      <c r="B41" s="37" t="e">
        <f>VLOOKUP($A41,APOIO!$C:$D,2,FALSE)</f>
        <v>#N/A</v>
      </c>
      <c r="C41" s="36"/>
      <c r="D41" s="37" t="e">
        <f>VLOOKUP($C41,APOIO!$Z:$AC,2,FALSE)</f>
        <v>#N/A</v>
      </c>
      <c r="E41" s="37" t="e">
        <f>VLOOKUP($C41,APOIO!$Z:$AC,4,FALSE)</f>
        <v>#N/A</v>
      </c>
      <c r="F41" s="39"/>
      <c r="G41" s="40" t="e">
        <f>VLOOKUP($F41,APOIO!$W:$X,2,FALSE)</f>
        <v>#N/A</v>
      </c>
      <c r="H41" s="36"/>
      <c r="I41" s="40" t="e">
        <f>VLOOKUP($H41,APOIO!$AE:$AG,2,FALSE)</f>
        <v>#N/A</v>
      </c>
      <c r="J41" s="40" t="e">
        <f>VLOOKUP($H41,APOIO!$AE:$AG,3,FALSE)</f>
        <v>#N/A</v>
      </c>
      <c r="K41" s="36"/>
      <c r="L41" s="40" t="e">
        <f>VLOOKUP($K41,APOIO!$I:$J,2,FALSE)</f>
        <v>#N/A</v>
      </c>
      <c r="M41" s="37"/>
      <c r="N41" s="37"/>
      <c r="O41" s="37"/>
      <c r="P41" s="37"/>
      <c r="Q41" s="41"/>
      <c r="R41" s="36"/>
      <c r="S41" s="42"/>
      <c r="T41" s="43">
        <f t="shared" si="1"/>
        <v>0</v>
      </c>
      <c r="U41" s="36"/>
      <c r="V41" s="37"/>
      <c r="W41" s="94" t="e">
        <f>VLOOKUP($C$8,APOIO!$A:$F,5,FALSE)</f>
        <v>#N/A</v>
      </c>
    </row>
    <row r="42" spans="1:23" ht="15" x14ac:dyDescent="0.25">
      <c r="A42" s="36"/>
      <c r="B42" s="37" t="e">
        <f>VLOOKUP($A42,APOIO!$C:$D,2,FALSE)</f>
        <v>#N/A</v>
      </c>
      <c r="C42" s="36"/>
      <c r="D42" s="37" t="e">
        <f>VLOOKUP($C42,APOIO!$Z:$AC,2,FALSE)</f>
        <v>#N/A</v>
      </c>
      <c r="E42" s="37" t="e">
        <f>VLOOKUP($C42,APOIO!$Z:$AC,4,FALSE)</f>
        <v>#N/A</v>
      </c>
      <c r="F42" s="39"/>
      <c r="G42" s="40" t="e">
        <f>VLOOKUP($F42,APOIO!$W:$X,2,FALSE)</f>
        <v>#N/A</v>
      </c>
      <c r="H42" s="36"/>
      <c r="I42" s="40" t="e">
        <f>VLOOKUP($H42,APOIO!$AE:$AG,2,FALSE)</f>
        <v>#N/A</v>
      </c>
      <c r="J42" s="40" t="e">
        <f>VLOOKUP($H42,APOIO!$AE:$AG,3,FALSE)</f>
        <v>#N/A</v>
      </c>
      <c r="K42" s="36"/>
      <c r="L42" s="40" t="e">
        <f>VLOOKUP($K42,APOIO!$I:$J,2,FALSE)</f>
        <v>#N/A</v>
      </c>
      <c r="M42" s="37"/>
      <c r="N42" s="37"/>
      <c r="O42" s="37"/>
      <c r="P42" s="37"/>
      <c r="Q42" s="41"/>
      <c r="R42" s="36"/>
      <c r="S42" s="42"/>
      <c r="T42" s="43">
        <f t="shared" si="1"/>
        <v>0</v>
      </c>
      <c r="U42" s="36"/>
      <c r="V42" s="37"/>
      <c r="W42" s="94" t="e">
        <f>VLOOKUP($C$8,APOIO!$A:$F,5,FALSE)</f>
        <v>#N/A</v>
      </c>
    </row>
    <row r="43" spans="1:23" ht="15" x14ac:dyDescent="0.25">
      <c r="A43" s="36"/>
      <c r="B43" s="37" t="e">
        <f>VLOOKUP($A43,APOIO!$C:$D,2,FALSE)</f>
        <v>#N/A</v>
      </c>
      <c r="C43" s="36"/>
      <c r="D43" s="37" t="e">
        <f>VLOOKUP($C43,APOIO!$Z:$AC,2,FALSE)</f>
        <v>#N/A</v>
      </c>
      <c r="E43" s="37" t="e">
        <f>VLOOKUP($C43,APOIO!$Z:$AC,4,FALSE)</f>
        <v>#N/A</v>
      </c>
      <c r="F43" s="39"/>
      <c r="G43" s="40" t="e">
        <f>VLOOKUP($F43,APOIO!$W:$X,2,FALSE)</f>
        <v>#N/A</v>
      </c>
      <c r="H43" s="36"/>
      <c r="I43" s="40" t="e">
        <f>VLOOKUP($H43,APOIO!$AE:$AG,2,FALSE)</f>
        <v>#N/A</v>
      </c>
      <c r="J43" s="40" t="e">
        <f>VLOOKUP($H43,APOIO!$AE:$AG,3,FALSE)</f>
        <v>#N/A</v>
      </c>
      <c r="K43" s="36"/>
      <c r="L43" s="40" t="e">
        <f>VLOOKUP($K43,APOIO!$I:$J,2,FALSE)</f>
        <v>#N/A</v>
      </c>
      <c r="M43" s="37"/>
      <c r="N43" s="37"/>
      <c r="O43" s="37"/>
      <c r="P43" s="37"/>
      <c r="Q43" s="41"/>
      <c r="R43" s="36"/>
      <c r="S43" s="42"/>
      <c r="T43" s="43">
        <f t="shared" si="1"/>
        <v>0</v>
      </c>
      <c r="U43" s="36"/>
      <c r="V43" s="37"/>
      <c r="W43" s="94" t="e">
        <f>VLOOKUP($C$8,APOIO!$A:$F,5,FALSE)</f>
        <v>#N/A</v>
      </c>
    </row>
    <row r="44" spans="1:23" ht="15" x14ac:dyDescent="0.25">
      <c r="A44" s="36"/>
      <c r="B44" s="37" t="e">
        <f>VLOOKUP($A44,APOIO!$C:$D,2,FALSE)</f>
        <v>#N/A</v>
      </c>
      <c r="C44" s="36"/>
      <c r="D44" s="37" t="e">
        <f>VLOOKUP($C44,APOIO!$Z:$AC,2,FALSE)</f>
        <v>#N/A</v>
      </c>
      <c r="E44" s="37" t="e">
        <f>VLOOKUP($C44,APOIO!$Z:$AC,4,FALSE)</f>
        <v>#N/A</v>
      </c>
      <c r="F44" s="39"/>
      <c r="G44" s="40" t="e">
        <f>VLOOKUP($F44,APOIO!$W:$X,2,FALSE)</f>
        <v>#N/A</v>
      </c>
      <c r="H44" s="36"/>
      <c r="I44" s="40" t="e">
        <f>VLOOKUP($H44,APOIO!$AE:$AG,2,FALSE)</f>
        <v>#N/A</v>
      </c>
      <c r="J44" s="40" t="e">
        <f>VLOOKUP($H44,APOIO!$AE:$AG,3,FALSE)</f>
        <v>#N/A</v>
      </c>
      <c r="K44" s="36"/>
      <c r="L44" s="40" t="e">
        <f>VLOOKUP($K44,APOIO!$I:$J,2,FALSE)</f>
        <v>#N/A</v>
      </c>
      <c r="M44" s="37"/>
      <c r="N44" s="37"/>
      <c r="O44" s="37"/>
      <c r="P44" s="37"/>
      <c r="Q44" s="41"/>
      <c r="R44" s="36"/>
      <c r="S44" s="42"/>
      <c r="T44" s="43">
        <f t="shared" si="1"/>
        <v>0</v>
      </c>
      <c r="U44" s="36"/>
      <c r="V44" s="37"/>
      <c r="W44" s="94" t="e">
        <f>VLOOKUP($C$8,APOIO!$A:$F,5,FALSE)</f>
        <v>#N/A</v>
      </c>
    </row>
    <row r="45" spans="1:23" ht="15" x14ac:dyDescent="0.25">
      <c r="A45" s="36"/>
      <c r="B45" s="37" t="e">
        <f>VLOOKUP($A45,APOIO!$C:$D,2,FALSE)</f>
        <v>#N/A</v>
      </c>
      <c r="C45" s="36"/>
      <c r="D45" s="37" t="e">
        <f>VLOOKUP($C45,APOIO!$Z:$AC,2,FALSE)</f>
        <v>#N/A</v>
      </c>
      <c r="E45" s="37" t="e">
        <f>VLOOKUP($C45,APOIO!$Z:$AC,4,FALSE)</f>
        <v>#N/A</v>
      </c>
      <c r="F45" s="39"/>
      <c r="G45" s="40" t="e">
        <f>VLOOKUP($F45,APOIO!$W:$X,2,FALSE)</f>
        <v>#N/A</v>
      </c>
      <c r="H45" s="36"/>
      <c r="I45" s="40" t="e">
        <f>VLOOKUP($H45,APOIO!$AE:$AG,2,FALSE)</f>
        <v>#N/A</v>
      </c>
      <c r="J45" s="40" t="e">
        <f>VLOOKUP($H45,APOIO!$AE:$AG,3,FALSE)</f>
        <v>#N/A</v>
      </c>
      <c r="K45" s="36"/>
      <c r="L45" s="40" t="e">
        <f>VLOOKUP($K45,APOIO!$I:$J,2,FALSE)</f>
        <v>#N/A</v>
      </c>
      <c r="M45" s="37"/>
      <c r="N45" s="37"/>
      <c r="O45" s="37"/>
      <c r="P45" s="37"/>
      <c r="Q45" s="41"/>
      <c r="R45" s="36"/>
      <c r="S45" s="42"/>
      <c r="T45" s="43">
        <f t="shared" si="1"/>
        <v>0</v>
      </c>
      <c r="U45" s="36"/>
      <c r="V45" s="37"/>
      <c r="W45" s="94" t="e">
        <f>VLOOKUP($C$8,APOIO!$A:$F,5,FALSE)</f>
        <v>#N/A</v>
      </c>
    </row>
    <row r="46" spans="1:23" ht="15" x14ac:dyDescent="0.25">
      <c r="A46" s="36"/>
      <c r="B46" s="37" t="e">
        <f>VLOOKUP($A46,APOIO!$C:$D,2,FALSE)</f>
        <v>#N/A</v>
      </c>
      <c r="C46" s="36"/>
      <c r="D46" s="37" t="e">
        <f>VLOOKUP($C46,APOIO!$Z:$AC,2,FALSE)</f>
        <v>#N/A</v>
      </c>
      <c r="E46" s="37" t="e">
        <f>VLOOKUP($C46,APOIO!$Z:$AC,4,FALSE)</f>
        <v>#N/A</v>
      </c>
      <c r="F46" s="39"/>
      <c r="G46" s="40" t="e">
        <f>VLOOKUP($F46,APOIO!$W:$X,2,FALSE)</f>
        <v>#N/A</v>
      </c>
      <c r="H46" s="36"/>
      <c r="I46" s="40" t="e">
        <f>VLOOKUP($H46,APOIO!$AE:$AG,2,FALSE)</f>
        <v>#N/A</v>
      </c>
      <c r="J46" s="40" t="e">
        <f>VLOOKUP($H46,APOIO!$AE:$AG,3,FALSE)</f>
        <v>#N/A</v>
      </c>
      <c r="K46" s="36"/>
      <c r="L46" s="40" t="e">
        <f>VLOOKUP($K46,APOIO!$I:$J,2,FALSE)</f>
        <v>#N/A</v>
      </c>
      <c r="M46" s="37"/>
      <c r="N46" s="37"/>
      <c r="O46" s="37"/>
      <c r="P46" s="37"/>
      <c r="Q46" s="41"/>
      <c r="R46" s="36"/>
      <c r="S46" s="42"/>
      <c r="T46" s="43">
        <f t="shared" si="1"/>
        <v>0</v>
      </c>
      <c r="U46" s="36"/>
      <c r="V46" s="37"/>
      <c r="W46" s="94" t="e">
        <f>VLOOKUP($C$8,APOIO!$A:$F,5,FALSE)</f>
        <v>#N/A</v>
      </c>
    </row>
    <row r="47" spans="1:23" ht="15" x14ac:dyDescent="0.25">
      <c r="A47" s="36"/>
      <c r="B47" s="37" t="e">
        <f>VLOOKUP($A47,APOIO!$C:$D,2,FALSE)</f>
        <v>#N/A</v>
      </c>
      <c r="C47" s="36"/>
      <c r="D47" s="37" t="e">
        <f>VLOOKUP($C47,APOIO!$Z:$AC,2,FALSE)</f>
        <v>#N/A</v>
      </c>
      <c r="E47" s="37" t="e">
        <f>VLOOKUP($C47,APOIO!$Z:$AC,4,FALSE)</f>
        <v>#N/A</v>
      </c>
      <c r="F47" s="39"/>
      <c r="G47" s="40" t="e">
        <f>VLOOKUP($F47,APOIO!$W:$X,2,FALSE)</f>
        <v>#N/A</v>
      </c>
      <c r="H47" s="36"/>
      <c r="I47" s="40" t="e">
        <f>VLOOKUP($H47,APOIO!$AE:$AG,2,FALSE)</f>
        <v>#N/A</v>
      </c>
      <c r="J47" s="40" t="e">
        <f>VLOOKUP($H47,APOIO!$AE:$AG,3,FALSE)</f>
        <v>#N/A</v>
      </c>
      <c r="K47" s="36"/>
      <c r="L47" s="40" t="e">
        <f>VLOOKUP($K47,APOIO!$I:$J,2,FALSE)</f>
        <v>#N/A</v>
      </c>
      <c r="M47" s="37"/>
      <c r="N47" s="37"/>
      <c r="O47" s="37"/>
      <c r="P47" s="37"/>
      <c r="Q47" s="41"/>
      <c r="R47" s="36"/>
      <c r="S47" s="42"/>
      <c r="T47" s="43">
        <f t="shared" si="1"/>
        <v>0</v>
      </c>
      <c r="U47" s="36"/>
      <c r="V47" s="37"/>
      <c r="W47" s="94" t="e">
        <f>VLOOKUP($C$8,APOIO!$A:$F,5,FALSE)</f>
        <v>#N/A</v>
      </c>
    </row>
    <row r="48" spans="1:23" ht="15" x14ac:dyDescent="0.25">
      <c r="A48" s="36"/>
      <c r="B48" s="37" t="e">
        <f>VLOOKUP($A48,APOIO!$C:$D,2,FALSE)</f>
        <v>#N/A</v>
      </c>
      <c r="C48" s="36"/>
      <c r="D48" s="37" t="e">
        <f>VLOOKUP($C48,APOIO!$Z:$AC,2,FALSE)</f>
        <v>#N/A</v>
      </c>
      <c r="E48" s="37" t="e">
        <f>VLOOKUP($C48,APOIO!$Z:$AC,4,FALSE)</f>
        <v>#N/A</v>
      </c>
      <c r="F48" s="39"/>
      <c r="G48" s="40" t="e">
        <f>VLOOKUP($F48,APOIO!$W:$X,2,FALSE)</f>
        <v>#N/A</v>
      </c>
      <c r="H48" s="36"/>
      <c r="I48" s="40" t="e">
        <f>VLOOKUP($H48,APOIO!$AE:$AG,2,FALSE)</f>
        <v>#N/A</v>
      </c>
      <c r="J48" s="40" t="e">
        <f>VLOOKUP($H48,APOIO!$AE:$AG,3,FALSE)</f>
        <v>#N/A</v>
      </c>
      <c r="K48" s="36"/>
      <c r="L48" s="40" t="e">
        <f>VLOOKUP($K48,APOIO!$I:$J,2,FALSE)</f>
        <v>#N/A</v>
      </c>
      <c r="M48" s="37"/>
      <c r="N48" s="37"/>
      <c r="O48" s="37"/>
      <c r="P48" s="37"/>
      <c r="Q48" s="41"/>
      <c r="R48" s="36"/>
      <c r="S48" s="42"/>
      <c r="T48" s="43">
        <f t="shared" si="1"/>
        <v>0</v>
      </c>
      <c r="U48" s="36"/>
      <c r="V48" s="37"/>
      <c r="W48" s="94" t="e">
        <f>VLOOKUP($C$8,APOIO!$A:$F,5,FALSE)</f>
        <v>#N/A</v>
      </c>
    </row>
    <row r="49" spans="1:23" ht="15" x14ac:dyDescent="0.25">
      <c r="A49" s="36"/>
      <c r="B49" s="37" t="e">
        <f>VLOOKUP($A49,APOIO!$C:$D,2,FALSE)</f>
        <v>#N/A</v>
      </c>
      <c r="C49" s="36"/>
      <c r="D49" s="37" t="e">
        <f>VLOOKUP($C49,APOIO!$Z:$AC,2,FALSE)</f>
        <v>#N/A</v>
      </c>
      <c r="E49" s="37" t="e">
        <f>VLOOKUP($C49,APOIO!$Z:$AC,4,FALSE)</f>
        <v>#N/A</v>
      </c>
      <c r="F49" s="39"/>
      <c r="G49" s="40" t="e">
        <f>VLOOKUP($F49,APOIO!$W:$X,2,FALSE)</f>
        <v>#N/A</v>
      </c>
      <c r="H49" s="36"/>
      <c r="I49" s="40" t="e">
        <f>VLOOKUP($H49,APOIO!$AE:$AG,2,FALSE)</f>
        <v>#N/A</v>
      </c>
      <c r="J49" s="40" t="e">
        <f>VLOOKUP($H49,APOIO!$AE:$AG,3,FALSE)</f>
        <v>#N/A</v>
      </c>
      <c r="K49" s="36"/>
      <c r="L49" s="40" t="e">
        <f>VLOOKUP($K49,APOIO!$I:$J,2,FALSE)</f>
        <v>#N/A</v>
      </c>
      <c r="M49" s="37"/>
      <c r="N49" s="37"/>
      <c r="O49" s="37"/>
      <c r="P49" s="37"/>
      <c r="Q49" s="41"/>
      <c r="R49" s="36"/>
      <c r="S49" s="42"/>
      <c r="T49" s="43">
        <f t="shared" si="1"/>
        <v>0</v>
      </c>
      <c r="U49" s="36"/>
      <c r="V49" s="37"/>
      <c r="W49" s="94" t="e">
        <f>VLOOKUP($C$8,APOIO!$A:$F,5,FALSE)</f>
        <v>#N/A</v>
      </c>
    </row>
    <row r="50" spans="1:23" ht="15" x14ac:dyDescent="0.25">
      <c r="A50" s="36"/>
      <c r="B50" s="37" t="e">
        <f>VLOOKUP($A50,APOIO!$C:$D,2,FALSE)</f>
        <v>#N/A</v>
      </c>
      <c r="C50" s="36"/>
      <c r="D50" s="37" t="e">
        <f>VLOOKUP($C50,APOIO!$Z:$AC,2,FALSE)</f>
        <v>#N/A</v>
      </c>
      <c r="E50" s="37" t="e">
        <f>VLOOKUP($C50,APOIO!$Z:$AC,4,FALSE)</f>
        <v>#N/A</v>
      </c>
      <c r="F50" s="39"/>
      <c r="G50" s="40" t="e">
        <f>VLOOKUP($F50,APOIO!$W:$X,2,FALSE)</f>
        <v>#N/A</v>
      </c>
      <c r="H50" s="36"/>
      <c r="I50" s="40" t="e">
        <f>VLOOKUP($H50,APOIO!$AE:$AG,2,FALSE)</f>
        <v>#N/A</v>
      </c>
      <c r="J50" s="40" t="e">
        <f>VLOOKUP($H50,APOIO!$AE:$AG,3,FALSE)</f>
        <v>#N/A</v>
      </c>
      <c r="K50" s="36"/>
      <c r="L50" s="40" t="e">
        <f>VLOOKUP($K50,APOIO!$I:$J,2,FALSE)</f>
        <v>#N/A</v>
      </c>
      <c r="M50" s="37"/>
      <c r="N50" s="37"/>
      <c r="O50" s="37"/>
      <c r="P50" s="37"/>
      <c r="Q50" s="41"/>
      <c r="R50" s="36"/>
      <c r="S50" s="42"/>
      <c r="T50" s="43">
        <f t="shared" si="1"/>
        <v>0</v>
      </c>
      <c r="U50" s="36"/>
      <c r="V50" s="37"/>
      <c r="W50" s="94" t="e">
        <f>VLOOKUP($C$8,APOIO!$A:$F,5,FALSE)</f>
        <v>#N/A</v>
      </c>
    </row>
    <row r="51" spans="1:23" ht="15" x14ac:dyDescent="0.25">
      <c r="A51" s="36"/>
      <c r="B51" s="37" t="e">
        <f>VLOOKUP($A51,APOIO!$C:$D,2,FALSE)</f>
        <v>#N/A</v>
      </c>
      <c r="C51" s="36"/>
      <c r="D51" s="37" t="e">
        <f>VLOOKUP($C51,APOIO!$Z:$AC,2,FALSE)</f>
        <v>#N/A</v>
      </c>
      <c r="E51" s="37" t="e">
        <f>VLOOKUP($C51,APOIO!$Z:$AC,4,FALSE)</f>
        <v>#N/A</v>
      </c>
      <c r="F51" s="39"/>
      <c r="G51" s="40" t="e">
        <f>VLOOKUP($F51,APOIO!$W:$X,2,FALSE)</f>
        <v>#N/A</v>
      </c>
      <c r="H51" s="36"/>
      <c r="I51" s="40" t="e">
        <f>VLOOKUP($H51,APOIO!$AE:$AG,2,FALSE)</f>
        <v>#N/A</v>
      </c>
      <c r="J51" s="40" t="e">
        <f>VLOOKUP($H51,APOIO!$AE:$AG,3,FALSE)</f>
        <v>#N/A</v>
      </c>
      <c r="K51" s="36"/>
      <c r="L51" s="40" t="e">
        <f>VLOOKUP($K51,APOIO!$I:$J,2,FALSE)</f>
        <v>#N/A</v>
      </c>
      <c r="M51" s="37"/>
      <c r="N51" s="37"/>
      <c r="O51" s="37"/>
      <c r="P51" s="37"/>
      <c r="Q51" s="41"/>
      <c r="R51" s="36"/>
      <c r="S51" s="42"/>
      <c r="T51" s="43">
        <f t="shared" si="1"/>
        <v>0</v>
      </c>
      <c r="U51" s="36"/>
      <c r="V51" s="37"/>
      <c r="W51" s="94" t="e">
        <f>VLOOKUP($C$8,APOIO!$A:$F,5,FALSE)</f>
        <v>#N/A</v>
      </c>
    </row>
    <row r="52" spans="1:23" ht="15" x14ac:dyDescent="0.25">
      <c r="A52" s="36"/>
      <c r="B52" s="37" t="e">
        <f>VLOOKUP($A52,APOIO!$C:$D,2,FALSE)</f>
        <v>#N/A</v>
      </c>
      <c r="C52" s="36"/>
      <c r="D52" s="37" t="e">
        <f>VLOOKUP($C52,APOIO!$Z:$AC,2,FALSE)</f>
        <v>#N/A</v>
      </c>
      <c r="E52" s="37" t="e">
        <f>VLOOKUP($C52,APOIO!$Z:$AC,4,FALSE)</f>
        <v>#N/A</v>
      </c>
      <c r="F52" s="39"/>
      <c r="G52" s="40" t="e">
        <f>VLOOKUP($F52,APOIO!$W:$X,2,FALSE)</f>
        <v>#N/A</v>
      </c>
      <c r="H52" s="36"/>
      <c r="I52" s="40" t="e">
        <f>VLOOKUP($H52,APOIO!$AE:$AG,2,FALSE)</f>
        <v>#N/A</v>
      </c>
      <c r="J52" s="40" t="e">
        <f>VLOOKUP($H52,APOIO!$AE:$AG,3,FALSE)</f>
        <v>#N/A</v>
      </c>
      <c r="K52" s="36"/>
      <c r="L52" s="40" t="e">
        <f>VLOOKUP($K52,APOIO!$I:$J,2,FALSE)</f>
        <v>#N/A</v>
      </c>
      <c r="M52" s="37"/>
      <c r="N52" s="37"/>
      <c r="O52" s="37"/>
      <c r="P52" s="37"/>
      <c r="Q52" s="41"/>
      <c r="R52" s="36"/>
      <c r="S52" s="42"/>
      <c r="T52" s="43">
        <f t="shared" si="1"/>
        <v>0</v>
      </c>
      <c r="U52" s="36"/>
      <c r="V52" s="37"/>
      <c r="W52" s="94" t="e">
        <f>VLOOKUP($C$8,APOIO!$A:$F,5,FALSE)</f>
        <v>#N/A</v>
      </c>
    </row>
    <row r="53" spans="1:23" ht="15" x14ac:dyDescent="0.25">
      <c r="A53" s="36"/>
      <c r="B53" s="37" t="e">
        <f>VLOOKUP($A53,APOIO!$C:$D,2,FALSE)</f>
        <v>#N/A</v>
      </c>
      <c r="C53" s="36"/>
      <c r="D53" s="37" t="e">
        <f>VLOOKUP($C53,APOIO!$Z:$AC,2,FALSE)</f>
        <v>#N/A</v>
      </c>
      <c r="E53" s="37" t="e">
        <f>VLOOKUP($C53,APOIO!$Z:$AC,4,FALSE)</f>
        <v>#N/A</v>
      </c>
      <c r="F53" s="39"/>
      <c r="G53" s="40" t="e">
        <f>VLOOKUP($F53,APOIO!$W:$X,2,FALSE)</f>
        <v>#N/A</v>
      </c>
      <c r="H53" s="36"/>
      <c r="I53" s="40" t="e">
        <f>VLOOKUP($H53,APOIO!$AE:$AG,2,FALSE)</f>
        <v>#N/A</v>
      </c>
      <c r="J53" s="40" t="e">
        <f>VLOOKUP($H53,APOIO!$AE:$AG,3,FALSE)</f>
        <v>#N/A</v>
      </c>
      <c r="K53" s="36"/>
      <c r="L53" s="40" t="e">
        <f>VLOOKUP($K53,APOIO!$I:$J,2,FALSE)</f>
        <v>#N/A</v>
      </c>
      <c r="M53" s="37"/>
      <c r="N53" s="37"/>
      <c r="O53" s="37"/>
      <c r="P53" s="37"/>
      <c r="Q53" s="41"/>
      <c r="R53" s="36"/>
      <c r="S53" s="42"/>
      <c r="T53" s="43">
        <f t="shared" si="1"/>
        <v>0</v>
      </c>
      <c r="U53" s="36"/>
      <c r="V53" s="37"/>
      <c r="W53" s="94" t="e">
        <f>VLOOKUP($C$8,APOIO!$A:$F,5,FALSE)</f>
        <v>#N/A</v>
      </c>
    </row>
    <row r="54" spans="1:23" ht="15" x14ac:dyDescent="0.25">
      <c r="A54" s="36"/>
      <c r="B54" s="37" t="e">
        <f>VLOOKUP($A54,APOIO!$C:$D,2,FALSE)</f>
        <v>#N/A</v>
      </c>
      <c r="C54" s="36"/>
      <c r="D54" s="37" t="e">
        <f>VLOOKUP($C54,APOIO!$Z:$AC,2,FALSE)</f>
        <v>#N/A</v>
      </c>
      <c r="E54" s="37" t="e">
        <f>VLOOKUP($C54,APOIO!$Z:$AC,4,FALSE)</f>
        <v>#N/A</v>
      </c>
      <c r="F54" s="39"/>
      <c r="G54" s="40" t="e">
        <f>VLOOKUP($F54,APOIO!$W:$X,2,FALSE)</f>
        <v>#N/A</v>
      </c>
      <c r="H54" s="36"/>
      <c r="I54" s="40" t="e">
        <f>VLOOKUP($H54,APOIO!$AE:$AG,2,FALSE)</f>
        <v>#N/A</v>
      </c>
      <c r="J54" s="40" t="e">
        <f>VLOOKUP($H54,APOIO!$AE:$AG,3,FALSE)</f>
        <v>#N/A</v>
      </c>
      <c r="K54" s="36"/>
      <c r="L54" s="40" t="e">
        <f>VLOOKUP($K54,APOIO!$I:$J,2,FALSE)</f>
        <v>#N/A</v>
      </c>
      <c r="M54" s="37"/>
      <c r="N54" s="37"/>
      <c r="O54" s="37"/>
      <c r="P54" s="37"/>
      <c r="Q54" s="41"/>
      <c r="R54" s="36"/>
      <c r="S54" s="42"/>
      <c r="T54" s="43">
        <f t="shared" si="1"/>
        <v>0</v>
      </c>
      <c r="U54" s="36"/>
      <c r="V54" s="37"/>
      <c r="W54" s="94" t="e">
        <f>VLOOKUP($C$8,APOIO!$A:$F,5,FALSE)</f>
        <v>#N/A</v>
      </c>
    </row>
    <row r="55" spans="1:23" ht="15" x14ac:dyDescent="0.25">
      <c r="A55" s="36"/>
      <c r="B55" s="37" t="e">
        <f>VLOOKUP($A55,APOIO!$C:$D,2,FALSE)</f>
        <v>#N/A</v>
      </c>
      <c r="C55" s="36"/>
      <c r="D55" s="37" t="e">
        <f>VLOOKUP($C55,APOIO!$Z:$AC,2,FALSE)</f>
        <v>#N/A</v>
      </c>
      <c r="E55" s="37" t="e">
        <f>VLOOKUP($C55,APOIO!$Z:$AC,4,FALSE)</f>
        <v>#N/A</v>
      </c>
      <c r="F55" s="39"/>
      <c r="G55" s="40" t="e">
        <f>VLOOKUP($F55,APOIO!$W:$X,2,FALSE)</f>
        <v>#N/A</v>
      </c>
      <c r="H55" s="36"/>
      <c r="I55" s="40" t="e">
        <f>VLOOKUP($H55,APOIO!$AE:$AG,2,FALSE)</f>
        <v>#N/A</v>
      </c>
      <c r="J55" s="40" t="e">
        <f>VLOOKUP($H55,APOIO!$AE:$AG,3,FALSE)</f>
        <v>#N/A</v>
      </c>
      <c r="K55" s="36"/>
      <c r="L55" s="40" t="e">
        <f>VLOOKUP($K55,APOIO!$I:$J,2,FALSE)</f>
        <v>#N/A</v>
      </c>
      <c r="M55" s="37"/>
      <c r="N55" s="37"/>
      <c r="O55" s="37"/>
      <c r="P55" s="37"/>
      <c r="Q55" s="41"/>
      <c r="R55" s="36"/>
      <c r="S55" s="42"/>
      <c r="T55" s="43">
        <f t="shared" si="1"/>
        <v>0</v>
      </c>
      <c r="U55" s="36"/>
      <c r="V55" s="37"/>
      <c r="W55" s="94" t="e">
        <f>VLOOKUP($C$8,APOIO!$A:$F,5,FALSE)</f>
        <v>#N/A</v>
      </c>
    </row>
    <row r="56" spans="1:23" ht="15" x14ac:dyDescent="0.25">
      <c r="A56" s="36"/>
      <c r="B56" s="37" t="e">
        <f>VLOOKUP($A56,APOIO!$C:$D,2,FALSE)</f>
        <v>#N/A</v>
      </c>
      <c r="C56" s="36"/>
      <c r="D56" s="37" t="e">
        <f>VLOOKUP($C56,APOIO!$Z:$AC,2,FALSE)</f>
        <v>#N/A</v>
      </c>
      <c r="E56" s="37" t="e">
        <f>VLOOKUP($C56,APOIO!$Z:$AC,4,FALSE)</f>
        <v>#N/A</v>
      </c>
      <c r="F56" s="39"/>
      <c r="G56" s="40" t="e">
        <f>VLOOKUP($F56,APOIO!$W:$X,2,FALSE)</f>
        <v>#N/A</v>
      </c>
      <c r="H56" s="36"/>
      <c r="I56" s="40" t="e">
        <f>VLOOKUP($H56,APOIO!$AE:$AG,2,FALSE)</f>
        <v>#N/A</v>
      </c>
      <c r="J56" s="40" t="e">
        <f>VLOOKUP($H56,APOIO!$AE:$AG,3,FALSE)</f>
        <v>#N/A</v>
      </c>
      <c r="K56" s="36"/>
      <c r="L56" s="40" t="e">
        <f>VLOOKUP($K56,APOIO!$I:$J,2,FALSE)</f>
        <v>#N/A</v>
      </c>
      <c r="M56" s="37"/>
      <c r="N56" s="37"/>
      <c r="O56" s="37"/>
      <c r="P56" s="37"/>
      <c r="Q56" s="41"/>
      <c r="R56" s="36"/>
      <c r="S56" s="42"/>
      <c r="T56" s="43">
        <f t="shared" si="1"/>
        <v>0</v>
      </c>
      <c r="U56" s="36"/>
      <c r="V56" s="37"/>
      <c r="W56" s="94" t="e">
        <f>VLOOKUP($C$8,APOIO!$A:$F,5,FALSE)</f>
        <v>#N/A</v>
      </c>
    </row>
    <row r="57" spans="1:23" ht="15" x14ac:dyDescent="0.25">
      <c r="A57" s="36"/>
      <c r="B57" s="37" t="e">
        <f>VLOOKUP($A57,APOIO!$C:$D,2,FALSE)</f>
        <v>#N/A</v>
      </c>
      <c r="C57" s="36"/>
      <c r="D57" s="37" t="e">
        <f>VLOOKUP($C57,APOIO!$Z:$AC,2,FALSE)</f>
        <v>#N/A</v>
      </c>
      <c r="E57" s="37" t="e">
        <f>VLOOKUP($C57,APOIO!$Z:$AC,4,FALSE)</f>
        <v>#N/A</v>
      </c>
      <c r="F57" s="39"/>
      <c r="G57" s="40" t="e">
        <f>VLOOKUP($F57,APOIO!$W:$X,2,FALSE)</f>
        <v>#N/A</v>
      </c>
      <c r="H57" s="36"/>
      <c r="I57" s="40" t="e">
        <f>VLOOKUP($H57,APOIO!$AE:$AG,2,FALSE)</f>
        <v>#N/A</v>
      </c>
      <c r="J57" s="40" t="e">
        <f>VLOOKUP($H57,APOIO!$AE:$AG,3,FALSE)</f>
        <v>#N/A</v>
      </c>
      <c r="K57" s="36"/>
      <c r="L57" s="40" t="e">
        <f>VLOOKUP($K57,APOIO!$I:$J,2,FALSE)</f>
        <v>#N/A</v>
      </c>
      <c r="M57" s="37"/>
      <c r="N57" s="37"/>
      <c r="O57" s="37"/>
      <c r="P57" s="37"/>
      <c r="Q57" s="41"/>
      <c r="R57" s="36"/>
      <c r="S57" s="42"/>
      <c r="T57" s="43">
        <f t="shared" si="1"/>
        <v>0</v>
      </c>
      <c r="U57" s="36"/>
      <c r="V57" s="37"/>
      <c r="W57" s="94" t="e">
        <f>VLOOKUP($C$8,APOIO!$A:$F,5,FALSE)</f>
        <v>#N/A</v>
      </c>
    </row>
    <row r="58" spans="1:23" ht="15" x14ac:dyDescent="0.25">
      <c r="A58" s="36"/>
      <c r="B58" s="37" t="e">
        <f>VLOOKUP($A58,APOIO!$C:$D,2,FALSE)</f>
        <v>#N/A</v>
      </c>
      <c r="C58" s="36"/>
      <c r="D58" s="37" t="e">
        <f>VLOOKUP($C58,APOIO!$Z:$AC,2,FALSE)</f>
        <v>#N/A</v>
      </c>
      <c r="E58" s="37" t="e">
        <f>VLOOKUP($C58,APOIO!$Z:$AC,4,FALSE)</f>
        <v>#N/A</v>
      </c>
      <c r="F58" s="39"/>
      <c r="G58" s="40" t="e">
        <f>VLOOKUP($F58,APOIO!$W:$X,2,FALSE)</f>
        <v>#N/A</v>
      </c>
      <c r="H58" s="36"/>
      <c r="I58" s="40" t="e">
        <f>VLOOKUP($H58,APOIO!$AE:$AG,2,FALSE)</f>
        <v>#N/A</v>
      </c>
      <c r="J58" s="40" t="e">
        <f>VLOOKUP($H58,APOIO!$AE:$AG,3,FALSE)</f>
        <v>#N/A</v>
      </c>
      <c r="K58" s="36"/>
      <c r="L58" s="40" t="e">
        <f>VLOOKUP($K58,APOIO!$I:$J,2,FALSE)</f>
        <v>#N/A</v>
      </c>
      <c r="M58" s="37"/>
      <c r="N58" s="37"/>
      <c r="O58" s="37"/>
      <c r="P58" s="37"/>
      <c r="Q58" s="41"/>
      <c r="R58" s="36"/>
      <c r="S58" s="42"/>
      <c r="T58" s="43">
        <f t="shared" si="1"/>
        <v>0</v>
      </c>
      <c r="U58" s="36"/>
      <c r="V58" s="37"/>
      <c r="W58" s="94" t="e">
        <f>VLOOKUP($C$8,APOIO!$A:$F,5,FALSE)</f>
        <v>#N/A</v>
      </c>
    </row>
    <row r="59" spans="1:23" ht="15" x14ac:dyDescent="0.25">
      <c r="A59" s="36"/>
      <c r="B59" s="37" t="e">
        <f>VLOOKUP($A59,APOIO!$C:$D,2,FALSE)</f>
        <v>#N/A</v>
      </c>
      <c r="C59" s="36"/>
      <c r="D59" s="37" t="e">
        <f>VLOOKUP($C59,APOIO!$Z:$AC,2,FALSE)</f>
        <v>#N/A</v>
      </c>
      <c r="E59" s="37" t="e">
        <f>VLOOKUP($C59,APOIO!$Z:$AC,4,FALSE)</f>
        <v>#N/A</v>
      </c>
      <c r="F59" s="39"/>
      <c r="G59" s="40" t="e">
        <f>VLOOKUP($F59,APOIO!$W:$X,2,FALSE)</f>
        <v>#N/A</v>
      </c>
      <c r="H59" s="36"/>
      <c r="I59" s="40" t="e">
        <f>VLOOKUP($H59,APOIO!$AE:$AG,2,FALSE)</f>
        <v>#N/A</v>
      </c>
      <c r="J59" s="40" t="e">
        <f>VLOOKUP($H59,APOIO!$AE:$AG,3,FALSE)</f>
        <v>#N/A</v>
      </c>
      <c r="K59" s="36"/>
      <c r="L59" s="40" t="e">
        <f>VLOOKUP($K59,APOIO!$I:$J,2,FALSE)</f>
        <v>#N/A</v>
      </c>
      <c r="M59" s="37"/>
      <c r="N59" s="37"/>
      <c r="O59" s="37"/>
      <c r="P59" s="37"/>
      <c r="Q59" s="41"/>
      <c r="R59" s="36"/>
      <c r="S59" s="42"/>
      <c r="T59" s="43">
        <f t="shared" si="1"/>
        <v>0</v>
      </c>
      <c r="U59" s="36"/>
      <c r="V59" s="37"/>
      <c r="W59" s="94" t="e">
        <f>VLOOKUP($C$8,APOIO!$A:$F,5,FALSE)</f>
        <v>#N/A</v>
      </c>
    </row>
    <row r="60" spans="1:23" ht="15" x14ac:dyDescent="0.25">
      <c r="A60" s="36"/>
      <c r="B60" s="37" t="e">
        <f>VLOOKUP($A60,APOIO!$C:$D,2,FALSE)</f>
        <v>#N/A</v>
      </c>
      <c r="C60" s="36"/>
      <c r="D60" s="37" t="e">
        <f>VLOOKUP($C60,APOIO!$Z:$AC,2,FALSE)</f>
        <v>#N/A</v>
      </c>
      <c r="E60" s="37" t="e">
        <f>VLOOKUP($C60,APOIO!$Z:$AC,4,FALSE)</f>
        <v>#N/A</v>
      </c>
      <c r="F60" s="39"/>
      <c r="G60" s="40" t="e">
        <f>VLOOKUP($F60,APOIO!$W:$X,2,FALSE)</f>
        <v>#N/A</v>
      </c>
      <c r="H60" s="36"/>
      <c r="I60" s="40" t="e">
        <f>VLOOKUP($H60,APOIO!$AE:$AG,2,FALSE)</f>
        <v>#N/A</v>
      </c>
      <c r="J60" s="40" t="e">
        <f>VLOOKUP($H60,APOIO!$AE:$AG,3,FALSE)</f>
        <v>#N/A</v>
      </c>
      <c r="K60" s="36"/>
      <c r="L60" s="40" t="e">
        <f>VLOOKUP($K60,APOIO!$I:$J,2,FALSE)</f>
        <v>#N/A</v>
      </c>
      <c r="M60" s="37"/>
      <c r="N60" s="37"/>
      <c r="O60" s="37"/>
      <c r="P60" s="37"/>
      <c r="Q60" s="41"/>
      <c r="R60" s="36"/>
      <c r="S60" s="42"/>
      <c r="T60" s="43">
        <f t="shared" si="1"/>
        <v>0</v>
      </c>
      <c r="U60" s="36"/>
      <c r="V60" s="37"/>
      <c r="W60" s="94" t="e">
        <f>VLOOKUP($C$8,APOIO!$A:$F,5,FALSE)</f>
        <v>#N/A</v>
      </c>
    </row>
    <row r="61" spans="1:23" ht="15" x14ac:dyDescent="0.25">
      <c r="A61" s="36"/>
      <c r="B61" s="37" t="e">
        <f>VLOOKUP($A61,APOIO!$C:$D,2,FALSE)</f>
        <v>#N/A</v>
      </c>
      <c r="C61" s="36"/>
      <c r="D61" s="37" t="e">
        <f>VLOOKUP($C61,APOIO!$Z:$AC,2,FALSE)</f>
        <v>#N/A</v>
      </c>
      <c r="E61" s="37" t="e">
        <f>VLOOKUP($C61,APOIO!$Z:$AC,4,FALSE)</f>
        <v>#N/A</v>
      </c>
      <c r="F61" s="39"/>
      <c r="G61" s="40" t="e">
        <f>VLOOKUP($F61,APOIO!$W:$X,2,FALSE)</f>
        <v>#N/A</v>
      </c>
      <c r="H61" s="36"/>
      <c r="I61" s="40" t="e">
        <f>VLOOKUP($H61,APOIO!$AE:$AG,2,FALSE)</f>
        <v>#N/A</v>
      </c>
      <c r="J61" s="40" t="e">
        <f>VLOOKUP($H61,APOIO!$AE:$AG,3,FALSE)</f>
        <v>#N/A</v>
      </c>
      <c r="K61" s="36"/>
      <c r="L61" s="40" t="e">
        <f>VLOOKUP($K61,APOIO!$I:$J,2,FALSE)</f>
        <v>#N/A</v>
      </c>
      <c r="M61" s="37"/>
      <c r="N61" s="37"/>
      <c r="O61" s="37"/>
      <c r="P61" s="37"/>
      <c r="Q61" s="41"/>
      <c r="R61" s="36"/>
      <c r="S61" s="42"/>
      <c r="T61" s="43">
        <f t="shared" si="1"/>
        <v>0</v>
      </c>
      <c r="U61" s="36"/>
      <c r="V61" s="37"/>
      <c r="W61" s="94" t="e">
        <f>VLOOKUP($C$8,APOIO!$A:$F,5,FALSE)</f>
        <v>#N/A</v>
      </c>
    </row>
    <row r="62" spans="1:23" ht="15" x14ac:dyDescent="0.25">
      <c r="A62" s="36"/>
      <c r="B62" s="37" t="e">
        <f>VLOOKUP($A62,APOIO!$C:$D,2,FALSE)</f>
        <v>#N/A</v>
      </c>
      <c r="C62" s="36"/>
      <c r="D62" s="37" t="e">
        <f>VLOOKUP($C62,APOIO!$Z:$AC,2,FALSE)</f>
        <v>#N/A</v>
      </c>
      <c r="E62" s="37" t="e">
        <f>VLOOKUP($C62,APOIO!$Z:$AC,4,FALSE)</f>
        <v>#N/A</v>
      </c>
      <c r="F62" s="39"/>
      <c r="G62" s="40" t="e">
        <f>VLOOKUP($F62,APOIO!$W:$X,2,FALSE)</f>
        <v>#N/A</v>
      </c>
      <c r="H62" s="36"/>
      <c r="I62" s="40" t="e">
        <f>VLOOKUP($H62,APOIO!$AE:$AG,2,FALSE)</f>
        <v>#N/A</v>
      </c>
      <c r="J62" s="40" t="e">
        <f>VLOOKUP($H62,APOIO!$AE:$AG,3,FALSE)</f>
        <v>#N/A</v>
      </c>
      <c r="K62" s="36"/>
      <c r="L62" s="40" t="e">
        <f>VLOOKUP($K62,APOIO!$I:$J,2,FALSE)</f>
        <v>#N/A</v>
      </c>
      <c r="M62" s="37"/>
      <c r="N62" s="37"/>
      <c r="O62" s="37"/>
      <c r="P62" s="37"/>
      <c r="Q62" s="41"/>
      <c r="R62" s="36"/>
      <c r="S62" s="42"/>
      <c r="T62" s="43">
        <f t="shared" si="1"/>
        <v>0</v>
      </c>
      <c r="U62" s="36"/>
      <c r="V62" s="37"/>
      <c r="W62" s="94" t="e">
        <f>VLOOKUP($C$8,APOIO!$A:$F,5,FALSE)</f>
        <v>#N/A</v>
      </c>
    </row>
    <row r="63" spans="1:23" ht="15" x14ac:dyDescent="0.25">
      <c r="A63" s="36"/>
      <c r="B63" s="37" t="e">
        <f>VLOOKUP($A63,APOIO!$C:$D,2,FALSE)</f>
        <v>#N/A</v>
      </c>
      <c r="C63" s="36"/>
      <c r="D63" s="37" t="e">
        <f>VLOOKUP($C63,APOIO!$Z:$AC,2,FALSE)</f>
        <v>#N/A</v>
      </c>
      <c r="E63" s="37" t="e">
        <f>VLOOKUP($C63,APOIO!$Z:$AC,4,FALSE)</f>
        <v>#N/A</v>
      </c>
      <c r="F63" s="39"/>
      <c r="G63" s="40" t="e">
        <f>VLOOKUP($F63,APOIO!$W:$X,2,FALSE)</f>
        <v>#N/A</v>
      </c>
      <c r="H63" s="36"/>
      <c r="I63" s="40" t="e">
        <f>VLOOKUP($H63,APOIO!$AE:$AG,2,FALSE)</f>
        <v>#N/A</v>
      </c>
      <c r="J63" s="40" t="e">
        <f>VLOOKUP($H63,APOIO!$AE:$AG,3,FALSE)</f>
        <v>#N/A</v>
      </c>
      <c r="K63" s="36"/>
      <c r="L63" s="40" t="e">
        <f>VLOOKUP($K63,APOIO!$I:$J,2,FALSE)</f>
        <v>#N/A</v>
      </c>
      <c r="M63" s="37"/>
      <c r="N63" s="37"/>
      <c r="O63" s="37"/>
      <c r="P63" s="37"/>
      <c r="Q63" s="41"/>
      <c r="R63" s="36"/>
      <c r="S63" s="42"/>
      <c r="T63" s="43">
        <f t="shared" si="1"/>
        <v>0</v>
      </c>
      <c r="U63" s="36"/>
      <c r="V63" s="37"/>
      <c r="W63" s="94" t="e">
        <f>VLOOKUP($C$8,APOIO!$A:$F,5,FALSE)</f>
        <v>#N/A</v>
      </c>
    </row>
    <row r="64" spans="1:23" ht="15" x14ac:dyDescent="0.25">
      <c r="A64" s="36"/>
      <c r="B64" s="37" t="e">
        <f>VLOOKUP($A64,APOIO!$C:$D,2,FALSE)</f>
        <v>#N/A</v>
      </c>
      <c r="C64" s="36"/>
      <c r="D64" s="37" t="e">
        <f>VLOOKUP($C64,APOIO!$Z:$AC,2,FALSE)</f>
        <v>#N/A</v>
      </c>
      <c r="E64" s="37" t="e">
        <f>VLOOKUP($C64,APOIO!$Z:$AC,4,FALSE)</f>
        <v>#N/A</v>
      </c>
      <c r="F64" s="39"/>
      <c r="G64" s="40" t="e">
        <f>VLOOKUP($F64,APOIO!$W:$X,2,FALSE)</f>
        <v>#N/A</v>
      </c>
      <c r="H64" s="36"/>
      <c r="I64" s="40" t="e">
        <f>VLOOKUP($H64,APOIO!$AE:$AG,2,FALSE)</f>
        <v>#N/A</v>
      </c>
      <c r="J64" s="40" t="e">
        <f>VLOOKUP($H64,APOIO!$AE:$AG,3,FALSE)</f>
        <v>#N/A</v>
      </c>
      <c r="K64" s="36"/>
      <c r="L64" s="40" t="e">
        <f>VLOOKUP($K64,APOIO!$I:$J,2,FALSE)</f>
        <v>#N/A</v>
      </c>
      <c r="M64" s="37"/>
      <c r="N64" s="37"/>
      <c r="O64" s="37"/>
      <c r="P64" s="37"/>
      <c r="Q64" s="41"/>
      <c r="R64" s="36"/>
      <c r="S64" s="42"/>
      <c r="T64" s="43">
        <f t="shared" si="1"/>
        <v>0</v>
      </c>
      <c r="U64" s="36"/>
      <c r="V64" s="37"/>
      <c r="W64" s="94" t="e">
        <f>VLOOKUP($C$8,APOIO!$A:$F,5,FALSE)</f>
        <v>#N/A</v>
      </c>
    </row>
    <row r="65" spans="1:23" ht="15" x14ac:dyDescent="0.25">
      <c r="A65" s="36"/>
      <c r="B65" s="37" t="e">
        <f>VLOOKUP($A65,APOIO!$C:$D,2,FALSE)</f>
        <v>#N/A</v>
      </c>
      <c r="C65" s="36"/>
      <c r="D65" s="37" t="e">
        <f>VLOOKUP($C65,APOIO!$Z:$AC,2,FALSE)</f>
        <v>#N/A</v>
      </c>
      <c r="E65" s="37" t="e">
        <f>VLOOKUP($C65,APOIO!$Z:$AC,4,FALSE)</f>
        <v>#N/A</v>
      </c>
      <c r="F65" s="39"/>
      <c r="G65" s="40" t="e">
        <f>VLOOKUP($F65,APOIO!$W:$X,2,FALSE)</f>
        <v>#N/A</v>
      </c>
      <c r="H65" s="36"/>
      <c r="I65" s="40" t="e">
        <f>VLOOKUP($H65,APOIO!$AE:$AG,2,FALSE)</f>
        <v>#N/A</v>
      </c>
      <c r="J65" s="40" t="e">
        <f>VLOOKUP($H65,APOIO!$AE:$AG,3,FALSE)</f>
        <v>#N/A</v>
      </c>
      <c r="K65" s="36"/>
      <c r="L65" s="40" t="e">
        <f>VLOOKUP($K65,APOIO!$I:$J,2,FALSE)</f>
        <v>#N/A</v>
      </c>
      <c r="M65" s="37"/>
      <c r="N65" s="37"/>
      <c r="O65" s="37"/>
      <c r="P65" s="37"/>
      <c r="Q65" s="41"/>
      <c r="R65" s="36"/>
      <c r="S65" s="42"/>
      <c r="T65" s="43">
        <f t="shared" si="1"/>
        <v>0</v>
      </c>
      <c r="U65" s="36"/>
      <c r="V65" s="37"/>
      <c r="W65" s="94" t="e">
        <f>VLOOKUP($C$8,APOIO!$A:$F,5,FALSE)</f>
        <v>#N/A</v>
      </c>
    </row>
    <row r="66" spans="1:23" ht="15" x14ac:dyDescent="0.25">
      <c r="A66" s="36"/>
      <c r="B66" s="37" t="e">
        <f>VLOOKUP($A66,APOIO!$C:$D,2,FALSE)</f>
        <v>#N/A</v>
      </c>
      <c r="C66" s="36"/>
      <c r="D66" s="37" t="e">
        <f>VLOOKUP($C66,APOIO!$Z:$AC,2,FALSE)</f>
        <v>#N/A</v>
      </c>
      <c r="E66" s="37" t="e">
        <f>VLOOKUP($C66,APOIO!$Z:$AC,4,FALSE)</f>
        <v>#N/A</v>
      </c>
      <c r="F66" s="39"/>
      <c r="G66" s="40" t="e">
        <f>VLOOKUP($F66,APOIO!$W:$X,2,FALSE)</f>
        <v>#N/A</v>
      </c>
      <c r="H66" s="36"/>
      <c r="I66" s="40" t="e">
        <f>VLOOKUP($H66,APOIO!$AE:$AG,2,FALSE)</f>
        <v>#N/A</v>
      </c>
      <c r="J66" s="40" t="e">
        <f>VLOOKUP($H66,APOIO!$AE:$AG,3,FALSE)</f>
        <v>#N/A</v>
      </c>
      <c r="K66" s="36"/>
      <c r="L66" s="40" t="e">
        <f>VLOOKUP($K66,APOIO!$I:$J,2,FALSE)</f>
        <v>#N/A</v>
      </c>
      <c r="M66" s="37"/>
      <c r="N66" s="37"/>
      <c r="O66" s="37"/>
      <c r="P66" s="37"/>
      <c r="Q66" s="41"/>
      <c r="R66" s="36"/>
      <c r="S66" s="42"/>
      <c r="T66" s="43">
        <f t="shared" si="1"/>
        <v>0</v>
      </c>
      <c r="U66" s="36"/>
      <c r="V66" s="37"/>
      <c r="W66" s="94" t="e">
        <f>VLOOKUP($C$8,APOIO!$A:$F,5,FALSE)</f>
        <v>#N/A</v>
      </c>
    </row>
    <row r="67" spans="1:23" ht="15" x14ac:dyDescent="0.25">
      <c r="A67" s="36"/>
      <c r="B67" s="37" t="e">
        <f>VLOOKUP($A67,APOIO!$C:$D,2,FALSE)</f>
        <v>#N/A</v>
      </c>
      <c r="C67" s="36"/>
      <c r="D67" s="37" t="e">
        <f>VLOOKUP($C67,APOIO!$Z:$AC,2,FALSE)</f>
        <v>#N/A</v>
      </c>
      <c r="E67" s="37" t="e">
        <f>VLOOKUP($C67,APOIO!$Z:$AC,4,FALSE)</f>
        <v>#N/A</v>
      </c>
      <c r="F67" s="39"/>
      <c r="G67" s="40" t="e">
        <f>VLOOKUP($F67,APOIO!$W:$X,2,FALSE)</f>
        <v>#N/A</v>
      </c>
      <c r="H67" s="36"/>
      <c r="I67" s="40" t="e">
        <f>VLOOKUP($H67,APOIO!$AE:$AG,2,FALSE)</f>
        <v>#N/A</v>
      </c>
      <c r="J67" s="40" t="e">
        <f>VLOOKUP($H67,APOIO!$AE:$AG,3,FALSE)</f>
        <v>#N/A</v>
      </c>
      <c r="K67" s="36"/>
      <c r="L67" s="40" t="e">
        <f>VLOOKUP($K67,APOIO!$I:$J,2,FALSE)</f>
        <v>#N/A</v>
      </c>
      <c r="M67" s="37"/>
      <c r="N67" s="37"/>
      <c r="O67" s="37"/>
      <c r="P67" s="37"/>
      <c r="Q67" s="41"/>
      <c r="R67" s="36"/>
      <c r="S67" s="42"/>
      <c r="T67" s="43">
        <f t="shared" si="1"/>
        <v>0</v>
      </c>
      <c r="U67" s="36"/>
      <c r="V67" s="37"/>
      <c r="W67" s="94" t="e">
        <f>VLOOKUP($C$8,APOIO!$A:$F,5,FALSE)</f>
        <v>#N/A</v>
      </c>
    </row>
    <row r="68" spans="1:23" ht="15" x14ac:dyDescent="0.25">
      <c r="A68" s="36"/>
      <c r="B68" s="37" t="e">
        <f>VLOOKUP($A68,APOIO!$C:$D,2,FALSE)</f>
        <v>#N/A</v>
      </c>
      <c r="C68" s="36"/>
      <c r="D68" s="37" t="e">
        <f>VLOOKUP($C68,APOIO!$Z:$AC,2,FALSE)</f>
        <v>#N/A</v>
      </c>
      <c r="E68" s="37" t="e">
        <f>VLOOKUP($C68,APOIO!$Z:$AC,4,FALSE)</f>
        <v>#N/A</v>
      </c>
      <c r="F68" s="39"/>
      <c r="G68" s="40" t="e">
        <f>VLOOKUP($F68,APOIO!$W:$X,2,FALSE)</f>
        <v>#N/A</v>
      </c>
      <c r="H68" s="36"/>
      <c r="I68" s="40" t="e">
        <f>VLOOKUP($H68,APOIO!$AE:$AG,2,FALSE)</f>
        <v>#N/A</v>
      </c>
      <c r="J68" s="40" t="e">
        <f>VLOOKUP($H68,APOIO!$AE:$AG,3,FALSE)</f>
        <v>#N/A</v>
      </c>
      <c r="K68" s="36"/>
      <c r="L68" s="40" t="e">
        <f>VLOOKUP($K68,APOIO!$I:$J,2,FALSE)</f>
        <v>#N/A</v>
      </c>
      <c r="M68" s="37"/>
      <c r="N68" s="37"/>
      <c r="O68" s="37"/>
      <c r="P68" s="37"/>
      <c r="Q68" s="41"/>
      <c r="R68" s="36"/>
      <c r="S68" s="42"/>
      <c r="T68" s="43">
        <f t="shared" si="1"/>
        <v>0</v>
      </c>
      <c r="U68" s="36"/>
      <c r="V68" s="37"/>
      <c r="W68" s="94" t="e">
        <f>VLOOKUP($C$8,APOIO!$A:$F,5,FALSE)</f>
        <v>#N/A</v>
      </c>
    </row>
    <row r="69" spans="1:23" ht="15" x14ac:dyDescent="0.25">
      <c r="A69" s="36"/>
      <c r="B69" s="37" t="e">
        <f>VLOOKUP($A69,APOIO!$C:$D,2,FALSE)</f>
        <v>#N/A</v>
      </c>
      <c r="C69" s="36"/>
      <c r="D69" s="37" t="e">
        <f>VLOOKUP($C69,APOIO!$Z:$AC,2,FALSE)</f>
        <v>#N/A</v>
      </c>
      <c r="E69" s="37" t="e">
        <f>VLOOKUP($C69,APOIO!$Z:$AC,4,FALSE)</f>
        <v>#N/A</v>
      </c>
      <c r="F69" s="39"/>
      <c r="G69" s="40" t="e">
        <f>VLOOKUP($F69,APOIO!$W:$X,2,FALSE)</f>
        <v>#N/A</v>
      </c>
      <c r="H69" s="36"/>
      <c r="I69" s="40" t="e">
        <f>VLOOKUP($H69,APOIO!$AE:$AG,2,FALSE)</f>
        <v>#N/A</v>
      </c>
      <c r="J69" s="40" t="e">
        <f>VLOOKUP($H69,APOIO!$AE:$AG,3,FALSE)</f>
        <v>#N/A</v>
      </c>
      <c r="K69" s="36"/>
      <c r="L69" s="40" t="e">
        <f>VLOOKUP($K69,APOIO!$I:$J,2,FALSE)</f>
        <v>#N/A</v>
      </c>
      <c r="M69" s="37"/>
      <c r="N69" s="37"/>
      <c r="O69" s="37"/>
      <c r="P69" s="37"/>
      <c r="Q69" s="41"/>
      <c r="R69" s="36"/>
      <c r="S69" s="42"/>
      <c r="T69" s="43">
        <f t="shared" si="1"/>
        <v>0</v>
      </c>
      <c r="U69" s="36"/>
      <c r="V69" s="37"/>
      <c r="W69" s="94" t="e">
        <f>VLOOKUP($C$8,APOIO!$A:$F,5,FALSE)</f>
        <v>#N/A</v>
      </c>
    </row>
    <row r="70" spans="1:23" ht="15" x14ac:dyDescent="0.25">
      <c r="A70" s="36"/>
      <c r="B70" s="37" t="e">
        <f>VLOOKUP($A70,APOIO!$C:$D,2,FALSE)</f>
        <v>#N/A</v>
      </c>
      <c r="C70" s="36"/>
      <c r="D70" s="37" t="e">
        <f>VLOOKUP($C70,APOIO!$Z:$AC,2,FALSE)</f>
        <v>#N/A</v>
      </c>
      <c r="E70" s="37" t="e">
        <f>VLOOKUP($C70,APOIO!$Z:$AC,4,FALSE)</f>
        <v>#N/A</v>
      </c>
      <c r="F70" s="39"/>
      <c r="G70" s="40" t="e">
        <f>VLOOKUP($F70,APOIO!$W:$X,2,FALSE)</f>
        <v>#N/A</v>
      </c>
      <c r="H70" s="36"/>
      <c r="I70" s="40" t="e">
        <f>VLOOKUP($H70,APOIO!$AE:$AG,2,FALSE)</f>
        <v>#N/A</v>
      </c>
      <c r="J70" s="40" t="e">
        <f>VLOOKUP($H70,APOIO!$AE:$AG,3,FALSE)</f>
        <v>#N/A</v>
      </c>
      <c r="K70" s="36"/>
      <c r="L70" s="40" t="e">
        <f>VLOOKUP($K70,APOIO!$I:$J,2,FALSE)</f>
        <v>#N/A</v>
      </c>
      <c r="M70" s="37"/>
      <c r="N70" s="37"/>
      <c r="O70" s="37"/>
      <c r="P70" s="37"/>
      <c r="Q70" s="41"/>
      <c r="R70" s="36"/>
      <c r="S70" s="42"/>
      <c r="T70" s="43">
        <f t="shared" si="1"/>
        <v>0</v>
      </c>
      <c r="U70" s="36"/>
      <c r="V70" s="37"/>
      <c r="W70" s="94" t="e">
        <f>VLOOKUP($C$8,APOIO!$A:$F,5,FALSE)</f>
        <v>#N/A</v>
      </c>
    </row>
    <row r="71" spans="1:23" ht="15" x14ac:dyDescent="0.25">
      <c r="A71" s="36"/>
      <c r="B71" s="37" t="e">
        <f>VLOOKUP($A71,APOIO!$C:$D,2,FALSE)</f>
        <v>#N/A</v>
      </c>
      <c r="C71" s="36"/>
      <c r="D71" s="37" t="e">
        <f>VLOOKUP($C71,APOIO!$Z:$AC,2,FALSE)</f>
        <v>#N/A</v>
      </c>
      <c r="E71" s="37" t="e">
        <f>VLOOKUP($C71,APOIO!$Z:$AC,4,FALSE)</f>
        <v>#N/A</v>
      </c>
      <c r="F71" s="39"/>
      <c r="G71" s="40" t="e">
        <f>VLOOKUP($F71,APOIO!$W:$X,2,FALSE)</f>
        <v>#N/A</v>
      </c>
      <c r="H71" s="36"/>
      <c r="I71" s="40" t="e">
        <f>VLOOKUP($H71,APOIO!$AE:$AG,2,FALSE)</f>
        <v>#N/A</v>
      </c>
      <c r="J71" s="40" t="e">
        <f>VLOOKUP($H71,APOIO!$AE:$AG,3,FALSE)</f>
        <v>#N/A</v>
      </c>
      <c r="K71" s="36"/>
      <c r="L71" s="40" t="e">
        <f>VLOOKUP($K71,APOIO!$I:$J,2,FALSE)</f>
        <v>#N/A</v>
      </c>
      <c r="M71" s="37"/>
      <c r="N71" s="37"/>
      <c r="O71" s="37"/>
      <c r="P71" s="37"/>
      <c r="Q71" s="41"/>
      <c r="R71" s="36"/>
      <c r="S71" s="42"/>
      <c r="T71" s="43">
        <f t="shared" si="1"/>
        <v>0</v>
      </c>
      <c r="U71" s="36"/>
      <c r="V71" s="37"/>
      <c r="W71" s="94" t="e">
        <f>VLOOKUP($C$8,APOIO!$A:$F,5,FALSE)</f>
        <v>#N/A</v>
      </c>
    </row>
    <row r="72" spans="1:23" ht="15" x14ac:dyDescent="0.25">
      <c r="A72" s="36"/>
      <c r="B72" s="37" t="e">
        <f>VLOOKUP($A72,APOIO!$C:$D,2,FALSE)</f>
        <v>#N/A</v>
      </c>
      <c r="C72" s="36"/>
      <c r="D72" s="37" t="e">
        <f>VLOOKUP($C72,APOIO!$Z:$AC,2,FALSE)</f>
        <v>#N/A</v>
      </c>
      <c r="E72" s="37" t="e">
        <f>VLOOKUP($C72,APOIO!$Z:$AC,4,FALSE)</f>
        <v>#N/A</v>
      </c>
      <c r="F72" s="39"/>
      <c r="G72" s="40" t="e">
        <f>VLOOKUP($F72,APOIO!$W:$X,2,FALSE)</f>
        <v>#N/A</v>
      </c>
      <c r="H72" s="36"/>
      <c r="I72" s="40" t="e">
        <f>VLOOKUP($H72,APOIO!$AE:$AG,2,FALSE)</f>
        <v>#N/A</v>
      </c>
      <c r="J72" s="40" t="e">
        <f>VLOOKUP($H72,APOIO!$AE:$AG,3,FALSE)</f>
        <v>#N/A</v>
      </c>
      <c r="K72" s="36"/>
      <c r="L72" s="40" t="e">
        <f>VLOOKUP($K72,APOIO!$I:$J,2,FALSE)</f>
        <v>#N/A</v>
      </c>
      <c r="M72" s="37"/>
      <c r="N72" s="37"/>
      <c r="O72" s="37"/>
      <c r="P72" s="37"/>
      <c r="Q72" s="41"/>
      <c r="R72" s="36"/>
      <c r="S72" s="42"/>
      <c r="T72" s="43">
        <f t="shared" si="1"/>
        <v>0</v>
      </c>
      <c r="U72" s="36"/>
      <c r="V72" s="37"/>
      <c r="W72" s="94" t="e">
        <f>VLOOKUP($C$8,APOIO!$A:$F,5,FALSE)</f>
        <v>#N/A</v>
      </c>
    </row>
    <row r="73" spans="1:23" ht="15" x14ac:dyDescent="0.25">
      <c r="A73" s="36"/>
      <c r="B73" s="37" t="e">
        <f>VLOOKUP($A73,APOIO!$C:$D,2,FALSE)</f>
        <v>#N/A</v>
      </c>
      <c r="C73" s="36"/>
      <c r="D73" s="37" t="e">
        <f>VLOOKUP($C73,APOIO!$Z:$AC,2,FALSE)</f>
        <v>#N/A</v>
      </c>
      <c r="E73" s="37" t="e">
        <f>VLOOKUP($C73,APOIO!$Z:$AC,4,FALSE)</f>
        <v>#N/A</v>
      </c>
      <c r="F73" s="39"/>
      <c r="G73" s="40" t="e">
        <f>VLOOKUP($F73,APOIO!$W:$X,2,FALSE)</f>
        <v>#N/A</v>
      </c>
      <c r="H73" s="36"/>
      <c r="I73" s="40" t="e">
        <f>VLOOKUP($H73,APOIO!$AE:$AG,2,FALSE)</f>
        <v>#N/A</v>
      </c>
      <c r="J73" s="40" t="e">
        <f>VLOOKUP($H73,APOIO!$AE:$AG,3,FALSE)</f>
        <v>#N/A</v>
      </c>
      <c r="K73" s="36"/>
      <c r="L73" s="40" t="e">
        <f>VLOOKUP($K73,APOIO!$I:$J,2,FALSE)</f>
        <v>#N/A</v>
      </c>
      <c r="M73" s="37"/>
      <c r="N73" s="37"/>
      <c r="O73" s="37"/>
      <c r="P73" s="37"/>
      <c r="Q73" s="41"/>
      <c r="R73" s="36"/>
      <c r="S73" s="42"/>
      <c r="T73" s="43">
        <f t="shared" si="1"/>
        <v>0</v>
      </c>
      <c r="U73" s="36"/>
      <c r="V73" s="37"/>
      <c r="W73" s="94" t="e">
        <f>VLOOKUP($C$8,APOIO!$A:$F,5,FALSE)</f>
        <v>#N/A</v>
      </c>
    </row>
    <row r="74" spans="1:23" ht="15" x14ac:dyDescent="0.25">
      <c r="A74" s="36"/>
      <c r="B74" s="37" t="e">
        <f>VLOOKUP($A74,APOIO!$C:$D,2,FALSE)</f>
        <v>#N/A</v>
      </c>
      <c r="C74" s="36"/>
      <c r="D74" s="37" t="e">
        <f>VLOOKUP($C74,APOIO!$Z:$AC,2,FALSE)</f>
        <v>#N/A</v>
      </c>
      <c r="E74" s="37" t="e">
        <f>VLOOKUP($C74,APOIO!$Z:$AC,4,FALSE)</f>
        <v>#N/A</v>
      </c>
      <c r="F74" s="39"/>
      <c r="G74" s="40" t="e">
        <f>VLOOKUP($F74,APOIO!$W:$X,2,FALSE)</f>
        <v>#N/A</v>
      </c>
      <c r="H74" s="36"/>
      <c r="I74" s="40" t="e">
        <f>VLOOKUP($H74,APOIO!$AE:$AG,2,FALSE)</f>
        <v>#N/A</v>
      </c>
      <c r="J74" s="40" t="e">
        <f>VLOOKUP($H74,APOIO!$AE:$AG,3,FALSE)</f>
        <v>#N/A</v>
      </c>
      <c r="K74" s="36"/>
      <c r="L74" s="40" t="e">
        <f>VLOOKUP($K74,APOIO!$I:$J,2,FALSE)</f>
        <v>#N/A</v>
      </c>
      <c r="M74" s="37"/>
      <c r="N74" s="37"/>
      <c r="O74" s="37"/>
      <c r="P74" s="37"/>
      <c r="Q74" s="41"/>
      <c r="R74" s="36"/>
      <c r="S74" s="42"/>
      <c r="T74" s="43">
        <f t="shared" si="1"/>
        <v>0</v>
      </c>
      <c r="U74" s="36"/>
      <c r="V74" s="37"/>
      <c r="W74" s="94" t="e">
        <f>VLOOKUP($C$8,APOIO!$A:$F,5,FALSE)</f>
        <v>#N/A</v>
      </c>
    </row>
    <row r="75" spans="1:23" ht="15" x14ac:dyDescent="0.25">
      <c r="A75" s="36"/>
      <c r="B75" s="37" t="e">
        <f>VLOOKUP($A75,APOIO!$C:$D,2,FALSE)</f>
        <v>#N/A</v>
      </c>
      <c r="C75" s="36"/>
      <c r="D75" s="37" t="e">
        <f>VLOOKUP($C75,APOIO!$Z:$AC,2,FALSE)</f>
        <v>#N/A</v>
      </c>
      <c r="E75" s="37" t="e">
        <f>VLOOKUP($C75,APOIO!$Z:$AC,4,FALSE)</f>
        <v>#N/A</v>
      </c>
      <c r="F75" s="39"/>
      <c r="G75" s="40" t="e">
        <f>VLOOKUP($F75,APOIO!$W:$X,2,FALSE)</f>
        <v>#N/A</v>
      </c>
      <c r="H75" s="36"/>
      <c r="I75" s="40" t="e">
        <f>VLOOKUP($H75,APOIO!$AE:$AG,2,FALSE)</f>
        <v>#N/A</v>
      </c>
      <c r="J75" s="40" t="e">
        <f>VLOOKUP($H75,APOIO!$AE:$AG,3,FALSE)</f>
        <v>#N/A</v>
      </c>
      <c r="K75" s="36"/>
      <c r="L75" s="40" t="e">
        <f>VLOOKUP($K75,APOIO!$I:$J,2,FALSE)</f>
        <v>#N/A</v>
      </c>
      <c r="M75" s="37"/>
      <c r="N75" s="37"/>
      <c r="O75" s="37"/>
      <c r="P75" s="37"/>
      <c r="Q75" s="41"/>
      <c r="R75" s="36"/>
      <c r="S75" s="42"/>
      <c r="T75" s="43">
        <f t="shared" ref="T75:T138" si="2">R75*S75</f>
        <v>0</v>
      </c>
      <c r="U75" s="36"/>
      <c r="V75" s="37"/>
      <c r="W75" s="94" t="e">
        <f>VLOOKUP($C$8,APOIO!$A:$F,5,FALSE)</f>
        <v>#N/A</v>
      </c>
    </row>
    <row r="76" spans="1:23" ht="15" x14ac:dyDescent="0.25">
      <c r="A76" s="36"/>
      <c r="B76" s="37" t="e">
        <f>VLOOKUP($A76,APOIO!$C:$D,2,FALSE)</f>
        <v>#N/A</v>
      </c>
      <c r="C76" s="36"/>
      <c r="D76" s="37" t="e">
        <f>VLOOKUP($C76,APOIO!$Z:$AC,2,FALSE)</f>
        <v>#N/A</v>
      </c>
      <c r="E76" s="37" t="e">
        <f>VLOOKUP($C76,APOIO!$Z:$AC,4,FALSE)</f>
        <v>#N/A</v>
      </c>
      <c r="F76" s="39"/>
      <c r="G76" s="40" t="e">
        <f>VLOOKUP($F76,APOIO!$W:$X,2,FALSE)</f>
        <v>#N/A</v>
      </c>
      <c r="H76" s="36"/>
      <c r="I76" s="40" t="e">
        <f>VLOOKUP($H76,APOIO!$AE:$AG,2,FALSE)</f>
        <v>#N/A</v>
      </c>
      <c r="J76" s="40" t="e">
        <f>VLOOKUP($H76,APOIO!$AE:$AG,3,FALSE)</f>
        <v>#N/A</v>
      </c>
      <c r="K76" s="36"/>
      <c r="L76" s="40" t="e">
        <f>VLOOKUP($K76,APOIO!$I:$J,2,FALSE)</f>
        <v>#N/A</v>
      </c>
      <c r="M76" s="37"/>
      <c r="N76" s="37"/>
      <c r="O76" s="37"/>
      <c r="P76" s="37"/>
      <c r="Q76" s="41"/>
      <c r="R76" s="36"/>
      <c r="S76" s="42"/>
      <c r="T76" s="43">
        <f t="shared" si="2"/>
        <v>0</v>
      </c>
      <c r="U76" s="36"/>
      <c r="V76" s="37"/>
      <c r="W76" s="94" t="e">
        <f>VLOOKUP($C$8,APOIO!$A:$F,5,FALSE)</f>
        <v>#N/A</v>
      </c>
    </row>
    <row r="77" spans="1:23" ht="15" x14ac:dyDescent="0.25">
      <c r="A77" s="36"/>
      <c r="B77" s="37" t="e">
        <f>VLOOKUP($A77,APOIO!$C:$D,2,FALSE)</f>
        <v>#N/A</v>
      </c>
      <c r="C77" s="36"/>
      <c r="D77" s="37" t="e">
        <f>VLOOKUP($C77,APOIO!$Z:$AC,2,FALSE)</f>
        <v>#N/A</v>
      </c>
      <c r="E77" s="37" t="e">
        <f>VLOOKUP($C77,APOIO!$Z:$AC,4,FALSE)</f>
        <v>#N/A</v>
      </c>
      <c r="F77" s="39"/>
      <c r="G77" s="40" t="e">
        <f>VLOOKUP($F77,APOIO!$W:$X,2,FALSE)</f>
        <v>#N/A</v>
      </c>
      <c r="H77" s="36"/>
      <c r="I77" s="40" t="e">
        <f>VLOOKUP($H77,APOIO!$AE:$AG,2,FALSE)</f>
        <v>#N/A</v>
      </c>
      <c r="J77" s="40" t="e">
        <f>VLOOKUP($H77,APOIO!$AE:$AG,3,FALSE)</f>
        <v>#N/A</v>
      </c>
      <c r="K77" s="36"/>
      <c r="L77" s="40" t="e">
        <f>VLOOKUP($K77,APOIO!$I:$J,2,FALSE)</f>
        <v>#N/A</v>
      </c>
      <c r="M77" s="37"/>
      <c r="N77" s="37"/>
      <c r="O77" s="37"/>
      <c r="P77" s="37"/>
      <c r="Q77" s="41"/>
      <c r="R77" s="36"/>
      <c r="S77" s="42"/>
      <c r="T77" s="43">
        <f t="shared" si="2"/>
        <v>0</v>
      </c>
      <c r="U77" s="36"/>
      <c r="V77" s="37"/>
      <c r="W77" s="94" t="e">
        <f>VLOOKUP($C$8,APOIO!$A:$F,5,FALSE)</f>
        <v>#N/A</v>
      </c>
    </row>
    <row r="78" spans="1:23" ht="15" x14ac:dyDescent="0.25">
      <c r="A78" s="36"/>
      <c r="B78" s="37" t="e">
        <f>VLOOKUP($A78,APOIO!$C:$D,2,FALSE)</f>
        <v>#N/A</v>
      </c>
      <c r="C78" s="36"/>
      <c r="D78" s="37" t="e">
        <f>VLOOKUP($C78,APOIO!$Z:$AC,2,FALSE)</f>
        <v>#N/A</v>
      </c>
      <c r="E78" s="37" t="e">
        <f>VLOOKUP($C78,APOIO!$Z:$AC,4,FALSE)</f>
        <v>#N/A</v>
      </c>
      <c r="F78" s="39"/>
      <c r="G78" s="40" t="e">
        <f>VLOOKUP($F78,APOIO!$W:$X,2,FALSE)</f>
        <v>#N/A</v>
      </c>
      <c r="H78" s="36"/>
      <c r="I78" s="40" t="e">
        <f>VLOOKUP($H78,APOIO!$AE:$AG,2,FALSE)</f>
        <v>#N/A</v>
      </c>
      <c r="J78" s="40" t="e">
        <f>VLOOKUP($H78,APOIO!$AE:$AG,3,FALSE)</f>
        <v>#N/A</v>
      </c>
      <c r="K78" s="36"/>
      <c r="L78" s="40" t="e">
        <f>VLOOKUP($K78,APOIO!$I:$J,2,FALSE)</f>
        <v>#N/A</v>
      </c>
      <c r="M78" s="37"/>
      <c r="N78" s="37"/>
      <c r="O78" s="37"/>
      <c r="P78" s="37"/>
      <c r="Q78" s="41"/>
      <c r="R78" s="36"/>
      <c r="S78" s="42"/>
      <c r="T78" s="43">
        <f t="shared" si="2"/>
        <v>0</v>
      </c>
      <c r="U78" s="36"/>
      <c r="V78" s="37"/>
      <c r="W78" s="94" t="e">
        <f>VLOOKUP($C$8,APOIO!$A:$F,5,FALSE)</f>
        <v>#N/A</v>
      </c>
    </row>
    <row r="79" spans="1:23" ht="15" x14ac:dyDescent="0.25">
      <c r="A79" s="36"/>
      <c r="B79" s="37" t="e">
        <f>VLOOKUP($A79,APOIO!$C:$D,2,FALSE)</f>
        <v>#N/A</v>
      </c>
      <c r="C79" s="36"/>
      <c r="D79" s="37" t="e">
        <f>VLOOKUP($C79,APOIO!$Z:$AC,2,FALSE)</f>
        <v>#N/A</v>
      </c>
      <c r="E79" s="37" t="e">
        <f>VLOOKUP($C79,APOIO!$Z:$AC,4,FALSE)</f>
        <v>#N/A</v>
      </c>
      <c r="F79" s="39"/>
      <c r="G79" s="40" t="e">
        <f>VLOOKUP($F79,APOIO!$W:$X,2,FALSE)</f>
        <v>#N/A</v>
      </c>
      <c r="H79" s="36"/>
      <c r="I79" s="40" t="e">
        <f>VLOOKUP($H79,APOIO!$AE:$AG,2,FALSE)</f>
        <v>#N/A</v>
      </c>
      <c r="J79" s="40" t="e">
        <f>VLOOKUP($H79,APOIO!$AE:$AG,3,FALSE)</f>
        <v>#N/A</v>
      </c>
      <c r="K79" s="36"/>
      <c r="L79" s="40" t="e">
        <f>VLOOKUP($K79,APOIO!$I:$J,2,FALSE)</f>
        <v>#N/A</v>
      </c>
      <c r="M79" s="37"/>
      <c r="N79" s="37"/>
      <c r="O79" s="37"/>
      <c r="P79" s="37"/>
      <c r="Q79" s="41"/>
      <c r="R79" s="36"/>
      <c r="S79" s="42"/>
      <c r="T79" s="43">
        <f t="shared" si="2"/>
        <v>0</v>
      </c>
      <c r="U79" s="36"/>
      <c r="V79" s="37"/>
      <c r="W79" s="94" t="e">
        <f>VLOOKUP($C$8,APOIO!$A:$F,5,FALSE)</f>
        <v>#N/A</v>
      </c>
    </row>
    <row r="80" spans="1:23" ht="15" x14ac:dyDescent="0.25">
      <c r="A80" s="36"/>
      <c r="B80" s="37" t="e">
        <f>VLOOKUP($A80,APOIO!$C:$D,2,FALSE)</f>
        <v>#N/A</v>
      </c>
      <c r="C80" s="36"/>
      <c r="D80" s="37" t="e">
        <f>VLOOKUP($C80,APOIO!$Z:$AC,2,FALSE)</f>
        <v>#N/A</v>
      </c>
      <c r="E80" s="37" t="e">
        <f>VLOOKUP($C80,APOIO!$Z:$AC,4,FALSE)</f>
        <v>#N/A</v>
      </c>
      <c r="F80" s="39"/>
      <c r="G80" s="40" t="e">
        <f>VLOOKUP($F80,APOIO!$W:$X,2,FALSE)</f>
        <v>#N/A</v>
      </c>
      <c r="H80" s="36"/>
      <c r="I80" s="40" t="e">
        <f>VLOOKUP($H80,APOIO!$AE:$AG,2,FALSE)</f>
        <v>#N/A</v>
      </c>
      <c r="J80" s="40" t="e">
        <f>VLOOKUP($H80,APOIO!$AE:$AG,3,FALSE)</f>
        <v>#N/A</v>
      </c>
      <c r="K80" s="36"/>
      <c r="L80" s="40" t="e">
        <f>VLOOKUP($K80,APOIO!$I:$J,2,FALSE)</f>
        <v>#N/A</v>
      </c>
      <c r="M80" s="37"/>
      <c r="N80" s="37"/>
      <c r="O80" s="37"/>
      <c r="P80" s="37"/>
      <c r="Q80" s="41"/>
      <c r="R80" s="36"/>
      <c r="S80" s="42"/>
      <c r="T80" s="43">
        <f t="shared" si="2"/>
        <v>0</v>
      </c>
      <c r="U80" s="36"/>
      <c r="V80" s="37"/>
      <c r="W80" s="94" t="e">
        <f>VLOOKUP($C$8,APOIO!$A:$F,5,FALSE)</f>
        <v>#N/A</v>
      </c>
    </row>
    <row r="81" spans="1:23" ht="15" x14ac:dyDescent="0.25">
      <c r="A81" s="36"/>
      <c r="B81" s="37" t="e">
        <f>VLOOKUP($A81,APOIO!$C:$D,2,FALSE)</f>
        <v>#N/A</v>
      </c>
      <c r="C81" s="36"/>
      <c r="D81" s="37" t="e">
        <f>VLOOKUP($C81,APOIO!$Z:$AC,2,FALSE)</f>
        <v>#N/A</v>
      </c>
      <c r="E81" s="37" t="e">
        <f>VLOOKUP($C81,APOIO!$Z:$AC,4,FALSE)</f>
        <v>#N/A</v>
      </c>
      <c r="F81" s="39"/>
      <c r="G81" s="40" t="e">
        <f>VLOOKUP($F81,APOIO!$W:$X,2,FALSE)</f>
        <v>#N/A</v>
      </c>
      <c r="H81" s="36"/>
      <c r="I81" s="40" t="e">
        <f>VLOOKUP($H81,APOIO!$AE:$AG,2,FALSE)</f>
        <v>#N/A</v>
      </c>
      <c r="J81" s="40" t="e">
        <f>VLOOKUP($H81,APOIO!$AE:$AG,3,FALSE)</f>
        <v>#N/A</v>
      </c>
      <c r="K81" s="36"/>
      <c r="L81" s="40" t="e">
        <f>VLOOKUP($K81,APOIO!$I:$J,2,FALSE)</f>
        <v>#N/A</v>
      </c>
      <c r="M81" s="37"/>
      <c r="N81" s="37"/>
      <c r="O81" s="37"/>
      <c r="P81" s="37"/>
      <c r="Q81" s="41"/>
      <c r="R81" s="36"/>
      <c r="S81" s="42"/>
      <c r="T81" s="43">
        <f t="shared" si="2"/>
        <v>0</v>
      </c>
      <c r="U81" s="36"/>
      <c r="V81" s="37"/>
      <c r="W81" s="94" t="e">
        <f>VLOOKUP($C$8,APOIO!$A:$F,5,FALSE)</f>
        <v>#N/A</v>
      </c>
    </row>
    <row r="82" spans="1:23" ht="15" x14ac:dyDescent="0.25">
      <c r="A82" s="36"/>
      <c r="B82" s="37" t="e">
        <f>VLOOKUP($A82,APOIO!$C:$D,2,FALSE)</f>
        <v>#N/A</v>
      </c>
      <c r="C82" s="36"/>
      <c r="D82" s="37" t="e">
        <f>VLOOKUP($C82,APOIO!$Z:$AC,2,FALSE)</f>
        <v>#N/A</v>
      </c>
      <c r="E82" s="37" t="e">
        <f>VLOOKUP($C82,APOIO!$Z:$AC,4,FALSE)</f>
        <v>#N/A</v>
      </c>
      <c r="F82" s="39"/>
      <c r="G82" s="40" t="e">
        <f>VLOOKUP($F82,APOIO!$W:$X,2,FALSE)</f>
        <v>#N/A</v>
      </c>
      <c r="H82" s="36"/>
      <c r="I82" s="40" t="e">
        <f>VLOOKUP($H82,APOIO!$AE:$AG,2,FALSE)</f>
        <v>#N/A</v>
      </c>
      <c r="J82" s="40" t="e">
        <f>VLOOKUP($H82,APOIO!$AE:$AG,3,FALSE)</f>
        <v>#N/A</v>
      </c>
      <c r="K82" s="36"/>
      <c r="L82" s="40" t="e">
        <f>VLOOKUP($K82,APOIO!$I:$J,2,FALSE)</f>
        <v>#N/A</v>
      </c>
      <c r="M82" s="37"/>
      <c r="N82" s="37"/>
      <c r="O82" s="37"/>
      <c r="P82" s="37"/>
      <c r="Q82" s="41"/>
      <c r="R82" s="36"/>
      <c r="S82" s="42"/>
      <c r="T82" s="43">
        <f t="shared" si="2"/>
        <v>0</v>
      </c>
      <c r="U82" s="36"/>
      <c r="V82" s="37"/>
      <c r="W82" s="94" t="e">
        <f>VLOOKUP($C$8,APOIO!$A:$F,5,FALSE)</f>
        <v>#N/A</v>
      </c>
    </row>
    <row r="83" spans="1:23" ht="15" x14ac:dyDescent="0.25">
      <c r="A83" s="36"/>
      <c r="B83" s="37" t="e">
        <f>VLOOKUP($A83,APOIO!$C:$D,2,FALSE)</f>
        <v>#N/A</v>
      </c>
      <c r="C83" s="36"/>
      <c r="D83" s="37" t="e">
        <f>VLOOKUP($C83,APOIO!$Z:$AC,2,FALSE)</f>
        <v>#N/A</v>
      </c>
      <c r="E83" s="37" t="e">
        <f>VLOOKUP($C83,APOIO!$Z:$AC,4,FALSE)</f>
        <v>#N/A</v>
      </c>
      <c r="F83" s="39"/>
      <c r="G83" s="40" t="e">
        <f>VLOOKUP($F83,APOIO!$W:$X,2,FALSE)</f>
        <v>#N/A</v>
      </c>
      <c r="H83" s="36"/>
      <c r="I83" s="40" t="e">
        <f>VLOOKUP($H83,APOIO!$AE:$AG,2,FALSE)</f>
        <v>#N/A</v>
      </c>
      <c r="J83" s="40" t="e">
        <f>VLOOKUP($H83,APOIO!$AE:$AG,3,FALSE)</f>
        <v>#N/A</v>
      </c>
      <c r="K83" s="36"/>
      <c r="L83" s="40" t="e">
        <f>VLOOKUP($K83,APOIO!$I:$J,2,FALSE)</f>
        <v>#N/A</v>
      </c>
      <c r="M83" s="37"/>
      <c r="N83" s="37"/>
      <c r="O83" s="37"/>
      <c r="P83" s="37"/>
      <c r="Q83" s="41"/>
      <c r="R83" s="36"/>
      <c r="S83" s="42"/>
      <c r="T83" s="43">
        <f t="shared" si="2"/>
        <v>0</v>
      </c>
      <c r="U83" s="36"/>
      <c r="V83" s="37"/>
      <c r="W83" s="94" t="e">
        <f>VLOOKUP($C$8,APOIO!$A:$F,5,FALSE)</f>
        <v>#N/A</v>
      </c>
    </row>
    <row r="84" spans="1:23" ht="15" x14ac:dyDescent="0.25">
      <c r="A84" s="36"/>
      <c r="B84" s="37" t="e">
        <f>VLOOKUP($A84,APOIO!$C:$D,2,FALSE)</f>
        <v>#N/A</v>
      </c>
      <c r="C84" s="36"/>
      <c r="D84" s="37" t="e">
        <f>VLOOKUP($C84,APOIO!$Z:$AC,2,FALSE)</f>
        <v>#N/A</v>
      </c>
      <c r="E84" s="37" t="e">
        <f>VLOOKUP($C84,APOIO!$Z:$AC,4,FALSE)</f>
        <v>#N/A</v>
      </c>
      <c r="F84" s="39"/>
      <c r="G84" s="40" t="e">
        <f>VLOOKUP($F84,APOIO!$W:$X,2,FALSE)</f>
        <v>#N/A</v>
      </c>
      <c r="H84" s="36"/>
      <c r="I84" s="40" t="e">
        <f>VLOOKUP($H84,APOIO!$AE:$AG,2,FALSE)</f>
        <v>#N/A</v>
      </c>
      <c r="J84" s="40" t="e">
        <f>VLOOKUP($H84,APOIO!$AE:$AG,3,FALSE)</f>
        <v>#N/A</v>
      </c>
      <c r="K84" s="36"/>
      <c r="L84" s="40" t="e">
        <f>VLOOKUP($K84,APOIO!$I:$J,2,FALSE)</f>
        <v>#N/A</v>
      </c>
      <c r="M84" s="37"/>
      <c r="N84" s="37"/>
      <c r="O84" s="37"/>
      <c r="P84" s="37"/>
      <c r="Q84" s="41"/>
      <c r="R84" s="36"/>
      <c r="S84" s="42"/>
      <c r="T84" s="43">
        <f t="shared" si="2"/>
        <v>0</v>
      </c>
      <c r="U84" s="36"/>
      <c r="V84" s="37"/>
      <c r="W84" s="94" t="e">
        <f>VLOOKUP($C$8,APOIO!$A:$F,5,FALSE)</f>
        <v>#N/A</v>
      </c>
    </row>
    <row r="85" spans="1:23" ht="15" x14ac:dyDescent="0.25">
      <c r="A85" s="36"/>
      <c r="B85" s="37" t="e">
        <f>VLOOKUP($A85,APOIO!$C:$D,2,FALSE)</f>
        <v>#N/A</v>
      </c>
      <c r="C85" s="36"/>
      <c r="D85" s="37" t="e">
        <f>VLOOKUP($C85,APOIO!$Z:$AC,2,FALSE)</f>
        <v>#N/A</v>
      </c>
      <c r="E85" s="37" t="e">
        <f>VLOOKUP($C85,APOIO!$Z:$AC,4,FALSE)</f>
        <v>#N/A</v>
      </c>
      <c r="F85" s="39"/>
      <c r="G85" s="40" t="e">
        <f>VLOOKUP($F85,APOIO!$W:$X,2,FALSE)</f>
        <v>#N/A</v>
      </c>
      <c r="H85" s="36"/>
      <c r="I85" s="40" t="e">
        <f>VLOOKUP($H85,APOIO!$AE:$AG,2,FALSE)</f>
        <v>#N/A</v>
      </c>
      <c r="J85" s="40" t="e">
        <f>VLOOKUP($H85,APOIO!$AE:$AG,3,FALSE)</f>
        <v>#N/A</v>
      </c>
      <c r="K85" s="36"/>
      <c r="L85" s="40" t="e">
        <f>VLOOKUP($K85,APOIO!$I:$J,2,FALSE)</f>
        <v>#N/A</v>
      </c>
      <c r="M85" s="37"/>
      <c r="N85" s="37"/>
      <c r="O85" s="37"/>
      <c r="P85" s="37"/>
      <c r="Q85" s="41"/>
      <c r="R85" s="36"/>
      <c r="S85" s="42"/>
      <c r="T85" s="43">
        <f t="shared" si="2"/>
        <v>0</v>
      </c>
      <c r="U85" s="36"/>
      <c r="V85" s="37"/>
      <c r="W85" s="94" t="e">
        <f>VLOOKUP($C$8,APOIO!$A:$F,5,FALSE)</f>
        <v>#N/A</v>
      </c>
    </row>
    <row r="86" spans="1:23" ht="15" x14ac:dyDescent="0.25">
      <c r="A86" s="36"/>
      <c r="B86" s="37" t="e">
        <f>VLOOKUP($A86,APOIO!$C:$D,2,FALSE)</f>
        <v>#N/A</v>
      </c>
      <c r="C86" s="36"/>
      <c r="D86" s="37" t="e">
        <f>VLOOKUP($C86,APOIO!$Z:$AC,2,FALSE)</f>
        <v>#N/A</v>
      </c>
      <c r="E86" s="37" t="e">
        <f>VLOOKUP($C86,APOIO!$Z:$AC,4,FALSE)</f>
        <v>#N/A</v>
      </c>
      <c r="F86" s="39"/>
      <c r="G86" s="40" t="e">
        <f>VLOOKUP($F86,APOIO!$W:$X,2,FALSE)</f>
        <v>#N/A</v>
      </c>
      <c r="H86" s="36"/>
      <c r="I86" s="40" t="e">
        <f>VLOOKUP($H86,APOIO!$AE:$AG,2,FALSE)</f>
        <v>#N/A</v>
      </c>
      <c r="J86" s="40" t="e">
        <f>VLOOKUP($H86,APOIO!$AE:$AG,3,FALSE)</f>
        <v>#N/A</v>
      </c>
      <c r="K86" s="36"/>
      <c r="L86" s="40" t="e">
        <f>VLOOKUP($K86,APOIO!$I:$J,2,FALSE)</f>
        <v>#N/A</v>
      </c>
      <c r="M86" s="37"/>
      <c r="N86" s="37"/>
      <c r="O86" s="37"/>
      <c r="P86" s="37"/>
      <c r="Q86" s="41"/>
      <c r="R86" s="36"/>
      <c r="S86" s="42"/>
      <c r="T86" s="43">
        <f t="shared" si="2"/>
        <v>0</v>
      </c>
      <c r="U86" s="36"/>
      <c r="V86" s="37"/>
      <c r="W86" s="94" t="e">
        <f>VLOOKUP($C$8,APOIO!$A:$F,5,FALSE)</f>
        <v>#N/A</v>
      </c>
    </row>
    <row r="87" spans="1:23" ht="15" x14ac:dyDescent="0.25">
      <c r="A87" s="36"/>
      <c r="B87" s="37" t="e">
        <f>VLOOKUP($A87,APOIO!$C:$D,2,FALSE)</f>
        <v>#N/A</v>
      </c>
      <c r="C87" s="36"/>
      <c r="D87" s="37" t="e">
        <f>VLOOKUP($C87,APOIO!$Z:$AC,2,FALSE)</f>
        <v>#N/A</v>
      </c>
      <c r="E87" s="37" t="e">
        <f>VLOOKUP($C87,APOIO!$Z:$AC,4,FALSE)</f>
        <v>#N/A</v>
      </c>
      <c r="F87" s="39"/>
      <c r="G87" s="40" t="e">
        <f>VLOOKUP($F87,APOIO!$W:$X,2,FALSE)</f>
        <v>#N/A</v>
      </c>
      <c r="H87" s="36"/>
      <c r="I87" s="40" t="e">
        <f>VLOOKUP($H87,APOIO!$AE:$AG,2,FALSE)</f>
        <v>#N/A</v>
      </c>
      <c r="J87" s="40" t="e">
        <f>VLOOKUP($H87,APOIO!$AE:$AG,3,FALSE)</f>
        <v>#N/A</v>
      </c>
      <c r="K87" s="36"/>
      <c r="L87" s="40" t="e">
        <f>VLOOKUP($K87,APOIO!$I:$J,2,FALSE)</f>
        <v>#N/A</v>
      </c>
      <c r="M87" s="37"/>
      <c r="N87" s="37"/>
      <c r="O87" s="37"/>
      <c r="P87" s="37"/>
      <c r="Q87" s="41"/>
      <c r="R87" s="36"/>
      <c r="S87" s="42"/>
      <c r="T87" s="43">
        <f t="shared" si="2"/>
        <v>0</v>
      </c>
      <c r="U87" s="36"/>
      <c r="V87" s="37"/>
      <c r="W87" s="94" t="e">
        <f>VLOOKUP($C$8,APOIO!$A:$F,5,FALSE)</f>
        <v>#N/A</v>
      </c>
    </row>
    <row r="88" spans="1:23" ht="15" x14ac:dyDescent="0.25">
      <c r="A88" s="36"/>
      <c r="B88" s="37" t="e">
        <f>VLOOKUP($A88,APOIO!$C:$D,2,FALSE)</f>
        <v>#N/A</v>
      </c>
      <c r="C88" s="36"/>
      <c r="D88" s="37" t="e">
        <f>VLOOKUP($C88,APOIO!$Z:$AC,2,FALSE)</f>
        <v>#N/A</v>
      </c>
      <c r="E88" s="37" t="e">
        <f>VLOOKUP($C88,APOIO!$Z:$AC,4,FALSE)</f>
        <v>#N/A</v>
      </c>
      <c r="F88" s="39"/>
      <c r="G88" s="40" t="e">
        <f>VLOOKUP($F88,APOIO!$W:$X,2,FALSE)</f>
        <v>#N/A</v>
      </c>
      <c r="H88" s="36"/>
      <c r="I88" s="40" t="e">
        <f>VLOOKUP($H88,APOIO!$AE:$AG,2,FALSE)</f>
        <v>#N/A</v>
      </c>
      <c r="J88" s="40" t="e">
        <f>VLOOKUP($H88,APOIO!$AE:$AG,3,FALSE)</f>
        <v>#N/A</v>
      </c>
      <c r="K88" s="36"/>
      <c r="L88" s="40" t="e">
        <f>VLOOKUP($K88,APOIO!$I:$J,2,FALSE)</f>
        <v>#N/A</v>
      </c>
      <c r="M88" s="37"/>
      <c r="N88" s="37"/>
      <c r="O88" s="37"/>
      <c r="P88" s="37"/>
      <c r="Q88" s="41"/>
      <c r="R88" s="36"/>
      <c r="S88" s="42"/>
      <c r="T88" s="43">
        <f t="shared" si="2"/>
        <v>0</v>
      </c>
      <c r="U88" s="36"/>
      <c r="V88" s="37"/>
      <c r="W88" s="94" t="e">
        <f>VLOOKUP($C$8,APOIO!$A:$F,5,FALSE)</f>
        <v>#N/A</v>
      </c>
    </row>
    <row r="89" spans="1:23" ht="15" x14ac:dyDescent="0.25">
      <c r="A89" s="36"/>
      <c r="B89" s="37" t="e">
        <f>VLOOKUP($A89,APOIO!$C:$D,2,FALSE)</f>
        <v>#N/A</v>
      </c>
      <c r="C89" s="36"/>
      <c r="D89" s="37" t="e">
        <f>VLOOKUP($C89,APOIO!$Z:$AC,2,FALSE)</f>
        <v>#N/A</v>
      </c>
      <c r="E89" s="37" t="e">
        <f>VLOOKUP($C89,APOIO!$Z:$AC,4,FALSE)</f>
        <v>#N/A</v>
      </c>
      <c r="F89" s="39"/>
      <c r="G89" s="40" t="e">
        <f>VLOOKUP($F89,APOIO!$W:$X,2,FALSE)</f>
        <v>#N/A</v>
      </c>
      <c r="H89" s="36"/>
      <c r="I89" s="40" t="e">
        <f>VLOOKUP($H89,APOIO!$AE:$AG,2,FALSE)</f>
        <v>#N/A</v>
      </c>
      <c r="J89" s="40" t="e">
        <f>VLOOKUP($H89,APOIO!$AE:$AG,3,FALSE)</f>
        <v>#N/A</v>
      </c>
      <c r="K89" s="36"/>
      <c r="L89" s="40" t="e">
        <f>VLOOKUP($K89,APOIO!$I:$J,2,FALSE)</f>
        <v>#N/A</v>
      </c>
      <c r="M89" s="37"/>
      <c r="N89" s="37"/>
      <c r="O89" s="37"/>
      <c r="P89" s="37"/>
      <c r="Q89" s="41"/>
      <c r="R89" s="36"/>
      <c r="S89" s="42"/>
      <c r="T89" s="43">
        <f t="shared" si="2"/>
        <v>0</v>
      </c>
      <c r="U89" s="36"/>
      <c r="V89" s="37"/>
      <c r="W89" s="94" t="e">
        <f>VLOOKUP($C$8,APOIO!$A:$F,5,FALSE)</f>
        <v>#N/A</v>
      </c>
    </row>
    <row r="90" spans="1:23" ht="15" x14ac:dyDescent="0.25">
      <c r="A90" s="36"/>
      <c r="B90" s="37" t="e">
        <f>VLOOKUP($A90,APOIO!$C:$D,2,FALSE)</f>
        <v>#N/A</v>
      </c>
      <c r="C90" s="36"/>
      <c r="D90" s="37" t="e">
        <f>VLOOKUP($C90,APOIO!$Z:$AC,2,FALSE)</f>
        <v>#N/A</v>
      </c>
      <c r="E90" s="37" t="e">
        <f>VLOOKUP($C90,APOIO!$Z:$AC,4,FALSE)</f>
        <v>#N/A</v>
      </c>
      <c r="F90" s="39"/>
      <c r="G90" s="40" t="e">
        <f>VLOOKUP($F90,APOIO!$W:$X,2,FALSE)</f>
        <v>#N/A</v>
      </c>
      <c r="H90" s="36"/>
      <c r="I90" s="40" t="e">
        <f>VLOOKUP($H90,APOIO!$AE:$AG,2,FALSE)</f>
        <v>#N/A</v>
      </c>
      <c r="J90" s="40" t="e">
        <f>VLOOKUP($H90,APOIO!$AE:$AG,3,FALSE)</f>
        <v>#N/A</v>
      </c>
      <c r="K90" s="36"/>
      <c r="L90" s="40" t="e">
        <f>VLOOKUP($K90,APOIO!$I:$J,2,FALSE)</f>
        <v>#N/A</v>
      </c>
      <c r="M90" s="37"/>
      <c r="N90" s="37"/>
      <c r="O90" s="37"/>
      <c r="P90" s="37"/>
      <c r="Q90" s="41"/>
      <c r="R90" s="36"/>
      <c r="S90" s="42"/>
      <c r="T90" s="43">
        <f t="shared" si="2"/>
        <v>0</v>
      </c>
      <c r="U90" s="36"/>
      <c r="V90" s="37"/>
      <c r="W90" s="94" t="e">
        <f>VLOOKUP($C$8,APOIO!$A:$F,5,FALSE)</f>
        <v>#N/A</v>
      </c>
    </row>
    <row r="91" spans="1:23" ht="15" x14ac:dyDescent="0.25">
      <c r="A91" s="36"/>
      <c r="B91" s="37" t="e">
        <f>VLOOKUP($A91,APOIO!$C:$D,2,FALSE)</f>
        <v>#N/A</v>
      </c>
      <c r="C91" s="36"/>
      <c r="D91" s="37" t="e">
        <f>VLOOKUP($C91,APOIO!$Z:$AC,2,FALSE)</f>
        <v>#N/A</v>
      </c>
      <c r="E91" s="37" t="e">
        <f>VLOOKUP($C91,APOIO!$Z:$AC,4,FALSE)</f>
        <v>#N/A</v>
      </c>
      <c r="F91" s="39"/>
      <c r="G91" s="40" t="e">
        <f>VLOOKUP($F91,APOIO!$W:$X,2,FALSE)</f>
        <v>#N/A</v>
      </c>
      <c r="H91" s="36"/>
      <c r="I91" s="40" t="e">
        <f>VLOOKUP($H91,APOIO!$AE:$AG,2,FALSE)</f>
        <v>#N/A</v>
      </c>
      <c r="J91" s="40" t="e">
        <f>VLOOKUP($H91,APOIO!$AE:$AG,3,FALSE)</f>
        <v>#N/A</v>
      </c>
      <c r="K91" s="36"/>
      <c r="L91" s="40" t="e">
        <f>VLOOKUP($K91,APOIO!$I:$J,2,FALSE)</f>
        <v>#N/A</v>
      </c>
      <c r="M91" s="37"/>
      <c r="N91" s="37"/>
      <c r="O91" s="37"/>
      <c r="P91" s="37"/>
      <c r="Q91" s="41"/>
      <c r="R91" s="36"/>
      <c r="S91" s="42"/>
      <c r="T91" s="43">
        <f t="shared" si="2"/>
        <v>0</v>
      </c>
      <c r="U91" s="36"/>
      <c r="V91" s="37"/>
      <c r="W91" s="94" t="e">
        <f>VLOOKUP($C$8,APOIO!$A:$F,5,FALSE)</f>
        <v>#N/A</v>
      </c>
    </row>
    <row r="92" spans="1:23" ht="15" x14ac:dyDescent="0.25">
      <c r="A92" s="36"/>
      <c r="B92" s="37" t="e">
        <f>VLOOKUP($A92,APOIO!$C:$D,2,FALSE)</f>
        <v>#N/A</v>
      </c>
      <c r="C92" s="36"/>
      <c r="D92" s="37" t="e">
        <f>VLOOKUP($C92,APOIO!$Z:$AC,2,FALSE)</f>
        <v>#N/A</v>
      </c>
      <c r="E92" s="37" t="e">
        <f>VLOOKUP($C92,APOIO!$Z:$AC,4,FALSE)</f>
        <v>#N/A</v>
      </c>
      <c r="F92" s="39"/>
      <c r="G92" s="40" t="e">
        <f>VLOOKUP($F92,APOIO!$W:$X,2,FALSE)</f>
        <v>#N/A</v>
      </c>
      <c r="H92" s="36"/>
      <c r="I92" s="40" t="e">
        <f>VLOOKUP($H92,APOIO!$AE:$AG,2,FALSE)</f>
        <v>#N/A</v>
      </c>
      <c r="J92" s="40" t="e">
        <f>VLOOKUP($H92,APOIO!$AE:$AG,3,FALSE)</f>
        <v>#N/A</v>
      </c>
      <c r="K92" s="36"/>
      <c r="L92" s="40" t="e">
        <f>VLOOKUP($K92,APOIO!$I:$J,2,FALSE)</f>
        <v>#N/A</v>
      </c>
      <c r="M92" s="37"/>
      <c r="N92" s="37"/>
      <c r="O92" s="37"/>
      <c r="P92" s="37"/>
      <c r="Q92" s="41"/>
      <c r="R92" s="36"/>
      <c r="S92" s="42"/>
      <c r="T92" s="43">
        <f t="shared" si="2"/>
        <v>0</v>
      </c>
      <c r="U92" s="36"/>
      <c r="V92" s="37"/>
      <c r="W92" s="94" t="e">
        <f>VLOOKUP($C$8,APOIO!$A:$F,5,FALSE)</f>
        <v>#N/A</v>
      </c>
    </row>
    <row r="93" spans="1:23" ht="15" x14ac:dyDescent="0.25">
      <c r="A93" s="36"/>
      <c r="B93" s="37" t="e">
        <f>VLOOKUP($A93,APOIO!$C:$D,2,FALSE)</f>
        <v>#N/A</v>
      </c>
      <c r="C93" s="36"/>
      <c r="D93" s="37" t="e">
        <f>VLOOKUP($C93,APOIO!$Z:$AC,2,FALSE)</f>
        <v>#N/A</v>
      </c>
      <c r="E93" s="37" t="e">
        <f>VLOOKUP($C93,APOIO!$Z:$AC,4,FALSE)</f>
        <v>#N/A</v>
      </c>
      <c r="F93" s="39"/>
      <c r="G93" s="40" t="e">
        <f>VLOOKUP($F93,APOIO!$W:$X,2,FALSE)</f>
        <v>#N/A</v>
      </c>
      <c r="H93" s="36"/>
      <c r="I93" s="40" t="e">
        <f>VLOOKUP($H93,APOIO!$AE:$AG,2,FALSE)</f>
        <v>#N/A</v>
      </c>
      <c r="J93" s="40" t="e">
        <f>VLOOKUP($H93,APOIO!$AE:$AG,3,FALSE)</f>
        <v>#N/A</v>
      </c>
      <c r="K93" s="36"/>
      <c r="L93" s="40" t="e">
        <f>VLOOKUP($K93,APOIO!$I:$J,2,FALSE)</f>
        <v>#N/A</v>
      </c>
      <c r="M93" s="37"/>
      <c r="N93" s="37"/>
      <c r="O93" s="37"/>
      <c r="P93" s="37"/>
      <c r="Q93" s="41"/>
      <c r="R93" s="36"/>
      <c r="S93" s="42"/>
      <c r="T93" s="43">
        <f t="shared" si="2"/>
        <v>0</v>
      </c>
      <c r="U93" s="36"/>
      <c r="V93" s="37"/>
      <c r="W93" s="94" t="e">
        <f>VLOOKUP($C$8,APOIO!$A:$F,5,FALSE)</f>
        <v>#N/A</v>
      </c>
    </row>
    <row r="94" spans="1:23" ht="15" x14ac:dyDescent="0.25">
      <c r="A94" s="36"/>
      <c r="B94" s="37" t="e">
        <f>VLOOKUP($A94,APOIO!$C:$D,2,FALSE)</f>
        <v>#N/A</v>
      </c>
      <c r="C94" s="36"/>
      <c r="D94" s="37" t="e">
        <f>VLOOKUP($C94,APOIO!$Z:$AC,2,FALSE)</f>
        <v>#N/A</v>
      </c>
      <c r="E94" s="37" t="e">
        <f>VLOOKUP($C94,APOIO!$Z:$AC,4,FALSE)</f>
        <v>#N/A</v>
      </c>
      <c r="F94" s="39"/>
      <c r="G94" s="40" t="e">
        <f>VLOOKUP($F94,APOIO!$W:$X,2,FALSE)</f>
        <v>#N/A</v>
      </c>
      <c r="H94" s="36"/>
      <c r="I94" s="40" t="e">
        <f>VLOOKUP($H94,APOIO!$AE:$AG,2,FALSE)</f>
        <v>#N/A</v>
      </c>
      <c r="J94" s="40" t="e">
        <f>VLOOKUP($H94,APOIO!$AE:$AG,3,FALSE)</f>
        <v>#N/A</v>
      </c>
      <c r="K94" s="36"/>
      <c r="L94" s="40" t="e">
        <f>VLOOKUP($K94,APOIO!$I:$J,2,FALSE)</f>
        <v>#N/A</v>
      </c>
      <c r="M94" s="37"/>
      <c r="N94" s="37"/>
      <c r="O94" s="37"/>
      <c r="P94" s="37"/>
      <c r="Q94" s="41"/>
      <c r="R94" s="36"/>
      <c r="S94" s="42"/>
      <c r="T94" s="43">
        <f t="shared" si="2"/>
        <v>0</v>
      </c>
      <c r="U94" s="36"/>
      <c r="V94" s="37"/>
      <c r="W94" s="94" t="e">
        <f>VLOOKUP($C$8,APOIO!$A:$F,5,FALSE)</f>
        <v>#N/A</v>
      </c>
    </row>
    <row r="95" spans="1:23" ht="15" x14ac:dyDescent="0.25">
      <c r="A95" s="36"/>
      <c r="B95" s="37" t="e">
        <f>VLOOKUP($A95,APOIO!$C:$D,2,FALSE)</f>
        <v>#N/A</v>
      </c>
      <c r="C95" s="36"/>
      <c r="D95" s="37" t="e">
        <f>VLOOKUP($C95,APOIO!$Z:$AC,2,FALSE)</f>
        <v>#N/A</v>
      </c>
      <c r="E95" s="37" t="e">
        <f>VLOOKUP($C95,APOIO!$Z:$AC,4,FALSE)</f>
        <v>#N/A</v>
      </c>
      <c r="F95" s="39"/>
      <c r="G95" s="40" t="e">
        <f>VLOOKUP($F95,APOIO!$W:$X,2,FALSE)</f>
        <v>#N/A</v>
      </c>
      <c r="H95" s="36"/>
      <c r="I95" s="40" t="e">
        <f>VLOOKUP($H95,APOIO!$AE:$AG,2,FALSE)</f>
        <v>#N/A</v>
      </c>
      <c r="J95" s="40" t="e">
        <f>VLOOKUP($H95,APOIO!$AE:$AG,3,FALSE)</f>
        <v>#N/A</v>
      </c>
      <c r="K95" s="36"/>
      <c r="L95" s="40" t="e">
        <f>VLOOKUP($K95,APOIO!$I:$J,2,FALSE)</f>
        <v>#N/A</v>
      </c>
      <c r="M95" s="37"/>
      <c r="N95" s="37"/>
      <c r="O95" s="37"/>
      <c r="P95" s="37"/>
      <c r="Q95" s="41"/>
      <c r="R95" s="36"/>
      <c r="S95" s="42"/>
      <c r="T95" s="43">
        <f t="shared" si="2"/>
        <v>0</v>
      </c>
      <c r="U95" s="36"/>
      <c r="V95" s="37"/>
      <c r="W95" s="94" t="e">
        <f>VLOOKUP($C$8,APOIO!$A:$F,5,FALSE)</f>
        <v>#N/A</v>
      </c>
    </row>
    <row r="96" spans="1:23" ht="15" x14ac:dyDescent="0.25">
      <c r="A96" s="36"/>
      <c r="B96" s="37" t="e">
        <f>VLOOKUP($A96,APOIO!$C:$D,2,FALSE)</f>
        <v>#N/A</v>
      </c>
      <c r="C96" s="36"/>
      <c r="D96" s="37" t="e">
        <f>VLOOKUP($C96,APOIO!$Z:$AC,2,FALSE)</f>
        <v>#N/A</v>
      </c>
      <c r="E96" s="37" t="e">
        <f>VLOOKUP($C96,APOIO!$Z:$AC,4,FALSE)</f>
        <v>#N/A</v>
      </c>
      <c r="F96" s="39"/>
      <c r="G96" s="40" t="e">
        <f>VLOOKUP($F96,APOIO!$W:$X,2,FALSE)</f>
        <v>#N/A</v>
      </c>
      <c r="H96" s="36"/>
      <c r="I96" s="40" t="e">
        <f>VLOOKUP($H96,APOIO!$AE:$AG,2,FALSE)</f>
        <v>#N/A</v>
      </c>
      <c r="J96" s="40" t="e">
        <f>VLOOKUP($H96,APOIO!$AE:$AG,3,FALSE)</f>
        <v>#N/A</v>
      </c>
      <c r="K96" s="36"/>
      <c r="L96" s="40" t="e">
        <f>VLOOKUP($K96,APOIO!$I:$J,2,FALSE)</f>
        <v>#N/A</v>
      </c>
      <c r="M96" s="37"/>
      <c r="N96" s="37"/>
      <c r="O96" s="37"/>
      <c r="P96" s="37"/>
      <c r="Q96" s="41"/>
      <c r="R96" s="36"/>
      <c r="S96" s="42"/>
      <c r="T96" s="43">
        <f t="shared" si="2"/>
        <v>0</v>
      </c>
      <c r="U96" s="36"/>
      <c r="V96" s="37"/>
      <c r="W96" s="94" t="e">
        <f>VLOOKUP($C$8,APOIO!$A:$F,5,FALSE)</f>
        <v>#N/A</v>
      </c>
    </row>
    <row r="97" spans="1:23" ht="15" x14ac:dyDescent="0.25">
      <c r="A97" s="36"/>
      <c r="B97" s="37" t="e">
        <f>VLOOKUP($A97,APOIO!$C:$D,2,FALSE)</f>
        <v>#N/A</v>
      </c>
      <c r="C97" s="36"/>
      <c r="D97" s="37" t="e">
        <f>VLOOKUP($C97,APOIO!$Z:$AC,2,FALSE)</f>
        <v>#N/A</v>
      </c>
      <c r="E97" s="37" t="e">
        <f>VLOOKUP($C97,APOIO!$Z:$AC,4,FALSE)</f>
        <v>#N/A</v>
      </c>
      <c r="F97" s="39"/>
      <c r="G97" s="40" t="e">
        <f>VLOOKUP($F97,APOIO!$W:$X,2,FALSE)</f>
        <v>#N/A</v>
      </c>
      <c r="H97" s="36"/>
      <c r="I97" s="40" t="e">
        <f>VLOOKUP($H97,APOIO!$AE:$AG,2,FALSE)</f>
        <v>#N/A</v>
      </c>
      <c r="J97" s="40" t="e">
        <f>VLOOKUP($H97,APOIO!$AE:$AG,3,FALSE)</f>
        <v>#N/A</v>
      </c>
      <c r="K97" s="36"/>
      <c r="L97" s="40" t="e">
        <f>VLOOKUP($K97,APOIO!$I:$J,2,FALSE)</f>
        <v>#N/A</v>
      </c>
      <c r="M97" s="37"/>
      <c r="N97" s="37"/>
      <c r="O97" s="37"/>
      <c r="P97" s="37"/>
      <c r="Q97" s="41"/>
      <c r="R97" s="36"/>
      <c r="S97" s="42"/>
      <c r="T97" s="43">
        <f t="shared" si="2"/>
        <v>0</v>
      </c>
      <c r="U97" s="36"/>
      <c r="V97" s="37"/>
      <c r="W97" s="94" t="e">
        <f>VLOOKUP($C$8,APOIO!$A:$F,5,FALSE)</f>
        <v>#N/A</v>
      </c>
    </row>
    <row r="98" spans="1:23" ht="15" x14ac:dyDescent="0.25">
      <c r="A98" s="36"/>
      <c r="B98" s="37" t="e">
        <f>VLOOKUP($A98,APOIO!$C:$D,2,FALSE)</f>
        <v>#N/A</v>
      </c>
      <c r="C98" s="36"/>
      <c r="D98" s="37" t="e">
        <f>VLOOKUP($C98,APOIO!$Z:$AC,2,FALSE)</f>
        <v>#N/A</v>
      </c>
      <c r="E98" s="37" t="e">
        <f>VLOOKUP($C98,APOIO!$Z:$AC,4,FALSE)</f>
        <v>#N/A</v>
      </c>
      <c r="F98" s="39"/>
      <c r="G98" s="40" t="e">
        <f>VLOOKUP($F98,APOIO!$W:$X,2,FALSE)</f>
        <v>#N/A</v>
      </c>
      <c r="H98" s="36"/>
      <c r="I98" s="40" t="e">
        <f>VLOOKUP($H98,APOIO!$AE:$AG,2,FALSE)</f>
        <v>#N/A</v>
      </c>
      <c r="J98" s="40" t="e">
        <f>VLOOKUP($H98,APOIO!$AE:$AG,3,FALSE)</f>
        <v>#N/A</v>
      </c>
      <c r="K98" s="36"/>
      <c r="L98" s="40" t="e">
        <f>VLOOKUP($K98,APOIO!$I:$J,2,FALSE)</f>
        <v>#N/A</v>
      </c>
      <c r="M98" s="37"/>
      <c r="N98" s="37"/>
      <c r="O98" s="37"/>
      <c r="P98" s="37"/>
      <c r="Q98" s="41"/>
      <c r="R98" s="36"/>
      <c r="S98" s="42"/>
      <c r="T98" s="43">
        <f t="shared" si="2"/>
        <v>0</v>
      </c>
      <c r="U98" s="36"/>
      <c r="V98" s="37"/>
      <c r="W98" s="94" t="e">
        <f>VLOOKUP($C$8,APOIO!$A:$F,5,FALSE)</f>
        <v>#N/A</v>
      </c>
    </row>
    <row r="99" spans="1:23" ht="15" x14ac:dyDescent="0.25">
      <c r="A99" s="36"/>
      <c r="B99" s="37" t="e">
        <f>VLOOKUP($A99,APOIO!$C:$D,2,FALSE)</f>
        <v>#N/A</v>
      </c>
      <c r="C99" s="36"/>
      <c r="D99" s="37" t="e">
        <f>VLOOKUP($C99,APOIO!$Z:$AC,2,FALSE)</f>
        <v>#N/A</v>
      </c>
      <c r="E99" s="37" t="e">
        <f>VLOOKUP($C99,APOIO!$Z:$AC,4,FALSE)</f>
        <v>#N/A</v>
      </c>
      <c r="F99" s="39"/>
      <c r="G99" s="40" t="e">
        <f>VLOOKUP($F99,APOIO!$W:$X,2,FALSE)</f>
        <v>#N/A</v>
      </c>
      <c r="H99" s="36"/>
      <c r="I99" s="40" t="e">
        <f>VLOOKUP($H99,APOIO!$AE:$AG,2,FALSE)</f>
        <v>#N/A</v>
      </c>
      <c r="J99" s="40" t="e">
        <f>VLOOKUP($H99,APOIO!$AE:$AG,3,FALSE)</f>
        <v>#N/A</v>
      </c>
      <c r="K99" s="36"/>
      <c r="L99" s="40" t="e">
        <f>VLOOKUP($K99,APOIO!$I:$J,2,FALSE)</f>
        <v>#N/A</v>
      </c>
      <c r="M99" s="37"/>
      <c r="N99" s="37"/>
      <c r="O99" s="37"/>
      <c r="P99" s="37"/>
      <c r="Q99" s="41"/>
      <c r="R99" s="36"/>
      <c r="S99" s="42"/>
      <c r="T99" s="43">
        <f t="shared" si="2"/>
        <v>0</v>
      </c>
      <c r="U99" s="36"/>
      <c r="V99" s="37"/>
      <c r="W99" s="94" t="e">
        <f>VLOOKUP($C$8,APOIO!$A:$F,5,FALSE)</f>
        <v>#N/A</v>
      </c>
    </row>
    <row r="100" spans="1:23" ht="15" x14ac:dyDescent="0.25">
      <c r="A100" s="36"/>
      <c r="B100" s="37" t="e">
        <f>VLOOKUP($A100,APOIO!$C:$D,2,FALSE)</f>
        <v>#N/A</v>
      </c>
      <c r="C100" s="36"/>
      <c r="D100" s="37" t="e">
        <f>VLOOKUP($C100,APOIO!$Z:$AC,2,FALSE)</f>
        <v>#N/A</v>
      </c>
      <c r="E100" s="37" t="e">
        <f>VLOOKUP($C100,APOIO!$Z:$AC,4,FALSE)</f>
        <v>#N/A</v>
      </c>
      <c r="F100" s="39"/>
      <c r="G100" s="40" t="e">
        <f>VLOOKUP($F100,APOIO!$W:$X,2,FALSE)</f>
        <v>#N/A</v>
      </c>
      <c r="H100" s="36"/>
      <c r="I100" s="40" t="e">
        <f>VLOOKUP($H100,APOIO!$AE:$AG,2,FALSE)</f>
        <v>#N/A</v>
      </c>
      <c r="J100" s="40" t="e">
        <f>VLOOKUP($H100,APOIO!$AE:$AG,3,FALSE)</f>
        <v>#N/A</v>
      </c>
      <c r="K100" s="36"/>
      <c r="L100" s="40" t="e">
        <f>VLOOKUP($K100,APOIO!$I:$J,2,FALSE)</f>
        <v>#N/A</v>
      </c>
      <c r="M100" s="37"/>
      <c r="N100" s="37"/>
      <c r="O100" s="37"/>
      <c r="P100" s="37"/>
      <c r="Q100" s="41"/>
      <c r="R100" s="36"/>
      <c r="S100" s="42"/>
      <c r="T100" s="43">
        <f t="shared" si="2"/>
        <v>0</v>
      </c>
      <c r="U100" s="36"/>
      <c r="V100" s="37"/>
      <c r="W100" s="94" t="e">
        <f>VLOOKUP($C$8,APOIO!$A:$F,5,FALSE)</f>
        <v>#N/A</v>
      </c>
    </row>
    <row r="101" spans="1:23" ht="15" x14ac:dyDescent="0.25">
      <c r="A101" s="36"/>
      <c r="B101" s="37" t="e">
        <f>VLOOKUP($A101,APOIO!$C:$D,2,FALSE)</f>
        <v>#N/A</v>
      </c>
      <c r="C101" s="36"/>
      <c r="D101" s="37" t="e">
        <f>VLOOKUP($C101,APOIO!$Z:$AC,2,FALSE)</f>
        <v>#N/A</v>
      </c>
      <c r="E101" s="37" t="e">
        <f>VLOOKUP($C101,APOIO!$Z:$AC,4,FALSE)</f>
        <v>#N/A</v>
      </c>
      <c r="F101" s="39"/>
      <c r="G101" s="40" t="e">
        <f>VLOOKUP($F101,APOIO!$W:$X,2,FALSE)</f>
        <v>#N/A</v>
      </c>
      <c r="H101" s="36"/>
      <c r="I101" s="40" t="e">
        <f>VLOOKUP($H101,APOIO!$AE:$AG,2,FALSE)</f>
        <v>#N/A</v>
      </c>
      <c r="J101" s="40" t="e">
        <f>VLOOKUP($H101,APOIO!$AE:$AG,3,FALSE)</f>
        <v>#N/A</v>
      </c>
      <c r="K101" s="36"/>
      <c r="L101" s="40" t="e">
        <f>VLOOKUP($K101,APOIO!$I:$J,2,FALSE)</f>
        <v>#N/A</v>
      </c>
      <c r="M101" s="37"/>
      <c r="N101" s="37"/>
      <c r="O101" s="37"/>
      <c r="P101" s="37"/>
      <c r="Q101" s="41"/>
      <c r="R101" s="36"/>
      <c r="S101" s="42"/>
      <c r="T101" s="43">
        <f t="shared" si="2"/>
        <v>0</v>
      </c>
      <c r="U101" s="36"/>
      <c r="V101" s="37"/>
      <c r="W101" s="94" t="e">
        <f>VLOOKUP($C$8,APOIO!$A:$F,5,FALSE)</f>
        <v>#N/A</v>
      </c>
    </row>
    <row r="102" spans="1:23" ht="15" x14ac:dyDescent="0.25">
      <c r="A102" s="36"/>
      <c r="B102" s="37" t="e">
        <f>VLOOKUP($A102,APOIO!$C:$D,2,FALSE)</f>
        <v>#N/A</v>
      </c>
      <c r="C102" s="36"/>
      <c r="D102" s="37" t="e">
        <f>VLOOKUP($C102,APOIO!$Z:$AC,2,FALSE)</f>
        <v>#N/A</v>
      </c>
      <c r="E102" s="37" t="e">
        <f>VLOOKUP($C102,APOIO!$Z:$AC,4,FALSE)</f>
        <v>#N/A</v>
      </c>
      <c r="F102" s="39"/>
      <c r="G102" s="40" t="e">
        <f>VLOOKUP($F102,APOIO!$W:$X,2,FALSE)</f>
        <v>#N/A</v>
      </c>
      <c r="H102" s="36"/>
      <c r="I102" s="40" t="e">
        <f>VLOOKUP($H102,APOIO!$AE:$AG,2,FALSE)</f>
        <v>#N/A</v>
      </c>
      <c r="J102" s="40" t="e">
        <f>VLOOKUP($H102,APOIO!$AE:$AG,3,FALSE)</f>
        <v>#N/A</v>
      </c>
      <c r="K102" s="36"/>
      <c r="L102" s="40" t="e">
        <f>VLOOKUP($K102,APOIO!$I:$J,2,FALSE)</f>
        <v>#N/A</v>
      </c>
      <c r="M102" s="37"/>
      <c r="N102" s="37"/>
      <c r="O102" s="37"/>
      <c r="P102" s="37"/>
      <c r="Q102" s="41"/>
      <c r="R102" s="36"/>
      <c r="S102" s="42"/>
      <c r="T102" s="43">
        <f t="shared" si="2"/>
        <v>0</v>
      </c>
      <c r="U102" s="36"/>
      <c r="V102" s="37"/>
      <c r="W102" s="94" t="e">
        <f>VLOOKUP($C$8,APOIO!$A:$F,5,FALSE)</f>
        <v>#N/A</v>
      </c>
    </row>
    <row r="103" spans="1:23" ht="15" x14ac:dyDescent="0.25">
      <c r="A103" s="36"/>
      <c r="B103" s="37" t="e">
        <f>VLOOKUP($A103,APOIO!$C:$D,2,FALSE)</f>
        <v>#N/A</v>
      </c>
      <c r="C103" s="36"/>
      <c r="D103" s="37" t="e">
        <f>VLOOKUP($C103,APOIO!$Z:$AC,2,FALSE)</f>
        <v>#N/A</v>
      </c>
      <c r="E103" s="37" t="e">
        <f>VLOOKUP($C103,APOIO!$Z:$AC,4,FALSE)</f>
        <v>#N/A</v>
      </c>
      <c r="F103" s="39"/>
      <c r="G103" s="40" t="e">
        <f>VLOOKUP($F103,APOIO!$W:$X,2,FALSE)</f>
        <v>#N/A</v>
      </c>
      <c r="H103" s="36"/>
      <c r="I103" s="40" t="e">
        <f>VLOOKUP($H103,APOIO!$AE:$AG,2,FALSE)</f>
        <v>#N/A</v>
      </c>
      <c r="J103" s="40" t="e">
        <f>VLOOKUP($H103,APOIO!$AE:$AG,3,FALSE)</f>
        <v>#N/A</v>
      </c>
      <c r="K103" s="36"/>
      <c r="L103" s="40" t="e">
        <f>VLOOKUP($K103,APOIO!$I:$J,2,FALSE)</f>
        <v>#N/A</v>
      </c>
      <c r="M103" s="37"/>
      <c r="N103" s="37"/>
      <c r="O103" s="37"/>
      <c r="P103" s="37"/>
      <c r="Q103" s="41"/>
      <c r="R103" s="36"/>
      <c r="S103" s="42"/>
      <c r="T103" s="43">
        <f t="shared" si="2"/>
        <v>0</v>
      </c>
      <c r="U103" s="36"/>
      <c r="V103" s="37"/>
      <c r="W103" s="94" t="e">
        <f>VLOOKUP($C$8,APOIO!$A:$F,5,FALSE)</f>
        <v>#N/A</v>
      </c>
    </row>
    <row r="104" spans="1:23" ht="15" x14ac:dyDescent="0.25">
      <c r="A104" s="36"/>
      <c r="B104" s="37" t="e">
        <f>VLOOKUP($A104,APOIO!$C:$D,2,FALSE)</f>
        <v>#N/A</v>
      </c>
      <c r="C104" s="36"/>
      <c r="D104" s="37" t="e">
        <f>VLOOKUP($C104,APOIO!$Z:$AC,2,FALSE)</f>
        <v>#N/A</v>
      </c>
      <c r="E104" s="37" t="e">
        <f>VLOOKUP($C104,APOIO!$Z:$AC,4,FALSE)</f>
        <v>#N/A</v>
      </c>
      <c r="F104" s="39"/>
      <c r="G104" s="40" t="e">
        <f>VLOOKUP($F104,APOIO!$W:$X,2,FALSE)</f>
        <v>#N/A</v>
      </c>
      <c r="H104" s="36"/>
      <c r="I104" s="40" t="e">
        <f>VLOOKUP($H104,APOIO!$AE:$AG,2,FALSE)</f>
        <v>#N/A</v>
      </c>
      <c r="J104" s="40" t="e">
        <f>VLOOKUP($H104,APOIO!$AE:$AG,3,FALSE)</f>
        <v>#N/A</v>
      </c>
      <c r="K104" s="36"/>
      <c r="L104" s="40" t="e">
        <f>VLOOKUP($K104,APOIO!$I:$J,2,FALSE)</f>
        <v>#N/A</v>
      </c>
      <c r="M104" s="37"/>
      <c r="N104" s="37"/>
      <c r="O104" s="37"/>
      <c r="P104" s="37"/>
      <c r="Q104" s="41"/>
      <c r="R104" s="36"/>
      <c r="S104" s="42"/>
      <c r="T104" s="43">
        <f t="shared" si="2"/>
        <v>0</v>
      </c>
      <c r="U104" s="36"/>
      <c r="V104" s="37"/>
      <c r="W104" s="94" t="e">
        <f>VLOOKUP($C$8,APOIO!$A:$F,5,FALSE)</f>
        <v>#N/A</v>
      </c>
    </row>
    <row r="105" spans="1:23" ht="15" x14ac:dyDescent="0.25">
      <c r="A105" s="36"/>
      <c r="B105" s="37" t="e">
        <f>VLOOKUP($A105,APOIO!$C:$D,2,FALSE)</f>
        <v>#N/A</v>
      </c>
      <c r="C105" s="36"/>
      <c r="D105" s="37" t="e">
        <f>VLOOKUP($C105,APOIO!$Z:$AC,2,FALSE)</f>
        <v>#N/A</v>
      </c>
      <c r="E105" s="37" t="e">
        <f>VLOOKUP($C105,APOIO!$Z:$AC,4,FALSE)</f>
        <v>#N/A</v>
      </c>
      <c r="F105" s="39"/>
      <c r="G105" s="40" t="e">
        <f>VLOOKUP($F105,APOIO!$W:$X,2,FALSE)</f>
        <v>#N/A</v>
      </c>
      <c r="H105" s="36"/>
      <c r="I105" s="40" t="e">
        <f>VLOOKUP($H105,APOIO!$AE:$AG,2,FALSE)</f>
        <v>#N/A</v>
      </c>
      <c r="J105" s="40" t="e">
        <f>VLOOKUP($H105,APOIO!$AE:$AG,3,FALSE)</f>
        <v>#N/A</v>
      </c>
      <c r="K105" s="36"/>
      <c r="L105" s="40" t="e">
        <f>VLOOKUP($K105,APOIO!$I:$J,2,FALSE)</f>
        <v>#N/A</v>
      </c>
      <c r="M105" s="37"/>
      <c r="N105" s="37"/>
      <c r="O105" s="37"/>
      <c r="P105" s="37"/>
      <c r="Q105" s="41"/>
      <c r="R105" s="36"/>
      <c r="S105" s="42"/>
      <c r="T105" s="43">
        <f t="shared" si="2"/>
        <v>0</v>
      </c>
      <c r="U105" s="36"/>
      <c r="V105" s="37"/>
      <c r="W105" s="94" t="e">
        <f>VLOOKUP($C$8,APOIO!$A:$F,5,FALSE)</f>
        <v>#N/A</v>
      </c>
    </row>
    <row r="106" spans="1:23" ht="15" x14ac:dyDescent="0.25">
      <c r="A106" s="36"/>
      <c r="B106" s="37" t="e">
        <f>VLOOKUP($A106,APOIO!$C:$D,2,FALSE)</f>
        <v>#N/A</v>
      </c>
      <c r="C106" s="36"/>
      <c r="D106" s="37" t="e">
        <f>VLOOKUP($C106,APOIO!$Z:$AC,2,FALSE)</f>
        <v>#N/A</v>
      </c>
      <c r="E106" s="37" t="e">
        <f>VLOOKUP($C106,APOIO!$Z:$AC,4,FALSE)</f>
        <v>#N/A</v>
      </c>
      <c r="F106" s="39"/>
      <c r="G106" s="40" t="e">
        <f>VLOOKUP($F106,APOIO!$W:$X,2,FALSE)</f>
        <v>#N/A</v>
      </c>
      <c r="H106" s="36"/>
      <c r="I106" s="40" t="e">
        <f>VLOOKUP($H106,APOIO!$AE:$AG,2,FALSE)</f>
        <v>#N/A</v>
      </c>
      <c r="J106" s="40" t="e">
        <f>VLOOKUP($H106,APOIO!$AE:$AG,3,FALSE)</f>
        <v>#N/A</v>
      </c>
      <c r="K106" s="36"/>
      <c r="L106" s="40" t="e">
        <f>VLOOKUP($K106,APOIO!$I:$J,2,FALSE)</f>
        <v>#N/A</v>
      </c>
      <c r="M106" s="37"/>
      <c r="N106" s="37"/>
      <c r="O106" s="37"/>
      <c r="P106" s="37"/>
      <c r="Q106" s="41"/>
      <c r="R106" s="36"/>
      <c r="S106" s="42"/>
      <c r="T106" s="43">
        <f t="shared" si="2"/>
        <v>0</v>
      </c>
      <c r="U106" s="36"/>
      <c r="V106" s="37"/>
      <c r="W106" s="94" t="e">
        <f>VLOOKUP($C$8,APOIO!$A:$F,5,FALSE)</f>
        <v>#N/A</v>
      </c>
    </row>
    <row r="107" spans="1:23" ht="15" x14ac:dyDescent="0.25">
      <c r="A107" s="36"/>
      <c r="B107" s="37" t="e">
        <f>VLOOKUP($A107,APOIO!$C:$D,2,FALSE)</f>
        <v>#N/A</v>
      </c>
      <c r="C107" s="36"/>
      <c r="D107" s="37" t="e">
        <f>VLOOKUP($C107,APOIO!$Z:$AC,2,FALSE)</f>
        <v>#N/A</v>
      </c>
      <c r="E107" s="37" t="e">
        <f>VLOOKUP($C107,APOIO!$Z:$AC,4,FALSE)</f>
        <v>#N/A</v>
      </c>
      <c r="F107" s="39"/>
      <c r="G107" s="40" t="e">
        <f>VLOOKUP($F107,APOIO!$W:$X,2,FALSE)</f>
        <v>#N/A</v>
      </c>
      <c r="H107" s="36"/>
      <c r="I107" s="40" t="e">
        <f>VLOOKUP($H107,APOIO!$AE:$AG,2,FALSE)</f>
        <v>#N/A</v>
      </c>
      <c r="J107" s="40" t="e">
        <f>VLOOKUP($H107,APOIO!$AE:$AG,3,FALSE)</f>
        <v>#N/A</v>
      </c>
      <c r="K107" s="36"/>
      <c r="L107" s="40" t="e">
        <f>VLOOKUP($K107,APOIO!$I:$J,2,FALSE)</f>
        <v>#N/A</v>
      </c>
      <c r="M107" s="37"/>
      <c r="N107" s="37"/>
      <c r="O107" s="37"/>
      <c r="P107" s="37"/>
      <c r="Q107" s="41"/>
      <c r="R107" s="36"/>
      <c r="S107" s="42"/>
      <c r="T107" s="43">
        <f t="shared" si="2"/>
        <v>0</v>
      </c>
      <c r="U107" s="36"/>
      <c r="V107" s="37"/>
      <c r="W107" s="94" t="e">
        <f>VLOOKUP($C$8,APOIO!$A:$F,5,FALSE)</f>
        <v>#N/A</v>
      </c>
    </row>
    <row r="108" spans="1:23" ht="15" x14ac:dyDescent="0.25">
      <c r="A108" s="36"/>
      <c r="B108" s="37" t="e">
        <f>VLOOKUP($A108,APOIO!$C:$D,2,FALSE)</f>
        <v>#N/A</v>
      </c>
      <c r="C108" s="36"/>
      <c r="D108" s="37" t="e">
        <f>VLOOKUP($C108,APOIO!$Z:$AC,2,FALSE)</f>
        <v>#N/A</v>
      </c>
      <c r="E108" s="37" t="e">
        <f>VLOOKUP($C108,APOIO!$Z:$AC,4,FALSE)</f>
        <v>#N/A</v>
      </c>
      <c r="F108" s="39"/>
      <c r="G108" s="40" t="e">
        <f>VLOOKUP($F108,APOIO!$W:$X,2,FALSE)</f>
        <v>#N/A</v>
      </c>
      <c r="H108" s="36"/>
      <c r="I108" s="40" t="e">
        <f>VLOOKUP($H108,APOIO!$AE:$AG,2,FALSE)</f>
        <v>#N/A</v>
      </c>
      <c r="J108" s="40" t="e">
        <f>VLOOKUP($H108,APOIO!$AE:$AG,3,FALSE)</f>
        <v>#N/A</v>
      </c>
      <c r="K108" s="36"/>
      <c r="L108" s="40" t="e">
        <f>VLOOKUP($K108,APOIO!$I:$J,2,FALSE)</f>
        <v>#N/A</v>
      </c>
      <c r="M108" s="37"/>
      <c r="N108" s="37"/>
      <c r="O108" s="37"/>
      <c r="P108" s="37"/>
      <c r="Q108" s="41"/>
      <c r="R108" s="36"/>
      <c r="S108" s="42"/>
      <c r="T108" s="43">
        <f t="shared" si="2"/>
        <v>0</v>
      </c>
      <c r="U108" s="36"/>
      <c r="V108" s="37"/>
      <c r="W108" s="94" t="e">
        <f>VLOOKUP($C$8,APOIO!$A:$F,5,FALSE)</f>
        <v>#N/A</v>
      </c>
    </row>
    <row r="109" spans="1:23" ht="15" x14ac:dyDescent="0.25">
      <c r="A109" s="36"/>
      <c r="B109" s="37" t="e">
        <f>VLOOKUP($A109,APOIO!$C:$D,2,FALSE)</f>
        <v>#N/A</v>
      </c>
      <c r="C109" s="36"/>
      <c r="D109" s="37" t="e">
        <f>VLOOKUP($C109,APOIO!$Z:$AC,2,FALSE)</f>
        <v>#N/A</v>
      </c>
      <c r="E109" s="37" t="e">
        <f>VLOOKUP($C109,APOIO!$Z:$AC,4,FALSE)</f>
        <v>#N/A</v>
      </c>
      <c r="F109" s="39"/>
      <c r="G109" s="40" t="e">
        <f>VLOOKUP($F109,APOIO!$W:$X,2,FALSE)</f>
        <v>#N/A</v>
      </c>
      <c r="H109" s="36"/>
      <c r="I109" s="40" t="e">
        <f>VLOOKUP($H109,APOIO!$AE:$AG,2,FALSE)</f>
        <v>#N/A</v>
      </c>
      <c r="J109" s="40" t="e">
        <f>VLOOKUP($H109,APOIO!$AE:$AG,3,FALSE)</f>
        <v>#N/A</v>
      </c>
      <c r="K109" s="36"/>
      <c r="L109" s="40" t="e">
        <f>VLOOKUP($K109,APOIO!$I:$J,2,FALSE)</f>
        <v>#N/A</v>
      </c>
      <c r="M109" s="37"/>
      <c r="N109" s="37"/>
      <c r="O109" s="37"/>
      <c r="P109" s="37"/>
      <c r="Q109" s="41"/>
      <c r="R109" s="36"/>
      <c r="S109" s="42"/>
      <c r="T109" s="43">
        <f t="shared" si="2"/>
        <v>0</v>
      </c>
      <c r="U109" s="36"/>
      <c r="V109" s="37"/>
      <c r="W109" s="94" t="e">
        <f>VLOOKUP($C$8,APOIO!$A:$F,5,FALSE)</f>
        <v>#N/A</v>
      </c>
    </row>
    <row r="110" spans="1:23" ht="15" x14ac:dyDescent="0.25">
      <c r="A110" s="36"/>
      <c r="B110" s="37" t="e">
        <f>VLOOKUP($A110,APOIO!$C:$D,2,FALSE)</f>
        <v>#N/A</v>
      </c>
      <c r="C110" s="36"/>
      <c r="D110" s="37" t="e">
        <f>VLOOKUP($C110,APOIO!$Z:$AC,2,FALSE)</f>
        <v>#N/A</v>
      </c>
      <c r="E110" s="37" t="e">
        <f>VLOOKUP($C110,APOIO!$Z:$AC,4,FALSE)</f>
        <v>#N/A</v>
      </c>
      <c r="F110" s="39"/>
      <c r="G110" s="40" t="e">
        <f>VLOOKUP($F110,APOIO!$W:$X,2,FALSE)</f>
        <v>#N/A</v>
      </c>
      <c r="H110" s="36"/>
      <c r="I110" s="40" t="e">
        <f>VLOOKUP($H110,APOIO!$AE:$AG,2,FALSE)</f>
        <v>#N/A</v>
      </c>
      <c r="J110" s="40" t="e">
        <f>VLOOKUP($H110,APOIO!$AE:$AG,3,FALSE)</f>
        <v>#N/A</v>
      </c>
      <c r="K110" s="36"/>
      <c r="L110" s="40" t="e">
        <f>VLOOKUP($K110,APOIO!$I:$J,2,FALSE)</f>
        <v>#N/A</v>
      </c>
      <c r="M110" s="37"/>
      <c r="N110" s="37"/>
      <c r="O110" s="37"/>
      <c r="P110" s="37"/>
      <c r="Q110" s="41"/>
      <c r="R110" s="36"/>
      <c r="S110" s="42"/>
      <c r="T110" s="43">
        <f t="shared" si="2"/>
        <v>0</v>
      </c>
      <c r="U110" s="36"/>
      <c r="V110" s="37"/>
      <c r="W110" s="94" t="e">
        <f>VLOOKUP($C$8,APOIO!$A:$F,5,FALSE)</f>
        <v>#N/A</v>
      </c>
    </row>
    <row r="111" spans="1:23" ht="15" x14ac:dyDescent="0.25">
      <c r="A111" s="36"/>
      <c r="B111" s="37" t="e">
        <f>VLOOKUP($A111,APOIO!$C:$D,2,FALSE)</f>
        <v>#N/A</v>
      </c>
      <c r="C111" s="36"/>
      <c r="D111" s="37" t="e">
        <f>VLOOKUP($C111,APOIO!$Z:$AC,2,FALSE)</f>
        <v>#N/A</v>
      </c>
      <c r="E111" s="37" t="e">
        <f>VLOOKUP($C111,APOIO!$Z:$AC,4,FALSE)</f>
        <v>#N/A</v>
      </c>
      <c r="F111" s="39"/>
      <c r="G111" s="40" t="e">
        <f>VLOOKUP($F111,APOIO!$W:$X,2,FALSE)</f>
        <v>#N/A</v>
      </c>
      <c r="H111" s="36"/>
      <c r="I111" s="40" t="e">
        <f>VLOOKUP($H111,APOIO!$AE:$AG,2,FALSE)</f>
        <v>#N/A</v>
      </c>
      <c r="J111" s="40" t="e">
        <f>VLOOKUP($H111,APOIO!$AE:$AG,3,FALSE)</f>
        <v>#N/A</v>
      </c>
      <c r="K111" s="36"/>
      <c r="L111" s="40" t="e">
        <f>VLOOKUP($K111,APOIO!$I:$J,2,FALSE)</f>
        <v>#N/A</v>
      </c>
      <c r="M111" s="37"/>
      <c r="N111" s="37"/>
      <c r="O111" s="37"/>
      <c r="P111" s="37"/>
      <c r="Q111" s="41"/>
      <c r="R111" s="36"/>
      <c r="S111" s="42"/>
      <c r="T111" s="43">
        <f t="shared" si="2"/>
        <v>0</v>
      </c>
      <c r="U111" s="36"/>
      <c r="V111" s="37"/>
      <c r="W111" s="94" t="e">
        <f>VLOOKUP($C$8,APOIO!$A:$F,5,FALSE)</f>
        <v>#N/A</v>
      </c>
    </row>
    <row r="112" spans="1:23" ht="15" x14ac:dyDescent="0.25">
      <c r="A112" s="36"/>
      <c r="B112" s="37" t="e">
        <f>VLOOKUP($A112,APOIO!$C:$D,2,FALSE)</f>
        <v>#N/A</v>
      </c>
      <c r="C112" s="36"/>
      <c r="D112" s="37" t="e">
        <f>VLOOKUP($C112,APOIO!$Z:$AC,2,FALSE)</f>
        <v>#N/A</v>
      </c>
      <c r="E112" s="37" t="e">
        <f>VLOOKUP($C112,APOIO!$Z:$AC,4,FALSE)</f>
        <v>#N/A</v>
      </c>
      <c r="F112" s="39"/>
      <c r="G112" s="40" t="e">
        <f>VLOOKUP($F112,APOIO!$W:$X,2,FALSE)</f>
        <v>#N/A</v>
      </c>
      <c r="H112" s="36"/>
      <c r="I112" s="40" t="e">
        <f>VLOOKUP($H112,APOIO!$AE:$AG,2,FALSE)</f>
        <v>#N/A</v>
      </c>
      <c r="J112" s="40" t="e">
        <f>VLOOKUP($H112,APOIO!$AE:$AG,3,FALSE)</f>
        <v>#N/A</v>
      </c>
      <c r="K112" s="36"/>
      <c r="L112" s="40" t="e">
        <f>VLOOKUP($K112,APOIO!$I:$J,2,FALSE)</f>
        <v>#N/A</v>
      </c>
      <c r="M112" s="37"/>
      <c r="N112" s="37"/>
      <c r="O112" s="37"/>
      <c r="P112" s="37"/>
      <c r="Q112" s="41"/>
      <c r="R112" s="36"/>
      <c r="S112" s="42"/>
      <c r="T112" s="43">
        <f t="shared" si="2"/>
        <v>0</v>
      </c>
      <c r="U112" s="36"/>
      <c r="V112" s="37"/>
      <c r="W112" s="94" t="e">
        <f>VLOOKUP($C$8,APOIO!$A:$F,5,FALSE)</f>
        <v>#N/A</v>
      </c>
    </row>
    <row r="113" spans="1:23" ht="15" x14ac:dyDescent="0.25">
      <c r="A113" s="36"/>
      <c r="B113" s="37" t="e">
        <f>VLOOKUP($A113,APOIO!$C:$D,2,FALSE)</f>
        <v>#N/A</v>
      </c>
      <c r="C113" s="36"/>
      <c r="D113" s="37" t="e">
        <f>VLOOKUP($C113,APOIO!$Z:$AC,2,FALSE)</f>
        <v>#N/A</v>
      </c>
      <c r="E113" s="37" t="e">
        <f>VLOOKUP($C113,APOIO!$Z:$AC,4,FALSE)</f>
        <v>#N/A</v>
      </c>
      <c r="F113" s="39"/>
      <c r="G113" s="40" t="e">
        <f>VLOOKUP($F113,APOIO!$W:$X,2,FALSE)</f>
        <v>#N/A</v>
      </c>
      <c r="H113" s="36"/>
      <c r="I113" s="40" t="e">
        <f>VLOOKUP($H113,APOIO!$AE:$AG,2,FALSE)</f>
        <v>#N/A</v>
      </c>
      <c r="J113" s="40" t="e">
        <f>VLOOKUP($H113,APOIO!$AE:$AG,3,FALSE)</f>
        <v>#N/A</v>
      </c>
      <c r="K113" s="36"/>
      <c r="L113" s="40" t="e">
        <f>VLOOKUP($K113,APOIO!$I:$J,2,FALSE)</f>
        <v>#N/A</v>
      </c>
      <c r="M113" s="37"/>
      <c r="N113" s="37"/>
      <c r="O113" s="37"/>
      <c r="P113" s="37"/>
      <c r="Q113" s="41"/>
      <c r="R113" s="36"/>
      <c r="S113" s="42"/>
      <c r="T113" s="43">
        <f t="shared" si="2"/>
        <v>0</v>
      </c>
      <c r="U113" s="36"/>
      <c r="V113" s="37"/>
      <c r="W113" s="94" t="e">
        <f>VLOOKUP($C$8,APOIO!$A:$F,5,FALSE)</f>
        <v>#N/A</v>
      </c>
    </row>
    <row r="114" spans="1:23" ht="15" x14ac:dyDescent="0.25">
      <c r="A114" s="36"/>
      <c r="B114" s="37" t="e">
        <f>VLOOKUP($A114,APOIO!$C:$D,2,FALSE)</f>
        <v>#N/A</v>
      </c>
      <c r="C114" s="36"/>
      <c r="D114" s="37" t="e">
        <f>VLOOKUP($C114,APOIO!$Z:$AC,2,FALSE)</f>
        <v>#N/A</v>
      </c>
      <c r="E114" s="37" t="e">
        <f>VLOOKUP($C114,APOIO!$Z:$AC,4,FALSE)</f>
        <v>#N/A</v>
      </c>
      <c r="F114" s="39"/>
      <c r="G114" s="40" t="e">
        <f>VLOOKUP($F114,APOIO!$W:$X,2,FALSE)</f>
        <v>#N/A</v>
      </c>
      <c r="H114" s="36"/>
      <c r="I114" s="40" t="e">
        <f>VLOOKUP($H114,APOIO!$AE:$AG,2,FALSE)</f>
        <v>#N/A</v>
      </c>
      <c r="J114" s="40" t="e">
        <f>VLOOKUP($H114,APOIO!$AE:$AG,3,FALSE)</f>
        <v>#N/A</v>
      </c>
      <c r="K114" s="36"/>
      <c r="L114" s="40" t="e">
        <f>VLOOKUP($K114,APOIO!$I:$J,2,FALSE)</f>
        <v>#N/A</v>
      </c>
      <c r="M114" s="37"/>
      <c r="N114" s="37"/>
      <c r="O114" s="37"/>
      <c r="P114" s="37"/>
      <c r="Q114" s="41"/>
      <c r="R114" s="36"/>
      <c r="S114" s="42"/>
      <c r="T114" s="43">
        <f t="shared" si="2"/>
        <v>0</v>
      </c>
      <c r="U114" s="36"/>
      <c r="V114" s="37"/>
      <c r="W114" s="94" t="e">
        <f>VLOOKUP($C$8,APOIO!$A:$F,5,FALSE)</f>
        <v>#N/A</v>
      </c>
    </row>
    <row r="115" spans="1:23" ht="15" x14ac:dyDescent="0.25">
      <c r="A115" s="36"/>
      <c r="B115" s="37" t="e">
        <f>VLOOKUP($A115,APOIO!$C:$D,2,FALSE)</f>
        <v>#N/A</v>
      </c>
      <c r="C115" s="36"/>
      <c r="D115" s="37" t="e">
        <f>VLOOKUP($C115,APOIO!$Z:$AC,2,FALSE)</f>
        <v>#N/A</v>
      </c>
      <c r="E115" s="37" t="e">
        <f>VLOOKUP($C115,APOIO!$Z:$AC,4,FALSE)</f>
        <v>#N/A</v>
      </c>
      <c r="F115" s="39"/>
      <c r="G115" s="40" t="e">
        <f>VLOOKUP($F115,APOIO!$W:$X,2,FALSE)</f>
        <v>#N/A</v>
      </c>
      <c r="H115" s="36"/>
      <c r="I115" s="40" t="e">
        <f>VLOOKUP($H115,APOIO!$AE:$AG,2,FALSE)</f>
        <v>#N/A</v>
      </c>
      <c r="J115" s="40" t="e">
        <f>VLOOKUP($H115,APOIO!$AE:$AG,3,FALSE)</f>
        <v>#N/A</v>
      </c>
      <c r="K115" s="36"/>
      <c r="L115" s="40" t="e">
        <f>VLOOKUP($K115,APOIO!$I:$J,2,FALSE)</f>
        <v>#N/A</v>
      </c>
      <c r="M115" s="37"/>
      <c r="N115" s="37"/>
      <c r="O115" s="37"/>
      <c r="P115" s="37"/>
      <c r="Q115" s="41"/>
      <c r="R115" s="36"/>
      <c r="S115" s="42"/>
      <c r="T115" s="43">
        <f t="shared" si="2"/>
        <v>0</v>
      </c>
      <c r="U115" s="36"/>
      <c r="V115" s="37"/>
      <c r="W115" s="94" t="e">
        <f>VLOOKUP($C$8,APOIO!$A:$F,5,FALSE)</f>
        <v>#N/A</v>
      </c>
    </row>
    <row r="116" spans="1:23" ht="15" x14ac:dyDescent="0.25">
      <c r="A116" s="36"/>
      <c r="B116" s="37" t="e">
        <f>VLOOKUP($A116,APOIO!$C:$D,2,FALSE)</f>
        <v>#N/A</v>
      </c>
      <c r="C116" s="36"/>
      <c r="D116" s="37" t="e">
        <f>VLOOKUP($C116,APOIO!$Z:$AC,2,FALSE)</f>
        <v>#N/A</v>
      </c>
      <c r="E116" s="37" t="e">
        <f>VLOOKUP($C116,APOIO!$Z:$AC,4,FALSE)</f>
        <v>#N/A</v>
      </c>
      <c r="F116" s="39"/>
      <c r="G116" s="40" t="e">
        <f>VLOOKUP($F116,APOIO!$W:$X,2,FALSE)</f>
        <v>#N/A</v>
      </c>
      <c r="H116" s="36"/>
      <c r="I116" s="40" t="e">
        <f>VLOOKUP($H116,APOIO!$AE:$AG,2,FALSE)</f>
        <v>#N/A</v>
      </c>
      <c r="J116" s="40" t="e">
        <f>VLOOKUP($H116,APOIO!$AE:$AG,3,FALSE)</f>
        <v>#N/A</v>
      </c>
      <c r="K116" s="36"/>
      <c r="L116" s="40" t="e">
        <f>VLOOKUP($K116,APOIO!$I:$J,2,FALSE)</f>
        <v>#N/A</v>
      </c>
      <c r="M116" s="37"/>
      <c r="N116" s="37"/>
      <c r="O116" s="37"/>
      <c r="P116" s="37"/>
      <c r="Q116" s="41"/>
      <c r="R116" s="36"/>
      <c r="S116" s="42"/>
      <c r="T116" s="43">
        <f t="shared" si="2"/>
        <v>0</v>
      </c>
      <c r="U116" s="36"/>
      <c r="V116" s="37"/>
      <c r="W116" s="94" t="e">
        <f>VLOOKUP($C$8,APOIO!$A:$F,5,FALSE)</f>
        <v>#N/A</v>
      </c>
    </row>
    <row r="117" spans="1:23" ht="15" x14ac:dyDescent="0.25">
      <c r="A117" s="36"/>
      <c r="B117" s="37" t="e">
        <f>VLOOKUP($A117,APOIO!$C:$D,2,FALSE)</f>
        <v>#N/A</v>
      </c>
      <c r="C117" s="36"/>
      <c r="D117" s="37" t="e">
        <f>VLOOKUP($C117,APOIO!$Z:$AC,2,FALSE)</f>
        <v>#N/A</v>
      </c>
      <c r="E117" s="37" t="e">
        <f>VLOOKUP($C117,APOIO!$Z:$AC,4,FALSE)</f>
        <v>#N/A</v>
      </c>
      <c r="F117" s="39"/>
      <c r="G117" s="40" t="e">
        <f>VLOOKUP($F117,APOIO!$W:$X,2,FALSE)</f>
        <v>#N/A</v>
      </c>
      <c r="H117" s="36"/>
      <c r="I117" s="40" t="e">
        <f>VLOOKUP($H117,APOIO!$AE:$AG,2,FALSE)</f>
        <v>#N/A</v>
      </c>
      <c r="J117" s="40" t="e">
        <f>VLOOKUP($H117,APOIO!$AE:$AG,3,FALSE)</f>
        <v>#N/A</v>
      </c>
      <c r="K117" s="36"/>
      <c r="L117" s="40" t="e">
        <f>VLOOKUP($K117,APOIO!$I:$J,2,FALSE)</f>
        <v>#N/A</v>
      </c>
      <c r="M117" s="37"/>
      <c r="N117" s="37"/>
      <c r="O117" s="37"/>
      <c r="P117" s="37"/>
      <c r="Q117" s="41"/>
      <c r="R117" s="36"/>
      <c r="S117" s="42"/>
      <c r="T117" s="43">
        <f t="shared" si="2"/>
        <v>0</v>
      </c>
      <c r="U117" s="36"/>
      <c r="V117" s="37"/>
      <c r="W117" s="94" t="e">
        <f>VLOOKUP($C$8,APOIO!$A:$F,5,FALSE)</f>
        <v>#N/A</v>
      </c>
    </row>
    <row r="118" spans="1:23" ht="15" x14ac:dyDescent="0.25">
      <c r="A118" s="36"/>
      <c r="B118" s="37" t="e">
        <f>VLOOKUP($A118,APOIO!$C:$D,2,FALSE)</f>
        <v>#N/A</v>
      </c>
      <c r="C118" s="36"/>
      <c r="D118" s="37" t="e">
        <f>VLOOKUP($C118,APOIO!$Z:$AC,2,FALSE)</f>
        <v>#N/A</v>
      </c>
      <c r="E118" s="37" t="e">
        <f>VLOOKUP($C118,APOIO!$Z:$AC,4,FALSE)</f>
        <v>#N/A</v>
      </c>
      <c r="F118" s="39"/>
      <c r="G118" s="40" t="e">
        <f>VLOOKUP($F118,APOIO!$W:$X,2,FALSE)</f>
        <v>#N/A</v>
      </c>
      <c r="H118" s="36"/>
      <c r="I118" s="40" t="e">
        <f>VLOOKUP($H118,APOIO!$AE:$AG,2,FALSE)</f>
        <v>#N/A</v>
      </c>
      <c r="J118" s="40" t="e">
        <f>VLOOKUP($H118,APOIO!$AE:$AG,3,FALSE)</f>
        <v>#N/A</v>
      </c>
      <c r="K118" s="36"/>
      <c r="L118" s="40" t="e">
        <f>VLOOKUP($K118,APOIO!$I:$J,2,FALSE)</f>
        <v>#N/A</v>
      </c>
      <c r="M118" s="37"/>
      <c r="N118" s="37"/>
      <c r="O118" s="37"/>
      <c r="P118" s="37"/>
      <c r="Q118" s="41"/>
      <c r="R118" s="36"/>
      <c r="S118" s="42"/>
      <c r="T118" s="43">
        <f t="shared" si="2"/>
        <v>0</v>
      </c>
      <c r="U118" s="36"/>
      <c r="V118" s="37"/>
      <c r="W118" s="94" t="e">
        <f>VLOOKUP($C$8,APOIO!$A:$F,5,FALSE)</f>
        <v>#N/A</v>
      </c>
    </row>
    <row r="119" spans="1:23" ht="15" x14ac:dyDescent="0.25">
      <c r="A119" s="36"/>
      <c r="B119" s="37" t="e">
        <f>VLOOKUP($A119,APOIO!$C:$D,2,FALSE)</f>
        <v>#N/A</v>
      </c>
      <c r="C119" s="36"/>
      <c r="D119" s="37" t="e">
        <f>VLOOKUP($C119,APOIO!$Z:$AC,2,FALSE)</f>
        <v>#N/A</v>
      </c>
      <c r="E119" s="37" t="e">
        <f>VLOOKUP($C119,APOIO!$Z:$AC,4,FALSE)</f>
        <v>#N/A</v>
      </c>
      <c r="F119" s="39"/>
      <c r="G119" s="40" t="e">
        <f>VLOOKUP($F119,APOIO!$W:$X,2,FALSE)</f>
        <v>#N/A</v>
      </c>
      <c r="H119" s="36"/>
      <c r="I119" s="40" t="e">
        <f>VLOOKUP($H119,APOIO!$AE:$AG,2,FALSE)</f>
        <v>#N/A</v>
      </c>
      <c r="J119" s="40" t="e">
        <f>VLOOKUP($H119,APOIO!$AE:$AG,3,FALSE)</f>
        <v>#N/A</v>
      </c>
      <c r="K119" s="36"/>
      <c r="L119" s="40" t="e">
        <f>VLOOKUP($K119,APOIO!$I:$J,2,FALSE)</f>
        <v>#N/A</v>
      </c>
      <c r="M119" s="37"/>
      <c r="N119" s="37"/>
      <c r="O119" s="37"/>
      <c r="P119" s="37"/>
      <c r="Q119" s="41"/>
      <c r="R119" s="36"/>
      <c r="S119" s="42"/>
      <c r="T119" s="43">
        <f t="shared" si="2"/>
        <v>0</v>
      </c>
      <c r="U119" s="36"/>
      <c r="V119" s="37"/>
      <c r="W119" s="94" t="e">
        <f>VLOOKUP($C$8,APOIO!$A:$F,5,FALSE)</f>
        <v>#N/A</v>
      </c>
    </row>
    <row r="120" spans="1:23" ht="15" x14ac:dyDescent="0.25">
      <c r="A120" s="36"/>
      <c r="B120" s="37" t="e">
        <f>VLOOKUP($A120,APOIO!$C:$D,2,FALSE)</f>
        <v>#N/A</v>
      </c>
      <c r="C120" s="36"/>
      <c r="D120" s="37" t="e">
        <f>VLOOKUP($C120,APOIO!$Z:$AC,2,FALSE)</f>
        <v>#N/A</v>
      </c>
      <c r="E120" s="37" t="e">
        <f>VLOOKUP($C120,APOIO!$Z:$AC,4,FALSE)</f>
        <v>#N/A</v>
      </c>
      <c r="F120" s="39"/>
      <c r="G120" s="40" t="e">
        <f>VLOOKUP($F120,APOIO!$W:$X,2,FALSE)</f>
        <v>#N/A</v>
      </c>
      <c r="H120" s="36"/>
      <c r="I120" s="40" t="e">
        <f>VLOOKUP($H120,APOIO!$AE:$AG,2,FALSE)</f>
        <v>#N/A</v>
      </c>
      <c r="J120" s="40" t="e">
        <f>VLOOKUP($H120,APOIO!$AE:$AG,3,FALSE)</f>
        <v>#N/A</v>
      </c>
      <c r="K120" s="36"/>
      <c r="L120" s="40" t="e">
        <f>VLOOKUP($K120,APOIO!$I:$J,2,FALSE)</f>
        <v>#N/A</v>
      </c>
      <c r="M120" s="37"/>
      <c r="N120" s="37"/>
      <c r="O120" s="37"/>
      <c r="P120" s="37"/>
      <c r="Q120" s="41"/>
      <c r="R120" s="36"/>
      <c r="S120" s="42"/>
      <c r="T120" s="43">
        <f t="shared" si="2"/>
        <v>0</v>
      </c>
      <c r="U120" s="36"/>
      <c r="V120" s="37"/>
      <c r="W120" s="94" t="e">
        <f>VLOOKUP($C$8,APOIO!$A:$F,5,FALSE)</f>
        <v>#N/A</v>
      </c>
    </row>
    <row r="121" spans="1:23" ht="15" x14ac:dyDescent="0.25">
      <c r="A121" s="36"/>
      <c r="B121" s="37" t="e">
        <f>VLOOKUP($A121,APOIO!$C:$D,2,FALSE)</f>
        <v>#N/A</v>
      </c>
      <c r="C121" s="36"/>
      <c r="D121" s="37" t="e">
        <f>VLOOKUP($C121,APOIO!$Z:$AC,2,FALSE)</f>
        <v>#N/A</v>
      </c>
      <c r="E121" s="37" t="e">
        <f>VLOOKUP($C121,APOIO!$Z:$AC,4,FALSE)</f>
        <v>#N/A</v>
      </c>
      <c r="F121" s="39"/>
      <c r="G121" s="40" t="e">
        <f>VLOOKUP($F121,APOIO!$W:$X,2,FALSE)</f>
        <v>#N/A</v>
      </c>
      <c r="H121" s="36"/>
      <c r="I121" s="40" t="e">
        <f>VLOOKUP($H121,APOIO!$AE:$AG,2,FALSE)</f>
        <v>#N/A</v>
      </c>
      <c r="J121" s="40" t="e">
        <f>VLOOKUP($H121,APOIO!$AE:$AG,3,FALSE)</f>
        <v>#N/A</v>
      </c>
      <c r="K121" s="36"/>
      <c r="L121" s="40" t="e">
        <f>VLOOKUP($K121,APOIO!$I:$J,2,FALSE)</f>
        <v>#N/A</v>
      </c>
      <c r="M121" s="37"/>
      <c r="N121" s="37"/>
      <c r="O121" s="37"/>
      <c r="P121" s="37"/>
      <c r="Q121" s="41"/>
      <c r="R121" s="36"/>
      <c r="S121" s="42"/>
      <c r="T121" s="43">
        <f t="shared" si="2"/>
        <v>0</v>
      </c>
      <c r="U121" s="36"/>
      <c r="V121" s="37"/>
      <c r="W121" s="94" t="e">
        <f>VLOOKUP($C$8,APOIO!$A:$F,5,FALSE)</f>
        <v>#N/A</v>
      </c>
    </row>
    <row r="122" spans="1:23" ht="15" x14ac:dyDescent="0.25">
      <c r="A122" s="36"/>
      <c r="B122" s="37" t="e">
        <f>VLOOKUP($A122,APOIO!$C:$D,2,FALSE)</f>
        <v>#N/A</v>
      </c>
      <c r="C122" s="36"/>
      <c r="D122" s="37" t="e">
        <f>VLOOKUP($C122,APOIO!$Z:$AC,2,FALSE)</f>
        <v>#N/A</v>
      </c>
      <c r="E122" s="37" t="e">
        <f>VLOOKUP($C122,APOIO!$Z:$AC,4,FALSE)</f>
        <v>#N/A</v>
      </c>
      <c r="F122" s="39"/>
      <c r="G122" s="40" t="e">
        <f>VLOOKUP($F122,APOIO!$W:$X,2,FALSE)</f>
        <v>#N/A</v>
      </c>
      <c r="H122" s="36"/>
      <c r="I122" s="40" t="e">
        <f>VLOOKUP($H122,APOIO!$AE:$AG,2,FALSE)</f>
        <v>#N/A</v>
      </c>
      <c r="J122" s="40" t="e">
        <f>VLOOKUP($H122,APOIO!$AE:$AG,3,FALSE)</f>
        <v>#N/A</v>
      </c>
      <c r="K122" s="36"/>
      <c r="L122" s="40" t="e">
        <f>VLOOKUP($K122,APOIO!$I:$J,2,FALSE)</f>
        <v>#N/A</v>
      </c>
      <c r="M122" s="37"/>
      <c r="N122" s="37"/>
      <c r="O122" s="37"/>
      <c r="P122" s="37"/>
      <c r="Q122" s="41"/>
      <c r="R122" s="36"/>
      <c r="S122" s="42"/>
      <c r="T122" s="43">
        <f t="shared" si="2"/>
        <v>0</v>
      </c>
      <c r="U122" s="36"/>
      <c r="V122" s="37"/>
      <c r="W122" s="94" t="e">
        <f>VLOOKUP($C$8,APOIO!$A:$F,5,FALSE)</f>
        <v>#N/A</v>
      </c>
    </row>
    <row r="123" spans="1:23" ht="15" x14ac:dyDescent="0.25">
      <c r="A123" s="36"/>
      <c r="B123" s="37" t="e">
        <f>VLOOKUP($A123,APOIO!$C:$D,2,FALSE)</f>
        <v>#N/A</v>
      </c>
      <c r="C123" s="36"/>
      <c r="D123" s="37" t="e">
        <f>VLOOKUP($C123,APOIO!$Z:$AC,2,FALSE)</f>
        <v>#N/A</v>
      </c>
      <c r="E123" s="37" t="e">
        <f>VLOOKUP($C123,APOIO!$Z:$AC,4,FALSE)</f>
        <v>#N/A</v>
      </c>
      <c r="F123" s="39"/>
      <c r="G123" s="40" t="e">
        <f>VLOOKUP($F123,APOIO!$W:$X,2,FALSE)</f>
        <v>#N/A</v>
      </c>
      <c r="H123" s="36"/>
      <c r="I123" s="40" t="e">
        <f>VLOOKUP($H123,APOIO!$AE:$AG,2,FALSE)</f>
        <v>#N/A</v>
      </c>
      <c r="J123" s="40" t="e">
        <f>VLOOKUP($H123,APOIO!$AE:$AG,3,FALSE)</f>
        <v>#N/A</v>
      </c>
      <c r="K123" s="36"/>
      <c r="L123" s="40" t="e">
        <f>VLOOKUP($K123,APOIO!$I:$J,2,FALSE)</f>
        <v>#N/A</v>
      </c>
      <c r="M123" s="37"/>
      <c r="N123" s="37"/>
      <c r="O123" s="37"/>
      <c r="P123" s="37"/>
      <c r="Q123" s="41"/>
      <c r="R123" s="36"/>
      <c r="S123" s="42"/>
      <c r="T123" s="43">
        <f t="shared" si="2"/>
        <v>0</v>
      </c>
      <c r="U123" s="36"/>
      <c r="V123" s="37"/>
      <c r="W123" s="94" t="e">
        <f>VLOOKUP($C$8,APOIO!$A:$F,5,FALSE)</f>
        <v>#N/A</v>
      </c>
    </row>
    <row r="124" spans="1:23" ht="15" x14ac:dyDescent="0.25">
      <c r="A124" s="36"/>
      <c r="B124" s="37" t="e">
        <f>VLOOKUP($A124,APOIO!$C:$D,2,FALSE)</f>
        <v>#N/A</v>
      </c>
      <c r="C124" s="36"/>
      <c r="D124" s="37" t="e">
        <f>VLOOKUP($C124,APOIO!$Z:$AC,2,FALSE)</f>
        <v>#N/A</v>
      </c>
      <c r="E124" s="37" t="e">
        <f>VLOOKUP($C124,APOIO!$Z:$AC,4,FALSE)</f>
        <v>#N/A</v>
      </c>
      <c r="F124" s="39"/>
      <c r="G124" s="40" t="e">
        <f>VLOOKUP($F124,APOIO!$W:$X,2,FALSE)</f>
        <v>#N/A</v>
      </c>
      <c r="H124" s="36"/>
      <c r="I124" s="40" t="e">
        <f>VLOOKUP($H124,APOIO!$AE:$AG,2,FALSE)</f>
        <v>#N/A</v>
      </c>
      <c r="J124" s="40" t="e">
        <f>VLOOKUP($H124,APOIO!$AE:$AG,3,FALSE)</f>
        <v>#N/A</v>
      </c>
      <c r="K124" s="36"/>
      <c r="L124" s="40" t="e">
        <f>VLOOKUP($K124,APOIO!$I:$J,2,FALSE)</f>
        <v>#N/A</v>
      </c>
      <c r="M124" s="37"/>
      <c r="N124" s="37"/>
      <c r="O124" s="37"/>
      <c r="P124" s="37"/>
      <c r="Q124" s="41"/>
      <c r="R124" s="36"/>
      <c r="S124" s="42"/>
      <c r="T124" s="43">
        <f t="shared" si="2"/>
        <v>0</v>
      </c>
      <c r="U124" s="36"/>
      <c r="V124" s="37"/>
      <c r="W124" s="94" t="e">
        <f>VLOOKUP($C$8,APOIO!$A:$F,5,FALSE)</f>
        <v>#N/A</v>
      </c>
    </row>
    <row r="125" spans="1:23" ht="15" x14ac:dyDescent="0.25">
      <c r="A125" s="36"/>
      <c r="B125" s="37" t="e">
        <f>VLOOKUP($A125,APOIO!$C:$D,2,FALSE)</f>
        <v>#N/A</v>
      </c>
      <c r="C125" s="36"/>
      <c r="D125" s="37" t="e">
        <f>VLOOKUP($C125,APOIO!$Z:$AC,2,FALSE)</f>
        <v>#N/A</v>
      </c>
      <c r="E125" s="37" t="e">
        <f>VLOOKUP($C125,APOIO!$Z:$AC,4,FALSE)</f>
        <v>#N/A</v>
      </c>
      <c r="F125" s="39"/>
      <c r="G125" s="40" t="e">
        <f>VLOOKUP($F125,APOIO!$W:$X,2,FALSE)</f>
        <v>#N/A</v>
      </c>
      <c r="H125" s="36"/>
      <c r="I125" s="40" t="e">
        <f>VLOOKUP($H125,APOIO!$AE:$AG,2,FALSE)</f>
        <v>#N/A</v>
      </c>
      <c r="J125" s="40" t="e">
        <f>VLOOKUP($H125,APOIO!$AE:$AG,3,FALSE)</f>
        <v>#N/A</v>
      </c>
      <c r="K125" s="36"/>
      <c r="L125" s="40" t="e">
        <f>VLOOKUP($K125,APOIO!$I:$J,2,FALSE)</f>
        <v>#N/A</v>
      </c>
      <c r="M125" s="37"/>
      <c r="N125" s="37"/>
      <c r="O125" s="37"/>
      <c r="P125" s="37"/>
      <c r="Q125" s="41"/>
      <c r="R125" s="36"/>
      <c r="S125" s="42"/>
      <c r="T125" s="43">
        <f t="shared" si="2"/>
        <v>0</v>
      </c>
      <c r="U125" s="36"/>
      <c r="V125" s="37"/>
      <c r="W125" s="94" t="e">
        <f>VLOOKUP($C$8,APOIO!$A:$F,5,FALSE)</f>
        <v>#N/A</v>
      </c>
    </row>
    <row r="126" spans="1:23" ht="15" x14ac:dyDescent="0.25">
      <c r="A126" s="36"/>
      <c r="B126" s="37" t="e">
        <f>VLOOKUP($A126,APOIO!$C:$D,2,FALSE)</f>
        <v>#N/A</v>
      </c>
      <c r="C126" s="36"/>
      <c r="D126" s="37" t="e">
        <f>VLOOKUP($C126,APOIO!$Z:$AC,2,FALSE)</f>
        <v>#N/A</v>
      </c>
      <c r="E126" s="37" t="e">
        <f>VLOOKUP($C126,APOIO!$Z:$AC,4,FALSE)</f>
        <v>#N/A</v>
      </c>
      <c r="F126" s="39"/>
      <c r="G126" s="40" t="e">
        <f>VLOOKUP($F126,APOIO!$W:$X,2,FALSE)</f>
        <v>#N/A</v>
      </c>
      <c r="H126" s="36"/>
      <c r="I126" s="40" t="e">
        <f>VLOOKUP($H126,APOIO!$AE:$AG,2,FALSE)</f>
        <v>#N/A</v>
      </c>
      <c r="J126" s="40" t="e">
        <f>VLOOKUP($H126,APOIO!$AE:$AG,3,FALSE)</f>
        <v>#N/A</v>
      </c>
      <c r="K126" s="36"/>
      <c r="L126" s="40" t="e">
        <f>VLOOKUP($K126,APOIO!$I:$J,2,FALSE)</f>
        <v>#N/A</v>
      </c>
      <c r="M126" s="37"/>
      <c r="N126" s="37"/>
      <c r="O126" s="37"/>
      <c r="P126" s="37"/>
      <c r="Q126" s="41"/>
      <c r="R126" s="36"/>
      <c r="S126" s="42"/>
      <c r="T126" s="43">
        <f t="shared" si="2"/>
        <v>0</v>
      </c>
      <c r="U126" s="36"/>
      <c r="V126" s="37"/>
      <c r="W126" s="94" t="e">
        <f>VLOOKUP($C$8,APOIO!$A:$F,5,FALSE)</f>
        <v>#N/A</v>
      </c>
    </row>
    <row r="127" spans="1:23" ht="15" x14ac:dyDescent="0.25">
      <c r="A127" s="36"/>
      <c r="B127" s="37" t="e">
        <f>VLOOKUP($A127,APOIO!$C:$D,2,FALSE)</f>
        <v>#N/A</v>
      </c>
      <c r="C127" s="36"/>
      <c r="D127" s="37" t="e">
        <f>VLOOKUP($C127,APOIO!$Z:$AC,2,FALSE)</f>
        <v>#N/A</v>
      </c>
      <c r="E127" s="37" t="e">
        <f>VLOOKUP($C127,APOIO!$Z:$AC,4,FALSE)</f>
        <v>#N/A</v>
      </c>
      <c r="F127" s="39"/>
      <c r="G127" s="40" t="e">
        <f>VLOOKUP($F127,APOIO!$W:$X,2,FALSE)</f>
        <v>#N/A</v>
      </c>
      <c r="H127" s="36"/>
      <c r="I127" s="40" t="e">
        <f>VLOOKUP($H127,APOIO!$AE:$AG,2,FALSE)</f>
        <v>#N/A</v>
      </c>
      <c r="J127" s="40" t="e">
        <f>VLOOKUP($H127,APOIO!$AE:$AG,3,FALSE)</f>
        <v>#N/A</v>
      </c>
      <c r="K127" s="36"/>
      <c r="L127" s="40" t="e">
        <f>VLOOKUP($K127,APOIO!$I:$J,2,FALSE)</f>
        <v>#N/A</v>
      </c>
      <c r="M127" s="37"/>
      <c r="N127" s="37"/>
      <c r="O127" s="37"/>
      <c r="P127" s="37"/>
      <c r="Q127" s="41"/>
      <c r="R127" s="36"/>
      <c r="S127" s="42"/>
      <c r="T127" s="43">
        <f t="shared" si="2"/>
        <v>0</v>
      </c>
      <c r="U127" s="36"/>
      <c r="V127" s="37"/>
      <c r="W127" s="94" t="e">
        <f>VLOOKUP($C$8,APOIO!$A:$F,5,FALSE)</f>
        <v>#N/A</v>
      </c>
    </row>
    <row r="128" spans="1:23" ht="15" x14ac:dyDescent="0.25">
      <c r="A128" s="36"/>
      <c r="B128" s="37" t="e">
        <f>VLOOKUP($A128,APOIO!$C:$D,2,FALSE)</f>
        <v>#N/A</v>
      </c>
      <c r="C128" s="36"/>
      <c r="D128" s="37" t="e">
        <f>VLOOKUP($C128,APOIO!$Z:$AC,2,FALSE)</f>
        <v>#N/A</v>
      </c>
      <c r="E128" s="37" t="e">
        <f>VLOOKUP($C128,APOIO!$Z:$AC,4,FALSE)</f>
        <v>#N/A</v>
      </c>
      <c r="F128" s="39"/>
      <c r="G128" s="40" t="e">
        <f>VLOOKUP($F128,APOIO!$W:$X,2,FALSE)</f>
        <v>#N/A</v>
      </c>
      <c r="H128" s="36"/>
      <c r="I128" s="40" t="e">
        <f>VLOOKUP($H128,APOIO!$AE:$AG,2,FALSE)</f>
        <v>#N/A</v>
      </c>
      <c r="J128" s="40" t="e">
        <f>VLOOKUP($H128,APOIO!$AE:$AG,3,FALSE)</f>
        <v>#N/A</v>
      </c>
      <c r="K128" s="36"/>
      <c r="L128" s="40" t="e">
        <f>VLOOKUP($K128,APOIO!$I:$J,2,FALSE)</f>
        <v>#N/A</v>
      </c>
      <c r="M128" s="37"/>
      <c r="N128" s="37"/>
      <c r="O128" s="37"/>
      <c r="P128" s="37"/>
      <c r="Q128" s="41"/>
      <c r="R128" s="36"/>
      <c r="S128" s="42"/>
      <c r="T128" s="43">
        <f t="shared" si="2"/>
        <v>0</v>
      </c>
      <c r="U128" s="36"/>
      <c r="V128" s="37"/>
      <c r="W128" s="94" t="e">
        <f>VLOOKUP($C$8,APOIO!$A:$F,5,FALSE)</f>
        <v>#N/A</v>
      </c>
    </row>
    <row r="129" spans="1:23" ht="15" x14ac:dyDescent="0.25">
      <c r="A129" s="36"/>
      <c r="B129" s="37" t="e">
        <f>VLOOKUP($A129,APOIO!$C:$D,2,FALSE)</f>
        <v>#N/A</v>
      </c>
      <c r="C129" s="36"/>
      <c r="D129" s="37" t="e">
        <f>VLOOKUP($C129,APOIO!$Z:$AC,2,FALSE)</f>
        <v>#N/A</v>
      </c>
      <c r="E129" s="37" t="e">
        <f>VLOOKUP($C129,APOIO!$Z:$AC,4,FALSE)</f>
        <v>#N/A</v>
      </c>
      <c r="F129" s="39"/>
      <c r="G129" s="40" t="e">
        <f>VLOOKUP($F129,APOIO!$W:$X,2,FALSE)</f>
        <v>#N/A</v>
      </c>
      <c r="H129" s="36"/>
      <c r="I129" s="40" t="e">
        <f>VLOOKUP($H129,APOIO!$AE:$AG,2,FALSE)</f>
        <v>#N/A</v>
      </c>
      <c r="J129" s="40" t="e">
        <f>VLOOKUP($H129,APOIO!$AE:$AG,3,FALSE)</f>
        <v>#N/A</v>
      </c>
      <c r="K129" s="36"/>
      <c r="L129" s="40" t="e">
        <f>VLOOKUP($K129,APOIO!$I:$J,2,FALSE)</f>
        <v>#N/A</v>
      </c>
      <c r="M129" s="37"/>
      <c r="N129" s="37"/>
      <c r="O129" s="37"/>
      <c r="P129" s="37"/>
      <c r="Q129" s="41"/>
      <c r="R129" s="36"/>
      <c r="S129" s="42"/>
      <c r="T129" s="43">
        <f t="shared" si="2"/>
        <v>0</v>
      </c>
      <c r="U129" s="36"/>
      <c r="V129" s="37"/>
      <c r="W129" s="94" t="e">
        <f>VLOOKUP($C$8,APOIO!$A:$F,5,FALSE)</f>
        <v>#N/A</v>
      </c>
    </row>
    <row r="130" spans="1:23" ht="15" x14ac:dyDescent="0.25">
      <c r="A130" s="36"/>
      <c r="B130" s="37" t="e">
        <f>VLOOKUP($A130,APOIO!$C:$D,2,FALSE)</f>
        <v>#N/A</v>
      </c>
      <c r="C130" s="36"/>
      <c r="D130" s="37" t="e">
        <f>VLOOKUP($C130,APOIO!$Z:$AC,2,FALSE)</f>
        <v>#N/A</v>
      </c>
      <c r="E130" s="37" t="e">
        <f>VLOOKUP($C130,APOIO!$Z:$AC,4,FALSE)</f>
        <v>#N/A</v>
      </c>
      <c r="F130" s="39"/>
      <c r="G130" s="40" t="e">
        <f>VLOOKUP($F130,APOIO!$W:$X,2,FALSE)</f>
        <v>#N/A</v>
      </c>
      <c r="H130" s="36"/>
      <c r="I130" s="40" t="e">
        <f>VLOOKUP($H130,APOIO!$AE:$AG,2,FALSE)</f>
        <v>#N/A</v>
      </c>
      <c r="J130" s="40" t="e">
        <f>VLOOKUP($H130,APOIO!$AE:$AG,3,FALSE)</f>
        <v>#N/A</v>
      </c>
      <c r="K130" s="36"/>
      <c r="L130" s="40" t="e">
        <f>VLOOKUP($K130,APOIO!$I:$J,2,FALSE)</f>
        <v>#N/A</v>
      </c>
      <c r="M130" s="37"/>
      <c r="N130" s="37"/>
      <c r="O130" s="37"/>
      <c r="P130" s="37"/>
      <c r="Q130" s="41"/>
      <c r="R130" s="36"/>
      <c r="S130" s="42"/>
      <c r="T130" s="43">
        <f t="shared" si="2"/>
        <v>0</v>
      </c>
      <c r="U130" s="36"/>
      <c r="V130" s="37"/>
      <c r="W130" s="94" t="e">
        <f>VLOOKUP($C$8,APOIO!$A:$F,5,FALSE)</f>
        <v>#N/A</v>
      </c>
    </row>
    <row r="131" spans="1:23" ht="15" x14ac:dyDescent="0.25">
      <c r="A131" s="36"/>
      <c r="B131" s="37" t="e">
        <f>VLOOKUP($A131,APOIO!$C:$D,2,FALSE)</f>
        <v>#N/A</v>
      </c>
      <c r="C131" s="36"/>
      <c r="D131" s="37" t="e">
        <f>VLOOKUP($C131,APOIO!$Z:$AC,2,FALSE)</f>
        <v>#N/A</v>
      </c>
      <c r="E131" s="37" t="e">
        <f>VLOOKUP($C131,APOIO!$Z:$AC,4,FALSE)</f>
        <v>#N/A</v>
      </c>
      <c r="F131" s="39"/>
      <c r="G131" s="40" t="e">
        <f>VLOOKUP($F131,APOIO!$W:$X,2,FALSE)</f>
        <v>#N/A</v>
      </c>
      <c r="H131" s="36"/>
      <c r="I131" s="40" t="e">
        <f>VLOOKUP($H131,APOIO!$AE:$AG,2,FALSE)</f>
        <v>#N/A</v>
      </c>
      <c r="J131" s="40" t="e">
        <f>VLOOKUP($H131,APOIO!$AE:$AG,3,FALSE)</f>
        <v>#N/A</v>
      </c>
      <c r="K131" s="36"/>
      <c r="L131" s="40" t="e">
        <f>VLOOKUP($K131,APOIO!$I:$J,2,FALSE)</f>
        <v>#N/A</v>
      </c>
      <c r="M131" s="37"/>
      <c r="N131" s="37"/>
      <c r="O131" s="37"/>
      <c r="P131" s="37"/>
      <c r="Q131" s="41"/>
      <c r="R131" s="36"/>
      <c r="S131" s="42"/>
      <c r="T131" s="43">
        <f t="shared" si="2"/>
        <v>0</v>
      </c>
      <c r="U131" s="36"/>
      <c r="V131" s="37"/>
      <c r="W131" s="94" t="e">
        <f>VLOOKUP($C$8,APOIO!$A:$F,5,FALSE)</f>
        <v>#N/A</v>
      </c>
    </row>
    <row r="132" spans="1:23" ht="15" x14ac:dyDescent="0.25">
      <c r="A132" s="36"/>
      <c r="B132" s="37" t="e">
        <f>VLOOKUP($A132,APOIO!$C:$D,2,FALSE)</f>
        <v>#N/A</v>
      </c>
      <c r="C132" s="36"/>
      <c r="D132" s="37" t="e">
        <f>VLOOKUP($C132,APOIO!$Z:$AC,2,FALSE)</f>
        <v>#N/A</v>
      </c>
      <c r="E132" s="37" t="e">
        <f>VLOOKUP($C132,APOIO!$Z:$AC,4,FALSE)</f>
        <v>#N/A</v>
      </c>
      <c r="F132" s="39"/>
      <c r="G132" s="40" t="e">
        <f>VLOOKUP($F132,APOIO!$W:$X,2,FALSE)</f>
        <v>#N/A</v>
      </c>
      <c r="H132" s="36"/>
      <c r="I132" s="40" t="e">
        <f>VLOOKUP($H132,APOIO!$AE:$AG,2,FALSE)</f>
        <v>#N/A</v>
      </c>
      <c r="J132" s="40" t="e">
        <f>VLOOKUP($H132,APOIO!$AE:$AG,3,FALSE)</f>
        <v>#N/A</v>
      </c>
      <c r="K132" s="36"/>
      <c r="L132" s="40" t="e">
        <f>VLOOKUP($K132,APOIO!$I:$J,2,FALSE)</f>
        <v>#N/A</v>
      </c>
      <c r="M132" s="37"/>
      <c r="N132" s="37"/>
      <c r="O132" s="37"/>
      <c r="P132" s="37"/>
      <c r="Q132" s="41"/>
      <c r="R132" s="36"/>
      <c r="S132" s="42"/>
      <c r="T132" s="43">
        <f t="shared" si="2"/>
        <v>0</v>
      </c>
      <c r="U132" s="36"/>
      <c r="V132" s="37"/>
      <c r="W132" s="94" t="e">
        <f>VLOOKUP($C$8,APOIO!$A:$F,5,FALSE)</f>
        <v>#N/A</v>
      </c>
    </row>
    <row r="133" spans="1:23" ht="15" x14ac:dyDescent="0.25">
      <c r="A133" s="36"/>
      <c r="B133" s="37" t="e">
        <f>VLOOKUP($A133,APOIO!$C:$D,2,FALSE)</f>
        <v>#N/A</v>
      </c>
      <c r="C133" s="36"/>
      <c r="D133" s="37" t="e">
        <f>VLOOKUP($C133,APOIO!$Z:$AC,2,FALSE)</f>
        <v>#N/A</v>
      </c>
      <c r="E133" s="37" t="e">
        <f>VLOOKUP($C133,APOIO!$Z:$AC,4,FALSE)</f>
        <v>#N/A</v>
      </c>
      <c r="F133" s="39"/>
      <c r="G133" s="40" t="e">
        <f>VLOOKUP($F133,APOIO!$W:$X,2,FALSE)</f>
        <v>#N/A</v>
      </c>
      <c r="H133" s="36"/>
      <c r="I133" s="40" t="e">
        <f>VLOOKUP($H133,APOIO!$AE:$AG,2,FALSE)</f>
        <v>#N/A</v>
      </c>
      <c r="J133" s="40" t="e">
        <f>VLOOKUP($H133,APOIO!$AE:$AG,3,FALSE)</f>
        <v>#N/A</v>
      </c>
      <c r="K133" s="36"/>
      <c r="L133" s="40" t="e">
        <f>VLOOKUP($K133,APOIO!$I:$J,2,FALSE)</f>
        <v>#N/A</v>
      </c>
      <c r="M133" s="37"/>
      <c r="N133" s="37"/>
      <c r="O133" s="37"/>
      <c r="P133" s="37"/>
      <c r="Q133" s="41"/>
      <c r="R133" s="36"/>
      <c r="S133" s="42"/>
      <c r="T133" s="43">
        <f t="shared" si="2"/>
        <v>0</v>
      </c>
      <c r="U133" s="36"/>
      <c r="V133" s="37"/>
      <c r="W133" s="94" t="e">
        <f>VLOOKUP($C$8,APOIO!$A:$F,5,FALSE)</f>
        <v>#N/A</v>
      </c>
    </row>
    <row r="134" spans="1:23" ht="15" x14ac:dyDescent="0.25">
      <c r="A134" s="36"/>
      <c r="B134" s="37" t="e">
        <f>VLOOKUP($A134,APOIO!$C:$D,2,FALSE)</f>
        <v>#N/A</v>
      </c>
      <c r="C134" s="36"/>
      <c r="D134" s="37" t="e">
        <f>VLOOKUP($C134,APOIO!$Z:$AC,2,FALSE)</f>
        <v>#N/A</v>
      </c>
      <c r="E134" s="37" t="e">
        <f>VLOOKUP($C134,APOIO!$Z:$AC,4,FALSE)</f>
        <v>#N/A</v>
      </c>
      <c r="F134" s="39"/>
      <c r="G134" s="40" t="e">
        <f>VLOOKUP($F134,APOIO!$W:$X,2,FALSE)</f>
        <v>#N/A</v>
      </c>
      <c r="H134" s="36"/>
      <c r="I134" s="40" t="e">
        <f>VLOOKUP($H134,APOIO!$AE:$AG,2,FALSE)</f>
        <v>#N/A</v>
      </c>
      <c r="J134" s="40" t="e">
        <f>VLOOKUP($H134,APOIO!$AE:$AG,3,FALSE)</f>
        <v>#N/A</v>
      </c>
      <c r="K134" s="36"/>
      <c r="L134" s="40" t="e">
        <f>VLOOKUP($K134,APOIO!$I:$J,2,FALSE)</f>
        <v>#N/A</v>
      </c>
      <c r="M134" s="37"/>
      <c r="N134" s="37"/>
      <c r="O134" s="37"/>
      <c r="P134" s="37"/>
      <c r="Q134" s="41"/>
      <c r="R134" s="36"/>
      <c r="S134" s="42"/>
      <c r="T134" s="43">
        <f t="shared" si="2"/>
        <v>0</v>
      </c>
      <c r="U134" s="36"/>
      <c r="V134" s="37"/>
      <c r="W134" s="94" t="e">
        <f>VLOOKUP($C$8,APOIO!$A:$F,5,FALSE)</f>
        <v>#N/A</v>
      </c>
    </row>
    <row r="135" spans="1:23" ht="15" x14ac:dyDescent="0.25">
      <c r="A135" s="36"/>
      <c r="B135" s="37" t="e">
        <f>VLOOKUP($A135,APOIO!$C:$D,2,FALSE)</f>
        <v>#N/A</v>
      </c>
      <c r="C135" s="36"/>
      <c r="D135" s="37" t="e">
        <f>VLOOKUP($C135,APOIO!$Z:$AC,2,FALSE)</f>
        <v>#N/A</v>
      </c>
      <c r="E135" s="37" t="e">
        <f>VLOOKUP($C135,APOIO!$Z:$AC,4,FALSE)</f>
        <v>#N/A</v>
      </c>
      <c r="F135" s="39"/>
      <c r="G135" s="40" t="e">
        <f>VLOOKUP($F135,APOIO!$W:$X,2,FALSE)</f>
        <v>#N/A</v>
      </c>
      <c r="H135" s="36"/>
      <c r="I135" s="40" t="e">
        <f>VLOOKUP($H135,APOIO!$AE:$AG,2,FALSE)</f>
        <v>#N/A</v>
      </c>
      <c r="J135" s="40" t="e">
        <f>VLOOKUP($H135,APOIO!$AE:$AG,3,FALSE)</f>
        <v>#N/A</v>
      </c>
      <c r="K135" s="36"/>
      <c r="L135" s="40" t="e">
        <f>VLOOKUP($K135,APOIO!$I:$J,2,FALSE)</f>
        <v>#N/A</v>
      </c>
      <c r="M135" s="37"/>
      <c r="N135" s="37"/>
      <c r="O135" s="37"/>
      <c r="P135" s="37"/>
      <c r="Q135" s="41"/>
      <c r="R135" s="36"/>
      <c r="S135" s="42"/>
      <c r="T135" s="43">
        <f t="shared" si="2"/>
        <v>0</v>
      </c>
      <c r="U135" s="36"/>
      <c r="V135" s="37"/>
      <c r="W135" s="94" t="e">
        <f>VLOOKUP($C$8,APOIO!$A:$F,5,FALSE)</f>
        <v>#N/A</v>
      </c>
    </row>
    <row r="136" spans="1:23" ht="15" x14ac:dyDescent="0.25">
      <c r="A136" s="36"/>
      <c r="B136" s="37" t="e">
        <f>VLOOKUP($A136,APOIO!$C:$D,2,FALSE)</f>
        <v>#N/A</v>
      </c>
      <c r="C136" s="36"/>
      <c r="D136" s="37" t="e">
        <f>VLOOKUP($C136,APOIO!$Z:$AC,2,FALSE)</f>
        <v>#N/A</v>
      </c>
      <c r="E136" s="37" t="e">
        <f>VLOOKUP($C136,APOIO!$Z:$AC,4,FALSE)</f>
        <v>#N/A</v>
      </c>
      <c r="F136" s="39"/>
      <c r="G136" s="40" t="e">
        <f>VLOOKUP($F136,APOIO!$W:$X,2,FALSE)</f>
        <v>#N/A</v>
      </c>
      <c r="H136" s="36"/>
      <c r="I136" s="40" t="e">
        <f>VLOOKUP($H136,APOIO!$AE:$AG,2,FALSE)</f>
        <v>#N/A</v>
      </c>
      <c r="J136" s="40" t="e">
        <f>VLOOKUP($H136,APOIO!$AE:$AG,3,FALSE)</f>
        <v>#N/A</v>
      </c>
      <c r="K136" s="36"/>
      <c r="L136" s="40" t="e">
        <f>VLOOKUP($K136,APOIO!$I:$J,2,FALSE)</f>
        <v>#N/A</v>
      </c>
      <c r="M136" s="37"/>
      <c r="N136" s="37"/>
      <c r="O136" s="37"/>
      <c r="P136" s="37"/>
      <c r="Q136" s="41"/>
      <c r="R136" s="36"/>
      <c r="S136" s="42"/>
      <c r="T136" s="43">
        <f t="shared" si="2"/>
        <v>0</v>
      </c>
      <c r="U136" s="36"/>
      <c r="V136" s="37"/>
      <c r="W136" s="94" t="e">
        <f>VLOOKUP($C$8,APOIO!$A:$F,5,FALSE)</f>
        <v>#N/A</v>
      </c>
    </row>
    <row r="137" spans="1:23" ht="15" x14ac:dyDescent="0.25">
      <c r="A137" s="36"/>
      <c r="B137" s="37" t="e">
        <f>VLOOKUP($A137,APOIO!$C:$D,2,FALSE)</f>
        <v>#N/A</v>
      </c>
      <c r="C137" s="36"/>
      <c r="D137" s="37" t="e">
        <f>VLOOKUP($C137,APOIO!$Z:$AC,2,FALSE)</f>
        <v>#N/A</v>
      </c>
      <c r="E137" s="37" t="e">
        <f>VLOOKUP($C137,APOIO!$Z:$AC,4,FALSE)</f>
        <v>#N/A</v>
      </c>
      <c r="F137" s="39"/>
      <c r="G137" s="40" t="e">
        <f>VLOOKUP($F137,APOIO!$W:$X,2,FALSE)</f>
        <v>#N/A</v>
      </c>
      <c r="H137" s="36"/>
      <c r="I137" s="40" t="e">
        <f>VLOOKUP($H137,APOIO!$AE:$AG,2,FALSE)</f>
        <v>#N/A</v>
      </c>
      <c r="J137" s="40" t="e">
        <f>VLOOKUP($H137,APOIO!$AE:$AG,3,FALSE)</f>
        <v>#N/A</v>
      </c>
      <c r="K137" s="36"/>
      <c r="L137" s="40" t="e">
        <f>VLOOKUP($K137,APOIO!$I:$J,2,FALSE)</f>
        <v>#N/A</v>
      </c>
      <c r="M137" s="37"/>
      <c r="N137" s="37"/>
      <c r="O137" s="37"/>
      <c r="P137" s="37"/>
      <c r="Q137" s="41"/>
      <c r="R137" s="36"/>
      <c r="S137" s="42"/>
      <c r="T137" s="43">
        <f t="shared" si="2"/>
        <v>0</v>
      </c>
      <c r="U137" s="36"/>
      <c r="V137" s="37"/>
      <c r="W137" s="94" t="e">
        <f>VLOOKUP($C$8,APOIO!$A:$F,5,FALSE)</f>
        <v>#N/A</v>
      </c>
    </row>
    <row r="138" spans="1:23" ht="15" x14ac:dyDescent="0.25">
      <c r="A138" s="36"/>
      <c r="B138" s="37" t="e">
        <f>VLOOKUP($A138,APOIO!$C:$D,2,FALSE)</f>
        <v>#N/A</v>
      </c>
      <c r="C138" s="36"/>
      <c r="D138" s="37" t="e">
        <f>VLOOKUP($C138,APOIO!$Z:$AC,2,FALSE)</f>
        <v>#N/A</v>
      </c>
      <c r="E138" s="37" t="e">
        <f>VLOOKUP($C138,APOIO!$Z:$AC,4,FALSE)</f>
        <v>#N/A</v>
      </c>
      <c r="F138" s="39"/>
      <c r="G138" s="40" t="e">
        <f>VLOOKUP($F138,APOIO!$W:$X,2,FALSE)</f>
        <v>#N/A</v>
      </c>
      <c r="H138" s="36"/>
      <c r="I138" s="40" t="e">
        <f>VLOOKUP($H138,APOIO!$AE:$AG,2,FALSE)</f>
        <v>#N/A</v>
      </c>
      <c r="J138" s="40" t="e">
        <f>VLOOKUP($H138,APOIO!$AE:$AG,3,FALSE)</f>
        <v>#N/A</v>
      </c>
      <c r="K138" s="36"/>
      <c r="L138" s="40" t="e">
        <f>VLOOKUP($K138,APOIO!$I:$J,2,FALSE)</f>
        <v>#N/A</v>
      </c>
      <c r="M138" s="37"/>
      <c r="N138" s="37"/>
      <c r="O138" s="37"/>
      <c r="P138" s="37"/>
      <c r="Q138" s="41"/>
      <c r="R138" s="36"/>
      <c r="S138" s="42"/>
      <c r="T138" s="43">
        <f t="shared" si="2"/>
        <v>0</v>
      </c>
      <c r="U138" s="36"/>
      <c r="V138" s="37"/>
      <c r="W138" s="94" t="e">
        <f>VLOOKUP($C$8,APOIO!$A:$F,5,FALSE)</f>
        <v>#N/A</v>
      </c>
    </row>
    <row r="139" spans="1:23" ht="15" x14ac:dyDescent="0.25">
      <c r="A139" s="36"/>
      <c r="B139" s="37" t="e">
        <f>VLOOKUP($A139,APOIO!$C:$D,2,FALSE)</f>
        <v>#N/A</v>
      </c>
      <c r="C139" s="36"/>
      <c r="D139" s="37" t="e">
        <f>VLOOKUP($C139,APOIO!$Z:$AC,2,FALSE)</f>
        <v>#N/A</v>
      </c>
      <c r="E139" s="37" t="e">
        <f>VLOOKUP($C139,APOIO!$Z:$AC,4,FALSE)</f>
        <v>#N/A</v>
      </c>
      <c r="F139" s="39"/>
      <c r="G139" s="40" t="e">
        <f>VLOOKUP($F139,APOIO!$W:$X,2,FALSE)</f>
        <v>#N/A</v>
      </c>
      <c r="H139" s="36"/>
      <c r="I139" s="40" t="e">
        <f>VLOOKUP($H139,APOIO!$AE:$AG,2,FALSE)</f>
        <v>#N/A</v>
      </c>
      <c r="J139" s="40" t="e">
        <f>VLOOKUP($H139,APOIO!$AE:$AG,3,FALSE)</f>
        <v>#N/A</v>
      </c>
      <c r="K139" s="36"/>
      <c r="L139" s="40" t="e">
        <f>VLOOKUP($K139,APOIO!$I:$J,2,FALSE)</f>
        <v>#N/A</v>
      </c>
      <c r="M139" s="37"/>
      <c r="N139" s="37"/>
      <c r="O139" s="37"/>
      <c r="P139" s="37"/>
      <c r="Q139" s="41"/>
      <c r="R139" s="36"/>
      <c r="S139" s="42"/>
      <c r="T139" s="43">
        <f t="shared" ref="T139:T200" si="3">R139*S139</f>
        <v>0</v>
      </c>
      <c r="U139" s="36"/>
      <c r="V139" s="37"/>
      <c r="W139" s="94" t="e">
        <f>VLOOKUP($C$8,APOIO!$A:$F,5,FALSE)</f>
        <v>#N/A</v>
      </c>
    </row>
    <row r="140" spans="1:23" ht="15" x14ac:dyDescent="0.25">
      <c r="A140" s="36"/>
      <c r="B140" s="37" t="e">
        <f>VLOOKUP($A140,APOIO!$C:$D,2,FALSE)</f>
        <v>#N/A</v>
      </c>
      <c r="C140" s="36"/>
      <c r="D140" s="37" t="e">
        <f>VLOOKUP($C140,APOIO!$Z:$AC,2,FALSE)</f>
        <v>#N/A</v>
      </c>
      <c r="E140" s="37" t="e">
        <f>VLOOKUP($C140,APOIO!$Z:$AC,4,FALSE)</f>
        <v>#N/A</v>
      </c>
      <c r="F140" s="39"/>
      <c r="G140" s="40" t="e">
        <f>VLOOKUP($F140,APOIO!$W:$X,2,FALSE)</f>
        <v>#N/A</v>
      </c>
      <c r="H140" s="36"/>
      <c r="I140" s="40" t="e">
        <f>VLOOKUP($H140,APOIO!$AE:$AG,2,FALSE)</f>
        <v>#N/A</v>
      </c>
      <c r="J140" s="40" t="e">
        <f>VLOOKUP($H140,APOIO!$AE:$AG,3,FALSE)</f>
        <v>#N/A</v>
      </c>
      <c r="K140" s="36"/>
      <c r="L140" s="40" t="e">
        <f>VLOOKUP($K140,APOIO!$I:$J,2,FALSE)</f>
        <v>#N/A</v>
      </c>
      <c r="M140" s="37"/>
      <c r="N140" s="37"/>
      <c r="O140" s="37"/>
      <c r="P140" s="37"/>
      <c r="Q140" s="41"/>
      <c r="R140" s="36"/>
      <c r="S140" s="42"/>
      <c r="T140" s="43">
        <f t="shared" si="3"/>
        <v>0</v>
      </c>
      <c r="U140" s="36"/>
      <c r="V140" s="37"/>
      <c r="W140" s="94" t="e">
        <f>VLOOKUP($C$8,APOIO!$A:$F,5,FALSE)</f>
        <v>#N/A</v>
      </c>
    </row>
    <row r="141" spans="1:23" ht="15" x14ac:dyDescent="0.25">
      <c r="A141" s="36"/>
      <c r="B141" s="37" t="e">
        <f>VLOOKUP($A141,APOIO!$C:$D,2,FALSE)</f>
        <v>#N/A</v>
      </c>
      <c r="C141" s="36"/>
      <c r="D141" s="37" t="e">
        <f>VLOOKUP($C141,APOIO!$Z:$AC,2,FALSE)</f>
        <v>#N/A</v>
      </c>
      <c r="E141" s="37" t="e">
        <f>VLOOKUP($C141,APOIO!$Z:$AC,4,FALSE)</f>
        <v>#N/A</v>
      </c>
      <c r="F141" s="39"/>
      <c r="G141" s="40" t="e">
        <f>VLOOKUP($F141,APOIO!$W:$X,2,FALSE)</f>
        <v>#N/A</v>
      </c>
      <c r="H141" s="36"/>
      <c r="I141" s="40" t="e">
        <f>VLOOKUP($H141,APOIO!$AE:$AG,2,FALSE)</f>
        <v>#N/A</v>
      </c>
      <c r="J141" s="40" t="e">
        <f>VLOOKUP($H141,APOIO!$AE:$AG,3,FALSE)</f>
        <v>#N/A</v>
      </c>
      <c r="K141" s="36"/>
      <c r="L141" s="40" t="e">
        <f>VLOOKUP($K141,APOIO!$I:$J,2,FALSE)</f>
        <v>#N/A</v>
      </c>
      <c r="M141" s="37"/>
      <c r="N141" s="37"/>
      <c r="O141" s="37"/>
      <c r="P141" s="37"/>
      <c r="Q141" s="41"/>
      <c r="R141" s="36"/>
      <c r="S141" s="42"/>
      <c r="T141" s="43">
        <f t="shared" si="3"/>
        <v>0</v>
      </c>
      <c r="U141" s="36"/>
      <c r="V141" s="37"/>
      <c r="W141" s="94" t="e">
        <f>VLOOKUP($C$8,APOIO!$A:$F,5,FALSE)</f>
        <v>#N/A</v>
      </c>
    </row>
    <row r="142" spans="1:23" ht="15" x14ac:dyDescent="0.25">
      <c r="A142" s="36"/>
      <c r="B142" s="37" t="e">
        <f>VLOOKUP($A142,APOIO!$C:$D,2,FALSE)</f>
        <v>#N/A</v>
      </c>
      <c r="C142" s="36"/>
      <c r="D142" s="37" t="e">
        <f>VLOOKUP($C142,APOIO!$Z:$AC,2,FALSE)</f>
        <v>#N/A</v>
      </c>
      <c r="E142" s="37" t="e">
        <f>VLOOKUP($C142,APOIO!$Z:$AC,4,FALSE)</f>
        <v>#N/A</v>
      </c>
      <c r="F142" s="39"/>
      <c r="G142" s="40" t="e">
        <f>VLOOKUP($F142,APOIO!$W:$X,2,FALSE)</f>
        <v>#N/A</v>
      </c>
      <c r="H142" s="36"/>
      <c r="I142" s="40" t="e">
        <f>VLOOKUP($H142,APOIO!$AE:$AG,2,FALSE)</f>
        <v>#N/A</v>
      </c>
      <c r="J142" s="40" t="e">
        <f>VLOOKUP($H142,APOIO!$AE:$AG,3,FALSE)</f>
        <v>#N/A</v>
      </c>
      <c r="K142" s="36"/>
      <c r="L142" s="40" t="e">
        <f>VLOOKUP($K142,APOIO!$I:$J,2,FALSE)</f>
        <v>#N/A</v>
      </c>
      <c r="M142" s="37"/>
      <c r="N142" s="37"/>
      <c r="O142" s="37"/>
      <c r="P142" s="37"/>
      <c r="Q142" s="41"/>
      <c r="R142" s="36"/>
      <c r="S142" s="42"/>
      <c r="T142" s="43">
        <f t="shared" si="3"/>
        <v>0</v>
      </c>
      <c r="U142" s="36"/>
      <c r="V142" s="37"/>
      <c r="W142" s="94" t="e">
        <f>VLOOKUP($C$8,APOIO!$A:$F,5,FALSE)</f>
        <v>#N/A</v>
      </c>
    </row>
    <row r="143" spans="1:23" ht="15" x14ac:dyDescent="0.25">
      <c r="A143" s="36"/>
      <c r="B143" s="37" t="e">
        <f>VLOOKUP($A143,APOIO!$C:$D,2,FALSE)</f>
        <v>#N/A</v>
      </c>
      <c r="C143" s="36"/>
      <c r="D143" s="37" t="e">
        <f>VLOOKUP($C143,APOIO!$Z:$AC,2,FALSE)</f>
        <v>#N/A</v>
      </c>
      <c r="E143" s="37" t="e">
        <f>VLOOKUP($C143,APOIO!$Z:$AC,4,FALSE)</f>
        <v>#N/A</v>
      </c>
      <c r="F143" s="39"/>
      <c r="G143" s="40" t="e">
        <f>VLOOKUP($F143,APOIO!$W:$X,2,FALSE)</f>
        <v>#N/A</v>
      </c>
      <c r="H143" s="36"/>
      <c r="I143" s="40" t="e">
        <f>VLOOKUP($H143,APOIO!$AE:$AG,2,FALSE)</f>
        <v>#N/A</v>
      </c>
      <c r="J143" s="40" t="e">
        <f>VLOOKUP($H143,APOIO!$AE:$AG,3,FALSE)</f>
        <v>#N/A</v>
      </c>
      <c r="K143" s="36"/>
      <c r="L143" s="40" t="e">
        <f>VLOOKUP($K143,APOIO!$I:$J,2,FALSE)</f>
        <v>#N/A</v>
      </c>
      <c r="M143" s="37"/>
      <c r="N143" s="37"/>
      <c r="O143" s="37"/>
      <c r="P143" s="37"/>
      <c r="Q143" s="41"/>
      <c r="R143" s="36"/>
      <c r="S143" s="42"/>
      <c r="T143" s="43">
        <f t="shared" si="3"/>
        <v>0</v>
      </c>
      <c r="U143" s="36"/>
      <c r="V143" s="37"/>
      <c r="W143" s="94" t="e">
        <f>VLOOKUP($C$8,APOIO!$A:$F,5,FALSE)</f>
        <v>#N/A</v>
      </c>
    </row>
    <row r="144" spans="1:23" ht="15" x14ac:dyDescent="0.25">
      <c r="A144" s="36"/>
      <c r="B144" s="37" t="e">
        <f>VLOOKUP($A144,APOIO!$C:$D,2,FALSE)</f>
        <v>#N/A</v>
      </c>
      <c r="C144" s="36"/>
      <c r="D144" s="37" t="e">
        <f>VLOOKUP($C144,APOIO!$Z:$AC,2,FALSE)</f>
        <v>#N/A</v>
      </c>
      <c r="E144" s="37" t="e">
        <f>VLOOKUP($C144,APOIO!$Z:$AC,4,FALSE)</f>
        <v>#N/A</v>
      </c>
      <c r="F144" s="39"/>
      <c r="G144" s="40" t="e">
        <f>VLOOKUP($F144,APOIO!$W:$X,2,FALSE)</f>
        <v>#N/A</v>
      </c>
      <c r="H144" s="36"/>
      <c r="I144" s="40" t="e">
        <f>VLOOKUP($H144,APOIO!$AE:$AG,2,FALSE)</f>
        <v>#N/A</v>
      </c>
      <c r="J144" s="40" t="e">
        <f>VLOOKUP($H144,APOIO!$AE:$AG,3,FALSE)</f>
        <v>#N/A</v>
      </c>
      <c r="K144" s="36"/>
      <c r="L144" s="40" t="e">
        <f>VLOOKUP($K144,APOIO!$I:$J,2,FALSE)</f>
        <v>#N/A</v>
      </c>
      <c r="M144" s="37"/>
      <c r="N144" s="37"/>
      <c r="O144" s="37"/>
      <c r="P144" s="37"/>
      <c r="Q144" s="41"/>
      <c r="R144" s="36"/>
      <c r="S144" s="42"/>
      <c r="T144" s="43">
        <f t="shared" si="3"/>
        <v>0</v>
      </c>
      <c r="U144" s="36"/>
      <c r="V144" s="37"/>
      <c r="W144" s="94" t="e">
        <f>VLOOKUP($C$8,APOIO!$A:$F,5,FALSE)</f>
        <v>#N/A</v>
      </c>
    </row>
    <row r="145" spans="1:23" ht="15" x14ac:dyDescent="0.25">
      <c r="A145" s="36"/>
      <c r="B145" s="37" t="e">
        <f>VLOOKUP($A145,APOIO!$C:$D,2,FALSE)</f>
        <v>#N/A</v>
      </c>
      <c r="C145" s="36"/>
      <c r="D145" s="37" t="e">
        <f>VLOOKUP($C145,APOIO!$Z:$AC,2,FALSE)</f>
        <v>#N/A</v>
      </c>
      <c r="E145" s="37" t="e">
        <f>VLOOKUP($C145,APOIO!$Z:$AC,4,FALSE)</f>
        <v>#N/A</v>
      </c>
      <c r="F145" s="39"/>
      <c r="G145" s="40" t="e">
        <f>VLOOKUP($F145,APOIO!$W:$X,2,FALSE)</f>
        <v>#N/A</v>
      </c>
      <c r="H145" s="36"/>
      <c r="I145" s="40" t="e">
        <f>VLOOKUP($H145,APOIO!$AE:$AG,2,FALSE)</f>
        <v>#N/A</v>
      </c>
      <c r="J145" s="40" t="e">
        <f>VLOOKUP($H145,APOIO!$AE:$AG,3,FALSE)</f>
        <v>#N/A</v>
      </c>
      <c r="K145" s="36"/>
      <c r="L145" s="40" t="e">
        <f>VLOOKUP($K145,APOIO!$I:$J,2,FALSE)</f>
        <v>#N/A</v>
      </c>
      <c r="M145" s="37"/>
      <c r="N145" s="37"/>
      <c r="O145" s="37"/>
      <c r="P145" s="37"/>
      <c r="Q145" s="41"/>
      <c r="R145" s="36"/>
      <c r="S145" s="42"/>
      <c r="T145" s="43">
        <f t="shared" si="3"/>
        <v>0</v>
      </c>
      <c r="U145" s="36"/>
      <c r="V145" s="37"/>
      <c r="W145" s="94" t="e">
        <f>VLOOKUP($C$8,APOIO!$A:$F,5,FALSE)</f>
        <v>#N/A</v>
      </c>
    </row>
    <row r="146" spans="1:23" ht="15" x14ac:dyDescent="0.25">
      <c r="A146" s="36"/>
      <c r="B146" s="37" t="e">
        <f>VLOOKUP($A146,APOIO!$C:$D,2,FALSE)</f>
        <v>#N/A</v>
      </c>
      <c r="C146" s="36"/>
      <c r="D146" s="37" t="e">
        <f>VLOOKUP($C146,APOIO!$Z:$AC,2,FALSE)</f>
        <v>#N/A</v>
      </c>
      <c r="E146" s="37" t="e">
        <f>VLOOKUP($C146,APOIO!$Z:$AC,4,FALSE)</f>
        <v>#N/A</v>
      </c>
      <c r="F146" s="39"/>
      <c r="G146" s="40" t="e">
        <f>VLOOKUP($F146,APOIO!$W:$X,2,FALSE)</f>
        <v>#N/A</v>
      </c>
      <c r="H146" s="36"/>
      <c r="I146" s="40" t="e">
        <f>VLOOKUP($H146,APOIO!$AE:$AG,2,FALSE)</f>
        <v>#N/A</v>
      </c>
      <c r="J146" s="40" t="e">
        <f>VLOOKUP($H146,APOIO!$AE:$AG,3,FALSE)</f>
        <v>#N/A</v>
      </c>
      <c r="K146" s="36"/>
      <c r="L146" s="40" t="e">
        <f>VLOOKUP($K146,APOIO!$I:$J,2,FALSE)</f>
        <v>#N/A</v>
      </c>
      <c r="M146" s="37"/>
      <c r="N146" s="37"/>
      <c r="O146" s="37"/>
      <c r="P146" s="37"/>
      <c r="Q146" s="41"/>
      <c r="R146" s="36"/>
      <c r="S146" s="42"/>
      <c r="T146" s="43">
        <f t="shared" si="3"/>
        <v>0</v>
      </c>
      <c r="U146" s="36"/>
      <c r="V146" s="37"/>
      <c r="W146" s="94" t="e">
        <f>VLOOKUP($C$8,APOIO!$A:$F,5,FALSE)</f>
        <v>#N/A</v>
      </c>
    </row>
    <row r="147" spans="1:23" ht="15" x14ac:dyDescent="0.25">
      <c r="A147" s="36"/>
      <c r="B147" s="37" t="e">
        <f>VLOOKUP($A147,APOIO!$C:$D,2,FALSE)</f>
        <v>#N/A</v>
      </c>
      <c r="C147" s="36"/>
      <c r="D147" s="37" t="e">
        <f>VLOOKUP($C147,APOIO!$Z:$AC,2,FALSE)</f>
        <v>#N/A</v>
      </c>
      <c r="E147" s="37" t="e">
        <f>VLOOKUP($C147,APOIO!$Z:$AC,4,FALSE)</f>
        <v>#N/A</v>
      </c>
      <c r="F147" s="39"/>
      <c r="G147" s="40" t="e">
        <f>VLOOKUP($F147,APOIO!$W:$X,2,FALSE)</f>
        <v>#N/A</v>
      </c>
      <c r="H147" s="36"/>
      <c r="I147" s="40" t="e">
        <f>VLOOKUP($H147,APOIO!$AE:$AG,2,FALSE)</f>
        <v>#N/A</v>
      </c>
      <c r="J147" s="40" t="e">
        <f>VLOOKUP($H147,APOIO!$AE:$AG,3,FALSE)</f>
        <v>#N/A</v>
      </c>
      <c r="K147" s="36"/>
      <c r="L147" s="40" t="e">
        <f>VLOOKUP($K147,APOIO!$I:$J,2,FALSE)</f>
        <v>#N/A</v>
      </c>
      <c r="M147" s="37"/>
      <c r="N147" s="37"/>
      <c r="O147" s="37"/>
      <c r="P147" s="37"/>
      <c r="Q147" s="41"/>
      <c r="R147" s="36"/>
      <c r="S147" s="42"/>
      <c r="T147" s="43">
        <f t="shared" si="3"/>
        <v>0</v>
      </c>
      <c r="U147" s="36"/>
      <c r="V147" s="37"/>
      <c r="W147" s="94" t="e">
        <f>VLOOKUP($C$8,APOIO!$A:$F,5,FALSE)</f>
        <v>#N/A</v>
      </c>
    </row>
    <row r="148" spans="1:23" ht="15" x14ac:dyDescent="0.25">
      <c r="A148" s="36"/>
      <c r="B148" s="37" t="e">
        <f>VLOOKUP($A148,APOIO!$C:$D,2,FALSE)</f>
        <v>#N/A</v>
      </c>
      <c r="C148" s="36"/>
      <c r="D148" s="37" t="e">
        <f>VLOOKUP($C148,APOIO!$Z:$AC,2,FALSE)</f>
        <v>#N/A</v>
      </c>
      <c r="E148" s="37" t="e">
        <f>VLOOKUP($C148,APOIO!$Z:$AC,4,FALSE)</f>
        <v>#N/A</v>
      </c>
      <c r="F148" s="39"/>
      <c r="G148" s="40" t="e">
        <f>VLOOKUP($F148,APOIO!$W:$X,2,FALSE)</f>
        <v>#N/A</v>
      </c>
      <c r="H148" s="36"/>
      <c r="I148" s="40" t="e">
        <f>VLOOKUP($H148,APOIO!$AE:$AG,2,FALSE)</f>
        <v>#N/A</v>
      </c>
      <c r="J148" s="40" t="e">
        <f>VLOOKUP($H148,APOIO!$AE:$AG,3,FALSE)</f>
        <v>#N/A</v>
      </c>
      <c r="K148" s="36"/>
      <c r="L148" s="40" t="e">
        <f>VLOOKUP($K148,APOIO!$I:$J,2,FALSE)</f>
        <v>#N/A</v>
      </c>
      <c r="M148" s="37"/>
      <c r="N148" s="37"/>
      <c r="O148" s="37"/>
      <c r="P148" s="37"/>
      <c r="Q148" s="41"/>
      <c r="R148" s="36"/>
      <c r="S148" s="42"/>
      <c r="T148" s="43">
        <f t="shared" si="3"/>
        <v>0</v>
      </c>
      <c r="U148" s="36"/>
      <c r="V148" s="37"/>
      <c r="W148" s="94" t="e">
        <f>VLOOKUP($C$8,APOIO!$A:$F,5,FALSE)</f>
        <v>#N/A</v>
      </c>
    </row>
    <row r="149" spans="1:23" ht="15" x14ac:dyDescent="0.25">
      <c r="A149" s="36"/>
      <c r="B149" s="37" t="e">
        <f>VLOOKUP($A149,APOIO!$C:$D,2,FALSE)</f>
        <v>#N/A</v>
      </c>
      <c r="C149" s="36"/>
      <c r="D149" s="37" t="e">
        <f>VLOOKUP($C149,APOIO!$Z:$AC,2,FALSE)</f>
        <v>#N/A</v>
      </c>
      <c r="E149" s="37" t="e">
        <f>VLOOKUP($C149,APOIO!$Z:$AC,4,FALSE)</f>
        <v>#N/A</v>
      </c>
      <c r="F149" s="39"/>
      <c r="G149" s="40" t="e">
        <f>VLOOKUP($F149,APOIO!$W:$X,2,FALSE)</f>
        <v>#N/A</v>
      </c>
      <c r="H149" s="36"/>
      <c r="I149" s="40" t="e">
        <f>VLOOKUP($H149,APOIO!$AE:$AG,2,FALSE)</f>
        <v>#N/A</v>
      </c>
      <c r="J149" s="40" t="e">
        <f>VLOOKUP($H149,APOIO!$AE:$AG,3,FALSE)</f>
        <v>#N/A</v>
      </c>
      <c r="K149" s="36"/>
      <c r="L149" s="40" t="e">
        <f>VLOOKUP($K149,APOIO!$I:$J,2,FALSE)</f>
        <v>#N/A</v>
      </c>
      <c r="M149" s="37"/>
      <c r="N149" s="37"/>
      <c r="O149" s="37"/>
      <c r="P149" s="37"/>
      <c r="Q149" s="41"/>
      <c r="R149" s="36"/>
      <c r="S149" s="42"/>
      <c r="T149" s="43">
        <f t="shared" si="3"/>
        <v>0</v>
      </c>
      <c r="U149" s="36"/>
      <c r="V149" s="37"/>
      <c r="W149" s="94" t="e">
        <f>VLOOKUP($C$8,APOIO!$A:$F,5,FALSE)</f>
        <v>#N/A</v>
      </c>
    </row>
    <row r="150" spans="1:23" ht="15" x14ac:dyDescent="0.25">
      <c r="A150" s="36"/>
      <c r="B150" s="37" t="e">
        <f>VLOOKUP($A150,APOIO!$C:$D,2,FALSE)</f>
        <v>#N/A</v>
      </c>
      <c r="C150" s="36"/>
      <c r="D150" s="37" t="e">
        <f>VLOOKUP($C150,APOIO!$Z:$AC,2,FALSE)</f>
        <v>#N/A</v>
      </c>
      <c r="E150" s="37" t="e">
        <f>VLOOKUP($C150,APOIO!$Z:$AC,4,FALSE)</f>
        <v>#N/A</v>
      </c>
      <c r="F150" s="39"/>
      <c r="G150" s="40" t="e">
        <f>VLOOKUP($F150,APOIO!$W:$X,2,FALSE)</f>
        <v>#N/A</v>
      </c>
      <c r="H150" s="36"/>
      <c r="I150" s="40" t="e">
        <f>VLOOKUP($H150,APOIO!$AE:$AG,2,FALSE)</f>
        <v>#N/A</v>
      </c>
      <c r="J150" s="40" t="e">
        <f>VLOOKUP($H150,APOIO!$AE:$AG,3,FALSE)</f>
        <v>#N/A</v>
      </c>
      <c r="K150" s="36"/>
      <c r="L150" s="40" t="e">
        <f>VLOOKUP($K150,APOIO!$I:$J,2,FALSE)</f>
        <v>#N/A</v>
      </c>
      <c r="M150" s="37"/>
      <c r="N150" s="37"/>
      <c r="O150" s="37"/>
      <c r="P150" s="37"/>
      <c r="Q150" s="41"/>
      <c r="R150" s="36"/>
      <c r="S150" s="42"/>
      <c r="T150" s="43">
        <f t="shared" si="3"/>
        <v>0</v>
      </c>
      <c r="U150" s="36"/>
      <c r="V150" s="37"/>
      <c r="W150" s="94" t="e">
        <f>VLOOKUP($C$8,APOIO!$A:$F,5,FALSE)</f>
        <v>#N/A</v>
      </c>
    </row>
    <row r="151" spans="1:23" ht="15" x14ac:dyDescent="0.25">
      <c r="A151" s="36"/>
      <c r="B151" s="37" t="e">
        <f>VLOOKUP($A151,APOIO!$C:$D,2,FALSE)</f>
        <v>#N/A</v>
      </c>
      <c r="C151" s="36"/>
      <c r="D151" s="37" t="e">
        <f>VLOOKUP($C151,APOIO!$Z:$AC,2,FALSE)</f>
        <v>#N/A</v>
      </c>
      <c r="E151" s="37" t="e">
        <f>VLOOKUP($C151,APOIO!$Z:$AC,4,FALSE)</f>
        <v>#N/A</v>
      </c>
      <c r="F151" s="39"/>
      <c r="G151" s="40" t="e">
        <f>VLOOKUP($F151,APOIO!$W:$X,2,FALSE)</f>
        <v>#N/A</v>
      </c>
      <c r="H151" s="36"/>
      <c r="I151" s="40" t="e">
        <f>VLOOKUP($H151,APOIO!$AE:$AG,2,FALSE)</f>
        <v>#N/A</v>
      </c>
      <c r="J151" s="40" t="e">
        <f>VLOOKUP($H151,APOIO!$AE:$AG,3,FALSE)</f>
        <v>#N/A</v>
      </c>
      <c r="K151" s="36"/>
      <c r="L151" s="40" t="e">
        <f>VLOOKUP($K151,APOIO!$I:$J,2,FALSE)</f>
        <v>#N/A</v>
      </c>
      <c r="M151" s="37"/>
      <c r="N151" s="37"/>
      <c r="O151" s="37"/>
      <c r="P151" s="37"/>
      <c r="Q151" s="41"/>
      <c r="R151" s="36"/>
      <c r="S151" s="42"/>
      <c r="T151" s="43">
        <f t="shared" si="3"/>
        <v>0</v>
      </c>
      <c r="U151" s="36"/>
      <c r="V151" s="37"/>
      <c r="W151" s="94" t="e">
        <f>VLOOKUP($C$8,APOIO!$A:$F,5,FALSE)</f>
        <v>#N/A</v>
      </c>
    </row>
    <row r="152" spans="1:23" ht="15" x14ac:dyDescent="0.25">
      <c r="A152" s="36"/>
      <c r="B152" s="37" t="e">
        <f>VLOOKUP($A152,APOIO!$C:$D,2,FALSE)</f>
        <v>#N/A</v>
      </c>
      <c r="C152" s="36"/>
      <c r="D152" s="37" t="e">
        <f>VLOOKUP($C152,APOIO!$Z:$AC,2,FALSE)</f>
        <v>#N/A</v>
      </c>
      <c r="E152" s="37" t="e">
        <f>VLOOKUP($C152,APOIO!$Z:$AC,4,FALSE)</f>
        <v>#N/A</v>
      </c>
      <c r="F152" s="39"/>
      <c r="G152" s="40" t="e">
        <f>VLOOKUP($F152,APOIO!$W:$X,2,FALSE)</f>
        <v>#N/A</v>
      </c>
      <c r="H152" s="36"/>
      <c r="I152" s="40" t="e">
        <f>VLOOKUP($H152,APOIO!$AE:$AG,2,FALSE)</f>
        <v>#N/A</v>
      </c>
      <c r="J152" s="40" t="e">
        <f>VLOOKUP($H152,APOIO!$AE:$AG,3,FALSE)</f>
        <v>#N/A</v>
      </c>
      <c r="K152" s="36"/>
      <c r="L152" s="40" t="e">
        <f>VLOOKUP($K152,APOIO!$I:$J,2,FALSE)</f>
        <v>#N/A</v>
      </c>
      <c r="M152" s="37"/>
      <c r="N152" s="37"/>
      <c r="O152" s="37"/>
      <c r="P152" s="37"/>
      <c r="Q152" s="41"/>
      <c r="R152" s="36"/>
      <c r="S152" s="42"/>
      <c r="T152" s="43">
        <f t="shared" si="3"/>
        <v>0</v>
      </c>
      <c r="U152" s="36"/>
      <c r="V152" s="37"/>
      <c r="W152" s="94" t="e">
        <f>VLOOKUP($C$8,APOIO!$A:$F,5,FALSE)</f>
        <v>#N/A</v>
      </c>
    </row>
    <row r="153" spans="1:23" ht="15" x14ac:dyDescent="0.25">
      <c r="A153" s="36"/>
      <c r="B153" s="37" t="e">
        <f>VLOOKUP($A153,APOIO!$C:$D,2,FALSE)</f>
        <v>#N/A</v>
      </c>
      <c r="C153" s="36"/>
      <c r="D153" s="37" t="e">
        <f>VLOOKUP($C153,APOIO!$Z:$AC,2,FALSE)</f>
        <v>#N/A</v>
      </c>
      <c r="E153" s="37" t="e">
        <f>VLOOKUP($C153,APOIO!$Z:$AC,4,FALSE)</f>
        <v>#N/A</v>
      </c>
      <c r="F153" s="39"/>
      <c r="G153" s="40" t="e">
        <f>VLOOKUP($F153,APOIO!$W:$X,2,FALSE)</f>
        <v>#N/A</v>
      </c>
      <c r="H153" s="36"/>
      <c r="I153" s="40" t="e">
        <f>VLOOKUP($H153,APOIO!$AE:$AG,2,FALSE)</f>
        <v>#N/A</v>
      </c>
      <c r="J153" s="40" t="e">
        <f>VLOOKUP($H153,APOIO!$AE:$AG,3,FALSE)</f>
        <v>#N/A</v>
      </c>
      <c r="K153" s="36"/>
      <c r="L153" s="40" t="e">
        <f>VLOOKUP($K153,APOIO!$I:$J,2,FALSE)</f>
        <v>#N/A</v>
      </c>
      <c r="M153" s="37"/>
      <c r="N153" s="37"/>
      <c r="O153" s="37"/>
      <c r="P153" s="37"/>
      <c r="Q153" s="41"/>
      <c r="R153" s="36"/>
      <c r="S153" s="42"/>
      <c r="T153" s="43">
        <f t="shared" si="3"/>
        <v>0</v>
      </c>
      <c r="U153" s="36"/>
      <c r="V153" s="37"/>
      <c r="W153" s="94" t="e">
        <f>VLOOKUP($C$8,APOIO!$A:$F,5,FALSE)</f>
        <v>#N/A</v>
      </c>
    </row>
    <row r="154" spans="1:23" ht="15" x14ac:dyDescent="0.25">
      <c r="A154" s="36"/>
      <c r="B154" s="37" t="e">
        <f>VLOOKUP($A154,APOIO!$C:$D,2,FALSE)</f>
        <v>#N/A</v>
      </c>
      <c r="C154" s="36"/>
      <c r="D154" s="37" t="e">
        <f>VLOOKUP($C154,APOIO!$Z:$AC,2,FALSE)</f>
        <v>#N/A</v>
      </c>
      <c r="E154" s="37" t="e">
        <f>VLOOKUP($C154,APOIO!$Z:$AC,4,FALSE)</f>
        <v>#N/A</v>
      </c>
      <c r="F154" s="39"/>
      <c r="G154" s="40" t="e">
        <f>VLOOKUP($F154,APOIO!$W:$X,2,FALSE)</f>
        <v>#N/A</v>
      </c>
      <c r="H154" s="36"/>
      <c r="I154" s="40" t="e">
        <f>VLOOKUP($H154,APOIO!$AE:$AG,2,FALSE)</f>
        <v>#N/A</v>
      </c>
      <c r="J154" s="40" t="e">
        <f>VLOOKUP($H154,APOIO!$AE:$AG,3,FALSE)</f>
        <v>#N/A</v>
      </c>
      <c r="K154" s="36"/>
      <c r="L154" s="40" t="e">
        <f>VLOOKUP($K154,APOIO!$I:$J,2,FALSE)</f>
        <v>#N/A</v>
      </c>
      <c r="M154" s="37"/>
      <c r="N154" s="37"/>
      <c r="O154" s="37"/>
      <c r="P154" s="37"/>
      <c r="Q154" s="41"/>
      <c r="R154" s="36"/>
      <c r="S154" s="42"/>
      <c r="T154" s="43">
        <f t="shared" si="3"/>
        <v>0</v>
      </c>
      <c r="U154" s="36"/>
      <c r="V154" s="37"/>
      <c r="W154" s="94" t="e">
        <f>VLOOKUP($C$8,APOIO!$A:$F,5,FALSE)</f>
        <v>#N/A</v>
      </c>
    </row>
    <row r="155" spans="1:23" ht="15" x14ac:dyDescent="0.25">
      <c r="A155" s="36"/>
      <c r="B155" s="37" t="e">
        <f>VLOOKUP($A155,APOIO!$C:$D,2,FALSE)</f>
        <v>#N/A</v>
      </c>
      <c r="C155" s="36"/>
      <c r="D155" s="37" t="e">
        <f>VLOOKUP($C155,APOIO!$Z:$AC,2,FALSE)</f>
        <v>#N/A</v>
      </c>
      <c r="E155" s="37" t="e">
        <f>VLOOKUP($C155,APOIO!$Z:$AC,4,FALSE)</f>
        <v>#N/A</v>
      </c>
      <c r="F155" s="39"/>
      <c r="G155" s="40" t="e">
        <f>VLOOKUP($F155,APOIO!$W:$X,2,FALSE)</f>
        <v>#N/A</v>
      </c>
      <c r="H155" s="36"/>
      <c r="I155" s="40" t="e">
        <f>VLOOKUP($H155,APOIO!$AE:$AG,2,FALSE)</f>
        <v>#N/A</v>
      </c>
      <c r="J155" s="40" t="e">
        <f>VLOOKUP($H155,APOIO!$AE:$AG,3,FALSE)</f>
        <v>#N/A</v>
      </c>
      <c r="K155" s="36"/>
      <c r="L155" s="40" t="e">
        <f>VLOOKUP($K155,APOIO!$I:$J,2,FALSE)</f>
        <v>#N/A</v>
      </c>
      <c r="M155" s="37"/>
      <c r="N155" s="37"/>
      <c r="O155" s="37"/>
      <c r="P155" s="37"/>
      <c r="Q155" s="41"/>
      <c r="R155" s="36"/>
      <c r="S155" s="42"/>
      <c r="T155" s="43">
        <f t="shared" si="3"/>
        <v>0</v>
      </c>
      <c r="U155" s="36"/>
      <c r="V155" s="37"/>
      <c r="W155" s="94" t="e">
        <f>VLOOKUP($C$8,APOIO!$A:$F,5,FALSE)</f>
        <v>#N/A</v>
      </c>
    </row>
    <row r="156" spans="1:23" ht="15" x14ac:dyDescent="0.25">
      <c r="A156" s="36"/>
      <c r="B156" s="37" t="e">
        <f>VLOOKUP($A156,APOIO!$C:$D,2,FALSE)</f>
        <v>#N/A</v>
      </c>
      <c r="C156" s="36"/>
      <c r="D156" s="37" t="e">
        <f>VLOOKUP($C156,APOIO!$Z:$AC,2,FALSE)</f>
        <v>#N/A</v>
      </c>
      <c r="E156" s="37" t="e">
        <f>VLOOKUP($C156,APOIO!$Z:$AC,4,FALSE)</f>
        <v>#N/A</v>
      </c>
      <c r="F156" s="39"/>
      <c r="G156" s="40" t="e">
        <f>VLOOKUP($F156,APOIO!$W:$X,2,FALSE)</f>
        <v>#N/A</v>
      </c>
      <c r="H156" s="36"/>
      <c r="I156" s="40" t="e">
        <f>VLOOKUP($H156,APOIO!$AE:$AG,2,FALSE)</f>
        <v>#N/A</v>
      </c>
      <c r="J156" s="40" t="e">
        <f>VLOOKUP($H156,APOIO!$AE:$AG,3,FALSE)</f>
        <v>#N/A</v>
      </c>
      <c r="K156" s="36"/>
      <c r="L156" s="40" t="e">
        <f>VLOOKUP($K156,APOIO!$I:$J,2,FALSE)</f>
        <v>#N/A</v>
      </c>
      <c r="M156" s="37"/>
      <c r="N156" s="37"/>
      <c r="O156" s="37"/>
      <c r="P156" s="37"/>
      <c r="Q156" s="41"/>
      <c r="R156" s="36"/>
      <c r="S156" s="42"/>
      <c r="T156" s="43">
        <f t="shared" si="3"/>
        <v>0</v>
      </c>
      <c r="U156" s="36"/>
      <c r="V156" s="37"/>
      <c r="W156" s="94" t="e">
        <f>VLOOKUP($C$8,APOIO!$A:$F,5,FALSE)</f>
        <v>#N/A</v>
      </c>
    </row>
    <row r="157" spans="1:23" ht="15" x14ac:dyDescent="0.25">
      <c r="A157" s="36"/>
      <c r="B157" s="37" t="e">
        <f>VLOOKUP($A157,APOIO!$C:$D,2,FALSE)</f>
        <v>#N/A</v>
      </c>
      <c r="C157" s="36"/>
      <c r="D157" s="37" t="e">
        <f>VLOOKUP($C157,APOIO!$Z:$AC,2,FALSE)</f>
        <v>#N/A</v>
      </c>
      <c r="E157" s="37" t="e">
        <f>VLOOKUP($C157,APOIO!$Z:$AC,4,FALSE)</f>
        <v>#N/A</v>
      </c>
      <c r="F157" s="39"/>
      <c r="G157" s="40" t="e">
        <f>VLOOKUP($F157,APOIO!$W:$X,2,FALSE)</f>
        <v>#N/A</v>
      </c>
      <c r="H157" s="36"/>
      <c r="I157" s="40" t="e">
        <f>VLOOKUP($H157,APOIO!$AE:$AG,2,FALSE)</f>
        <v>#N/A</v>
      </c>
      <c r="J157" s="40" t="e">
        <f>VLOOKUP($H157,APOIO!$AE:$AG,3,FALSE)</f>
        <v>#N/A</v>
      </c>
      <c r="K157" s="36"/>
      <c r="L157" s="40" t="e">
        <f>VLOOKUP($K157,APOIO!$I:$J,2,FALSE)</f>
        <v>#N/A</v>
      </c>
      <c r="M157" s="37"/>
      <c r="N157" s="37"/>
      <c r="O157" s="37"/>
      <c r="P157" s="37"/>
      <c r="Q157" s="41"/>
      <c r="R157" s="36"/>
      <c r="S157" s="42"/>
      <c r="T157" s="43">
        <f t="shared" si="3"/>
        <v>0</v>
      </c>
      <c r="U157" s="36"/>
      <c r="V157" s="37"/>
      <c r="W157" s="94" t="e">
        <f>VLOOKUP($C$8,APOIO!$A:$F,5,FALSE)</f>
        <v>#N/A</v>
      </c>
    </row>
    <row r="158" spans="1:23" ht="15" x14ac:dyDescent="0.25">
      <c r="A158" s="36"/>
      <c r="B158" s="37" t="e">
        <f>VLOOKUP($A158,APOIO!$C:$D,2,FALSE)</f>
        <v>#N/A</v>
      </c>
      <c r="C158" s="36"/>
      <c r="D158" s="37" t="e">
        <f>VLOOKUP($C158,APOIO!$Z:$AC,2,FALSE)</f>
        <v>#N/A</v>
      </c>
      <c r="E158" s="37" t="e">
        <f>VLOOKUP($C158,APOIO!$Z:$AC,4,FALSE)</f>
        <v>#N/A</v>
      </c>
      <c r="F158" s="39"/>
      <c r="G158" s="40" t="e">
        <f>VLOOKUP($F158,APOIO!$W:$X,2,FALSE)</f>
        <v>#N/A</v>
      </c>
      <c r="H158" s="36"/>
      <c r="I158" s="40" t="e">
        <f>VLOOKUP($H158,APOIO!$AE:$AG,2,FALSE)</f>
        <v>#N/A</v>
      </c>
      <c r="J158" s="40" t="e">
        <f>VLOOKUP($H158,APOIO!$AE:$AG,3,FALSE)</f>
        <v>#N/A</v>
      </c>
      <c r="K158" s="36"/>
      <c r="L158" s="40" t="e">
        <f>VLOOKUP($K158,APOIO!$I:$J,2,FALSE)</f>
        <v>#N/A</v>
      </c>
      <c r="M158" s="37"/>
      <c r="N158" s="37"/>
      <c r="O158" s="37"/>
      <c r="P158" s="37"/>
      <c r="Q158" s="41"/>
      <c r="R158" s="36"/>
      <c r="S158" s="42"/>
      <c r="T158" s="43">
        <f t="shared" si="3"/>
        <v>0</v>
      </c>
      <c r="U158" s="36"/>
      <c r="V158" s="37"/>
      <c r="W158" s="94" t="e">
        <f>VLOOKUP($C$8,APOIO!$A:$F,5,FALSE)</f>
        <v>#N/A</v>
      </c>
    </row>
    <row r="159" spans="1:23" ht="15" x14ac:dyDescent="0.25">
      <c r="A159" s="36"/>
      <c r="B159" s="37" t="e">
        <f>VLOOKUP($A159,APOIO!$C:$D,2,FALSE)</f>
        <v>#N/A</v>
      </c>
      <c r="C159" s="36"/>
      <c r="D159" s="37" t="e">
        <f>VLOOKUP($C159,APOIO!$Z:$AC,2,FALSE)</f>
        <v>#N/A</v>
      </c>
      <c r="E159" s="37" t="e">
        <f>VLOOKUP($C159,APOIO!$Z:$AC,4,FALSE)</f>
        <v>#N/A</v>
      </c>
      <c r="F159" s="39"/>
      <c r="G159" s="40" t="e">
        <f>VLOOKUP($F159,APOIO!$W:$X,2,FALSE)</f>
        <v>#N/A</v>
      </c>
      <c r="H159" s="36"/>
      <c r="I159" s="40" t="e">
        <f>VLOOKUP($H159,APOIO!$AE:$AG,2,FALSE)</f>
        <v>#N/A</v>
      </c>
      <c r="J159" s="40" t="e">
        <f>VLOOKUP($H159,APOIO!$AE:$AG,3,FALSE)</f>
        <v>#N/A</v>
      </c>
      <c r="K159" s="36"/>
      <c r="L159" s="40" t="e">
        <f>VLOOKUP($K159,APOIO!$I:$J,2,FALSE)</f>
        <v>#N/A</v>
      </c>
      <c r="M159" s="37"/>
      <c r="N159" s="37"/>
      <c r="O159" s="37"/>
      <c r="P159" s="37"/>
      <c r="Q159" s="41"/>
      <c r="R159" s="36"/>
      <c r="S159" s="42"/>
      <c r="T159" s="43">
        <f t="shared" si="3"/>
        <v>0</v>
      </c>
      <c r="U159" s="36"/>
      <c r="V159" s="37"/>
      <c r="W159" s="94" t="e">
        <f>VLOOKUP($C$8,APOIO!$A:$F,5,FALSE)</f>
        <v>#N/A</v>
      </c>
    </row>
    <row r="160" spans="1:23" ht="15" x14ac:dyDescent="0.25">
      <c r="A160" s="36"/>
      <c r="B160" s="37" t="e">
        <f>VLOOKUP($A160,APOIO!$C:$D,2,FALSE)</f>
        <v>#N/A</v>
      </c>
      <c r="C160" s="36"/>
      <c r="D160" s="37" t="e">
        <f>VLOOKUP($C160,APOIO!$Z:$AC,2,FALSE)</f>
        <v>#N/A</v>
      </c>
      <c r="E160" s="37" t="e">
        <f>VLOOKUP($C160,APOIO!$Z:$AC,4,FALSE)</f>
        <v>#N/A</v>
      </c>
      <c r="F160" s="39"/>
      <c r="G160" s="40" t="e">
        <f>VLOOKUP($F160,APOIO!$W:$X,2,FALSE)</f>
        <v>#N/A</v>
      </c>
      <c r="H160" s="36"/>
      <c r="I160" s="40" t="e">
        <f>VLOOKUP($H160,APOIO!$AE:$AG,2,FALSE)</f>
        <v>#N/A</v>
      </c>
      <c r="J160" s="40" t="e">
        <f>VLOOKUP($H160,APOIO!$AE:$AG,3,FALSE)</f>
        <v>#N/A</v>
      </c>
      <c r="K160" s="36"/>
      <c r="L160" s="40" t="e">
        <f>VLOOKUP($K160,APOIO!$I:$J,2,FALSE)</f>
        <v>#N/A</v>
      </c>
      <c r="M160" s="37"/>
      <c r="N160" s="37"/>
      <c r="O160" s="37"/>
      <c r="P160" s="37"/>
      <c r="Q160" s="41"/>
      <c r="R160" s="36"/>
      <c r="S160" s="42"/>
      <c r="T160" s="43">
        <f t="shared" si="3"/>
        <v>0</v>
      </c>
      <c r="U160" s="36"/>
      <c r="V160" s="37"/>
      <c r="W160" s="94" t="e">
        <f>VLOOKUP($C$8,APOIO!$A:$F,5,FALSE)</f>
        <v>#N/A</v>
      </c>
    </row>
    <row r="161" spans="1:23" ht="15" x14ac:dyDescent="0.25">
      <c r="A161" s="36"/>
      <c r="B161" s="37" t="e">
        <f>VLOOKUP($A161,APOIO!$C:$D,2,FALSE)</f>
        <v>#N/A</v>
      </c>
      <c r="C161" s="36"/>
      <c r="D161" s="37" t="e">
        <f>VLOOKUP($C161,APOIO!$Z:$AC,2,FALSE)</f>
        <v>#N/A</v>
      </c>
      <c r="E161" s="37" t="e">
        <f>VLOOKUP($C161,APOIO!$Z:$AC,4,FALSE)</f>
        <v>#N/A</v>
      </c>
      <c r="F161" s="39"/>
      <c r="G161" s="40" t="e">
        <f>VLOOKUP($F161,APOIO!$W:$X,2,FALSE)</f>
        <v>#N/A</v>
      </c>
      <c r="H161" s="36"/>
      <c r="I161" s="40" t="e">
        <f>VLOOKUP($H161,APOIO!$AE:$AG,2,FALSE)</f>
        <v>#N/A</v>
      </c>
      <c r="J161" s="40" t="e">
        <f>VLOOKUP($H161,APOIO!$AE:$AG,3,FALSE)</f>
        <v>#N/A</v>
      </c>
      <c r="K161" s="36"/>
      <c r="L161" s="40" t="e">
        <f>VLOOKUP($K161,APOIO!$I:$J,2,FALSE)</f>
        <v>#N/A</v>
      </c>
      <c r="M161" s="37"/>
      <c r="N161" s="37"/>
      <c r="O161" s="37"/>
      <c r="P161" s="37"/>
      <c r="Q161" s="41"/>
      <c r="R161" s="36"/>
      <c r="S161" s="42"/>
      <c r="T161" s="43">
        <f t="shared" si="3"/>
        <v>0</v>
      </c>
      <c r="U161" s="36"/>
      <c r="V161" s="37"/>
      <c r="W161" s="94" t="e">
        <f>VLOOKUP($C$8,APOIO!$A:$F,5,FALSE)</f>
        <v>#N/A</v>
      </c>
    </row>
    <row r="162" spans="1:23" ht="15" x14ac:dyDescent="0.25">
      <c r="A162" s="36"/>
      <c r="B162" s="37" t="e">
        <f>VLOOKUP($A162,APOIO!$C:$D,2,FALSE)</f>
        <v>#N/A</v>
      </c>
      <c r="C162" s="36"/>
      <c r="D162" s="37" t="e">
        <f>VLOOKUP($C162,APOIO!$Z:$AC,2,FALSE)</f>
        <v>#N/A</v>
      </c>
      <c r="E162" s="37" t="e">
        <f>VLOOKUP($C162,APOIO!$Z:$AC,4,FALSE)</f>
        <v>#N/A</v>
      </c>
      <c r="F162" s="39"/>
      <c r="G162" s="40" t="e">
        <f>VLOOKUP($F162,APOIO!$W:$X,2,FALSE)</f>
        <v>#N/A</v>
      </c>
      <c r="H162" s="36"/>
      <c r="I162" s="40" t="e">
        <f>VLOOKUP($H162,APOIO!$AE:$AG,2,FALSE)</f>
        <v>#N/A</v>
      </c>
      <c r="J162" s="40" t="e">
        <f>VLOOKUP($H162,APOIO!$AE:$AG,3,FALSE)</f>
        <v>#N/A</v>
      </c>
      <c r="K162" s="36"/>
      <c r="L162" s="40" t="e">
        <f>VLOOKUP($K162,APOIO!$I:$J,2,FALSE)</f>
        <v>#N/A</v>
      </c>
      <c r="M162" s="37"/>
      <c r="N162" s="37"/>
      <c r="O162" s="37"/>
      <c r="P162" s="37"/>
      <c r="Q162" s="41"/>
      <c r="R162" s="36"/>
      <c r="S162" s="42"/>
      <c r="T162" s="43">
        <f t="shared" si="3"/>
        <v>0</v>
      </c>
      <c r="U162" s="36"/>
      <c r="V162" s="37"/>
      <c r="W162" s="94" t="e">
        <f>VLOOKUP($C$8,APOIO!$A:$F,5,FALSE)</f>
        <v>#N/A</v>
      </c>
    </row>
    <row r="163" spans="1:23" ht="15" x14ac:dyDescent="0.25">
      <c r="A163" s="36"/>
      <c r="B163" s="37" t="e">
        <f>VLOOKUP($A163,APOIO!$C:$D,2,FALSE)</f>
        <v>#N/A</v>
      </c>
      <c r="C163" s="36"/>
      <c r="D163" s="37" t="e">
        <f>VLOOKUP($C163,APOIO!$Z:$AC,2,FALSE)</f>
        <v>#N/A</v>
      </c>
      <c r="E163" s="37" t="e">
        <f>VLOOKUP($C163,APOIO!$Z:$AC,4,FALSE)</f>
        <v>#N/A</v>
      </c>
      <c r="F163" s="39"/>
      <c r="G163" s="40" t="e">
        <f>VLOOKUP($F163,APOIO!$W:$X,2,FALSE)</f>
        <v>#N/A</v>
      </c>
      <c r="H163" s="36"/>
      <c r="I163" s="40" t="e">
        <f>VLOOKUP($H163,APOIO!$AE:$AG,2,FALSE)</f>
        <v>#N/A</v>
      </c>
      <c r="J163" s="40" t="e">
        <f>VLOOKUP($H163,APOIO!$AE:$AG,3,FALSE)</f>
        <v>#N/A</v>
      </c>
      <c r="K163" s="36"/>
      <c r="L163" s="40" t="e">
        <f>VLOOKUP($K163,APOIO!$I:$J,2,FALSE)</f>
        <v>#N/A</v>
      </c>
      <c r="M163" s="37"/>
      <c r="N163" s="37"/>
      <c r="O163" s="37"/>
      <c r="P163" s="37"/>
      <c r="Q163" s="41"/>
      <c r="R163" s="36"/>
      <c r="S163" s="42"/>
      <c r="T163" s="43">
        <f t="shared" si="3"/>
        <v>0</v>
      </c>
      <c r="U163" s="36"/>
      <c r="V163" s="37"/>
      <c r="W163" s="94" t="e">
        <f>VLOOKUP($C$8,APOIO!$A:$F,5,FALSE)</f>
        <v>#N/A</v>
      </c>
    </row>
    <row r="164" spans="1:23" ht="15" x14ac:dyDescent="0.25">
      <c r="A164" s="36"/>
      <c r="B164" s="37" t="e">
        <f>VLOOKUP($A164,APOIO!$C:$D,2,FALSE)</f>
        <v>#N/A</v>
      </c>
      <c r="C164" s="36"/>
      <c r="D164" s="37" t="e">
        <f>VLOOKUP($C164,APOIO!$Z:$AC,2,FALSE)</f>
        <v>#N/A</v>
      </c>
      <c r="E164" s="37" t="e">
        <f>VLOOKUP($C164,APOIO!$Z:$AC,4,FALSE)</f>
        <v>#N/A</v>
      </c>
      <c r="F164" s="39"/>
      <c r="G164" s="40" t="e">
        <f>VLOOKUP($F164,APOIO!$W:$X,2,FALSE)</f>
        <v>#N/A</v>
      </c>
      <c r="H164" s="36"/>
      <c r="I164" s="40" t="e">
        <f>VLOOKUP($H164,APOIO!$AE:$AG,2,FALSE)</f>
        <v>#N/A</v>
      </c>
      <c r="J164" s="40" t="e">
        <f>VLOOKUP($H164,APOIO!$AE:$AG,3,FALSE)</f>
        <v>#N/A</v>
      </c>
      <c r="K164" s="36"/>
      <c r="L164" s="40" t="e">
        <f>VLOOKUP($K164,APOIO!$I:$J,2,FALSE)</f>
        <v>#N/A</v>
      </c>
      <c r="M164" s="37"/>
      <c r="N164" s="37"/>
      <c r="O164" s="37"/>
      <c r="P164" s="37"/>
      <c r="Q164" s="41"/>
      <c r="R164" s="36"/>
      <c r="S164" s="42"/>
      <c r="T164" s="43">
        <f t="shared" si="3"/>
        <v>0</v>
      </c>
      <c r="U164" s="36"/>
      <c r="V164" s="37"/>
      <c r="W164" s="94" t="e">
        <f>VLOOKUP($C$8,APOIO!$A:$F,5,FALSE)</f>
        <v>#N/A</v>
      </c>
    </row>
    <row r="165" spans="1:23" ht="15" x14ac:dyDescent="0.25">
      <c r="A165" s="36"/>
      <c r="B165" s="37" t="e">
        <f>VLOOKUP($A165,APOIO!$C:$D,2,FALSE)</f>
        <v>#N/A</v>
      </c>
      <c r="C165" s="36"/>
      <c r="D165" s="37" t="e">
        <f>VLOOKUP($C165,APOIO!$Z:$AC,2,FALSE)</f>
        <v>#N/A</v>
      </c>
      <c r="E165" s="37" t="e">
        <f>VLOOKUP($C165,APOIO!$Z:$AC,4,FALSE)</f>
        <v>#N/A</v>
      </c>
      <c r="F165" s="39"/>
      <c r="G165" s="40" t="e">
        <f>VLOOKUP($F165,APOIO!$W:$X,2,FALSE)</f>
        <v>#N/A</v>
      </c>
      <c r="H165" s="36"/>
      <c r="I165" s="40" t="e">
        <f>VLOOKUP($H165,APOIO!$AE:$AG,2,FALSE)</f>
        <v>#N/A</v>
      </c>
      <c r="J165" s="40" t="e">
        <f>VLOOKUP($H165,APOIO!$AE:$AG,3,FALSE)</f>
        <v>#N/A</v>
      </c>
      <c r="K165" s="36"/>
      <c r="L165" s="40" t="e">
        <f>VLOOKUP($K165,APOIO!$I:$J,2,FALSE)</f>
        <v>#N/A</v>
      </c>
      <c r="M165" s="37"/>
      <c r="N165" s="37"/>
      <c r="O165" s="37"/>
      <c r="P165" s="37"/>
      <c r="Q165" s="41"/>
      <c r="R165" s="36"/>
      <c r="S165" s="42"/>
      <c r="T165" s="43">
        <f t="shared" si="3"/>
        <v>0</v>
      </c>
      <c r="U165" s="36"/>
      <c r="V165" s="37"/>
      <c r="W165" s="94" t="e">
        <f>VLOOKUP($C$8,APOIO!$A:$F,5,FALSE)</f>
        <v>#N/A</v>
      </c>
    </row>
    <row r="166" spans="1:23" ht="15" x14ac:dyDescent="0.25">
      <c r="A166" s="36"/>
      <c r="B166" s="37" t="e">
        <f>VLOOKUP($A166,APOIO!$C:$D,2,FALSE)</f>
        <v>#N/A</v>
      </c>
      <c r="C166" s="36"/>
      <c r="D166" s="37" t="e">
        <f>VLOOKUP($C166,APOIO!$Z:$AC,2,FALSE)</f>
        <v>#N/A</v>
      </c>
      <c r="E166" s="37" t="e">
        <f>VLOOKUP($C166,APOIO!$Z:$AC,4,FALSE)</f>
        <v>#N/A</v>
      </c>
      <c r="F166" s="39"/>
      <c r="G166" s="40" t="e">
        <f>VLOOKUP($F166,APOIO!$W:$X,2,FALSE)</f>
        <v>#N/A</v>
      </c>
      <c r="H166" s="36"/>
      <c r="I166" s="40" t="e">
        <f>VLOOKUP($H166,APOIO!$AE:$AG,2,FALSE)</f>
        <v>#N/A</v>
      </c>
      <c r="J166" s="40" t="e">
        <f>VLOOKUP($H166,APOIO!$AE:$AG,3,FALSE)</f>
        <v>#N/A</v>
      </c>
      <c r="K166" s="36"/>
      <c r="L166" s="40" t="e">
        <f>VLOOKUP($K166,APOIO!$I:$J,2,FALSE)</f>
        <v>#N/A</v>
      </c>
      <c r="M166" s="37"/>
      <c r="N166" s="37"/>
      <c r="O166" s="37"/>
      <c r="P166" s="37"/>
      <c r="Q166" s="41"/>
      <c r="R166" s="36"/>
      <c r="S166" s="42"/>
      <c r="T166" s="43">
        <f t="shared" si="3"/>
        <v>0</v>
      </c>
      <c r="U166" s="36"/>
      <c r="V166" s="37"/>
      <c r="W166" s="94" t="e">
        <f>VLOOKUP($C$8,APOIO!$A:$F,5,FALSE)</f>
        <v>#N/A</v>
      </c>
    </row>
    <row r="167" spans="1:23" ht="15" x14ac:dyDescent="0.25">
      <c r="A167" s="36"/>
      <c r="B167" s="37" t="e">
        <f>VLOOKUP($A167,APOIO!$C:$D,2,FALSE)</f>
        <v>#N/A</v>
      </c>
      <c r="C167" s="36"/>
      <c r="D167" s="37" t="e">
        <f>VLOOKUP($C167,APOIO!$Z:$AC,2,FALSE)</f>
        <v>#N/A</v>
      </c>
      <c r="E167" s="37" t="e">
        <f>VLOOKUP($C167,APOIO!$Z:$AC,4,FALSE)</f>
        <v>#N/A</v>
      </c>
      <c r="F167" s="39"/>
      <c r="G167" s="40" t="e">
        <f>VLOOKUP($F167,APOIO!$W:$X,2,FALSE)</f>
        <v>#N/A</v>
      </c>
      <c r="H167" s="36"/>
      <c r="I167" s="40" t="e">
        <f>VLOOKUP($H167,APOIO!$AE:$AG,2,FALSE)</f>
        <v>#N/A</v>
      </c>
      <c r="J167" s="40" t="e">
        <f>VLOOKUP($H167,APOIO!$AE:$AG,3,FALSE)</f>
        <v>#N/A</v>
      </c>
      <c r="K167" s="36"/>
      <c r="L167" s="40" t="e">
        <f>VLOOKUP($K167,APOIO!$I:$J,2,FALSE)</f>
        <v>#N/A</v>
      </c>
      <c r="M167" s="37"/>
      <c r="N167" s="37"/>
      <c r="O167" s="37"/>
      <c r="P167" s="37"/>
      <c r="Q167" s="41"/>
      <c r="R167" s="36"/>
      <c r="S167" s="42"/>
      <c r="T167" s="43">
        <f t="shared" si="3"/>
        <v>0</v>
      </c>
      <c r="U167" s="36"/>
      <c r="V167" s="37"/>
      <c r="W167" s="94" t="e">
        <f>VLOOKUP($C$8,APOIO!$A:$F,5,FALSE)</f>
        <v>#N/A</v>
      </c>
    </row>
    <row r="168" spans="1:23" ht="15" x14ac:dyDescent="0.25">
      <c r="A168" s="36"/>
      <c r="B168" s="37" t="e">
        <f>VLOOKUP($A168,APOIO!$C:$D,2,FALSE)</f>
        <v>#N/A</v>
      </c>
      <c r="C168" s="36"/>
      <c r="D168" s="37" t="e">
        <f>VLOOKUP($C168,APOIO!$Z:$AC,2,FALSE)</f>
        <v>#N/A</v>
      </c>
      <c r="E168" s="37" t="e">
        <f>VLOOKUP($C168,APOIO!$Z:$AC,4,FALSE)</f>
        <v>#N/A</v>
      </c>
      <c r="F168" s="39"/>
      <c r="G168" s="40" t="e">
        <f>VLOOKUP($F168,APOIO!$W:$X,2,FALSE)</f>
        <v>#N/A</v>
      </c>
      <c r="H168" s="36"/>
      <c r="I168" s="40" t="e">
        <f>VLOOKUP($H168,APOIO!$AE:$AG,2,FALSE)</f>
        <v>#N/A</v>
      </c>
      <c r="J168" s="40" t="e">
        <f>VLOOKUP($H168,APOIO!$AE:$AG,3,FALSE)</f>
        <v>#N/A</v>
      </c>
      <c r="K168" s="36"/>
      <c r="L168" s="40" t="e">
        <f>VLOOKUP($K168,APOIO!$I:$J,2,FALSE)</f>
        <v>#N/A</v>
      </c>
      <c r="M168" s="37"/>
      <c r="N168" s="37"/>
      <c r="O168" s="37"/>
      <c r="P168" s="37"/>
      <c r="Q168" s="41"/>
      <c r="R168" s="36"/>
      <c r="S168" s="42"/>
      <c r="T168" s="43">
        <f t="shared" si="3"/>
        <v>0</v>
      </c>
      <c r="U168" s="36"/>
      <c r="V168" s="37"/>
      <c r="W168" s="94" t="e">
        <f>VLOOKUP($C$8,APOIO!$A:$F,5,FALSE)</f>
        <v>#N/A</v>
      </c>
    </row>
    <row r="169" spans="1:23" ht="15" x14ac:dyDescent="0.25">
      <c r="A169" s="36"/>
      <c r="B169" s="37" t="e">
        <f>VLOOKUP($A169,APOIO!$C:$D,2,FALSE)</f>
        <v>#N/A</v>
      </c>
      <c r="C169" s="36"/>
      <c r="D169" s="37" t="e">
        <f>VLOOKUP($C169,APOIO!$Z:$AC,2,FALSE)</f>
        <v>#N/A</v>
      </c>
      <c r="E169" s="37" t="e">
        <f>VLOOKUP($C169,APOIO!$Z:$AC,4,FALSE)</f>
        <v>#N/A</v>
      </c>
      <c r="F169" s="39"/>
      <c r="G169" s="40" t="e">
        <f>VLOOKUP($F169,APOIO!$W:$X,2,FALSE)</f>
        <v>#N/A</v>
      </c>
      <c r="H169" s="36"/>
      <c r="I169" s="40" t="e">
        <f>VLOOKUP($H169,APOIO!$AE:$AG,2,FALSE)</f>
        <v>#N/A</v>
      </c>
      <c r="J169" s="40" t="e">
        <f>VLOOKUP($H169,APOIO!$AE:$AG,3,FALSE)</f>
        <v>#N/A</v>
      </c>
      <c r="K169" s="36"/>
      <c r="L169" s="40" t="e">
        <f>VLOOKUP($K169,APOIO!$I:$J,2,FALSE)</f>
        <v>#N/A</v>
      </c>
      <c r="M169" s="37"/>
      <c r="N169" s="37"/>
      <c r="O169" s="37"/>
      <c r="P169" s="37"/>
      <c r="Q169" s="41"/>
      <c r="R169" s="36"/>
      <c r="S169" s="42"/>
      <c r="T169" s="43">
        <f t="shared" si="3"/>
        <v>0</v>
      </c>
      <c r="U169" s="36"/>
      <c r="V169" s="37"/>
      <c r="W169" s="94" t="e">
        <f>VLOOKUP($C$8,APOIO!$A:$F,5,FALSE)</f>
        <v>#N/A</v>
      </c>
    </row>
    <row r="170" spans="1:23" ht="15" x14ac:dyDescent="0.25">
      <c r="A170" s="36"/>
      <c r="B170" s="37" t="e">
        <f>VLOOKUP($A170,APOIO!$C:$D,2,FALSE)</f>
        <v>#N/A</v>
      </c>
      <c r="C170" s="36"/>
      <c r="D170" s="37" t="e">
        <f>VLOOKUP($C170,APOIO!$Z:$AC,2,FALSE)</f>
        <v>#N/A</v>
      </c>
      <c r="E170" s="37" t="e">
        <f>VLOOKUP($C170,APOIO!$Z:$AC,4,FALSE)</f>
        <v>#N/A</v>
      </c>
      <c r="F170" s="39"/>
      <c r="G170" s="40" t="e">
        <f>VLOOKUP($F170,APOIO!$W:$X,2,FALSE)</f>
        <v>#N/A</v>
      </c>
      <c r="H170" s="36"/>
      <c r="I170" s="40" t="e">
        <f>VLOOKUP($H170,APOIO!$AE:$AG,2,FALSE)</f>
        <v>#N/A</v>
      </c>
      <c r="J170" s="40" t="e">
        <f>VLOOKUP($H170,APOIO!$AE:$AG,3,FALSE)</f>
        <v>#N/A</v>
      </c>
      <c r="K170" s="36"/>
      <c r="L170" s="40" t="e">
        <f>VLOOKUP($K170,APOIO!$I:$J,2,FALSE)</f>
        <v>#N/A</v>
      </c>
      <c r="M170" s="37"/>
      <c r="N170" s="37"/>
      <c r="O170" s="37"/>
      <c r="P170" s="37"/>
      <c r="Q170" s="41"/>
      <c r="R170" s="36"/>
      <c r="S170" s="42"/>
      <c r="T170" s="43">
        <f t="shared" si="3"/>
        <v>0</v>
      </c>
      <c r="U170" s="36"/>
      <c r="V170" s="37"/>
      <c r="W170" s="94" t="e">
        <f>VLOOKUP($C$8,APOIO!$A:$F,5,FALSE)</f>
        <v>#N/A</v>
      </c>
    </row>
    <row r="171" spans="1:23" ht="15" x14ac:dyDescent="0.25">
      <c r="A171" s="36"/>
      <c r="B171" s="37" t="e">
        <f>VLOOKUP($A171,APOIO!$C:$D,2,FALSE)</f>
        <v>#N/A</v>
      </c>
      <c r="C171" s="36"/>
      <c r="D171" s="37" t="e">
        <f>VLOOKUP($C171,APOIO!$Z:$AC,2,FALSE)</f>
        <v>#N/A</v>
      </c>
      <c r="E171" s="37" t="e">
        <f>VLOOKUP($C171,APOIO!$Z:$AC,4,FALSE)</f>
        <v>#N/A</v>
      </c>
      <c r="F171" s="39"/>
      <c r="G171" s="40" t="e">
        <f>VLOOKUP($F171,APOIO!$W:$X,2,FALSE)</f>
        <v>#N/A</v>
      </c>
      <c r="H171" s="36"/>
      <c r="I171" s="40" t="e">
        <f>VLOOKUP($H171,APOIO!$AE:$AG,2,FALSE)</f>
        <v>#N/A</v>
      </c>
      <c r="J171" s="40" t="e">
        <f>VLOOKUP($H171,APOIO!$AE:$AG,3,FALSE)</f>
        <v>#N/A</v>
      </c>
      <c r="K171" s="36"/>
      <c r="L171" s="40" t="e">
        <f>VLOOKUP($K171,APOIO!$I:$J,2,FALSE)</f>
        <v>#N/A</v>
      </c>
      <c r="M171" s="37"/>
      <c r="N171" s="37"/>
      <c r="O171" s="37"/>
      <c r="P171" s="37"/>
      <c r="Q171" s="41"/>
      <c r="R171" s="36"/>
      <c r="S171" s="42"/>
      <c r="T171" s="43">
        <f t="shared" si="3"/>
        <v>0</v>
      </c>
      <c r="U171" s="36"/>
      <c r="V171" s="37"/>
      <c r="W171" s="94" t="e">
        <f>VLOOKUP($C$8,APOIO!$A:$F,5,FALSE)</f>
        <v>#N/A</v>
      </c>
    </row>
    <row r="172" spans="1:23" ht="15" x14ac:dyDescent="0.25">
      <c r="A172" s="36"/>
      <c r="B172" s="37" t="e">
        <f>VLOOKUP($A172,APOIO!$C:$D,2,FALSE)</f>
        <v>#N/A</v>
      </c>
      <c r="C172" s="36"/>
      <c r="D172" s="37" t="e">
        <f>VLOOKUP($C172,APOIO!$Z:$AC,2,FALSE)</f>
        <v>#N/A</v>
      </c>
      <c r="E172" s="37" t="e">
        <f>VLOOKUP($C172,APOIO!$Z:$AC,4,FALSE)</f>
        <v>#N/A</v>
      </c>
      <c r="F172" s="39"/>
      <c r="G172" s="40" t="e">
        <f>VLOOKUP($F172,APOIO!$W:$X,2,FALSE)</f>
        <v>#N/A</v>
      </c>
      <c r="H172" s="36"/>
      <c r="I172" s="40" t="e">
        <f>VLOOKUP($H172,APOIO!$AE:$AG,2,FALSE)</f>
        <v>#N/A</v>
      </c>
      <c r="J172" s="40" t="e">
        <f>VLOOKUP($H172,APOIO!$AE:$AG,3,FALSE)</f>
        <v>#N/A</v>
      </c>
      <c r="K172" s="36"/>
      <c r="L172" s="40" t="e">
        <f>VLOOKUP($K172,APOIO!$I:$J,2,FALSE)</f>
        <v>#N/A</v>
      </c>
      <c r="M172" s="37"/>
      <c r="N172" s="37"/>
      <c r="O172" s="37"/>
      <c r="P172" s="37"/>
      <c r="Q172" s="41"/>
      <c r="R172" s="36"/>
      <c r="S172" s="42"/>
      <c r="T172" s="43">
        <f t="shared" si="3"/>
        <v>0</v>
      </c>
      <c r="U172" s="36"/>
      <c r="V172" s="37"/>
      <c r="W172" s="94" t="e">
        <f>VLOOKUP($C$8,APOIO!$A:$F,5,FALSE)</f>
        <v>#N/A</v>
      </c>
    </row>
    <row r="173" spans="1:23" ht="15" x14ac:dyDescent="0.25">
      <c r="A173" s="36"/>
      <c r="B173" s="37" t="e">
        <f>VLOOKUP($A173,APOIO!$C:$D,2,FALSE)</f>
        <v>#N/A</v>
      </c>
      <c r="C173" s="36"/>
      <c r="D173" s="37" t="e">
        <f>VLOOKUP($C173,APOIO!$Z:$AC,2,FALSE)</f>
        <v>#N/A</v>
      </c>
      <c r="E173" s="37" t="e">
        <f>VLOOKUP($C173,APOIO!$Z:$AC,4,FALSE)</f>
        <v>#N/A</v>
      </c>
      <c r="F173" s="39"/>
      <c r="G173" s="40" t="e">
        <f>VLOOKUP($F173,APOIO!$W:$X,2,FALSE)</f>
        <v>#N/A</v>
      </c>
      <c r="H173" s="36"/>
      <c r="I173" s="40" t="e">
        <f>VLOOKUP($H173,APOIO!$AE:$AG,2,FALSE)</f>
        <v>#N/A</v>
      </c>
      <c r="J173" s="40" t="e">
        <f>VLOOKUP($H173,APOIO!$AE:$AG,3,FALSE)</f>
        <v>#N/A</v>
      </c>
      <c r="K173" s="36"/>
      <c r="L173" s="40" t="e">
        <f>VLOOKUP($K173,APOIO!$I:$J,2,FALSE)</f>
        <v>#N/A</v>
      </c>
      <c r="M173" s="37"/>
      <c r="N173" s="37"/>
      <c r="O173" s="37"/>
      <c r="P173" s="37"/>
      <c r="Q173" s="41"/>
      <c r="R173" s="36"/>
      <c r="S173" s="42"/>
      <c r="T173" s="43">
        <f t="shared" si="3"/>
        <v>0</v>
      </c>
      <c r="U173" s="36"/>
      <c r="V173" s="37"/>
      <c r="W173" s="94" t="e">
        <f>VLOOKUP($C$8,APOIO!$A:$F,5,FALSE)</f>
        <v>#N/A</v>
      </c>
    </row>
    <row r="174" spans="1:23" ht="15" x14ac:dyDescent="0.25">
      <c r="A174" s="36"/>
      <c r="B174" s="37" t="e">
        <f>VLOOKUP($A174,APOIO!$C:$D,2,FALSE)</f>
        <v>#N/A</v>
      </c>
      <c r="C174" s="36"/>
      <c r="D174" s="37" t="e">
        <f>VLOOKUP($C174,APOIO!$Z:$AC,2,FALSE)</f>
        <v>#N/A</v>
      </c>
      <c r="E174" s="37" t="e">
        <f>VLOOKUP($C174,APOIO!$Z:$AC,4,FALSE)</f>
        <v>#N/A</v>
      </c>
      <c r="F174" s="39"/>
      <c r="G174" s="40" t="e">
        <f>VLOOKUP($F174,APOIO!$W:$X,2,FALSE)</f>
        <v>#N/A</v>
      </c>
      <c r="H174" s="36"/>
      <c r="I174" s="40" t="e">
        <f>VLOOKUP($H174,APOIO!$AE:$AG,2,FALSE)</f>
        <v>#N/A</v>
      </c>
      <c r="J174" s="40" t="e">
        <f>VLOOKUP($H174,APOIO!$AE:$AG,3,FALSE)</f>
        <v>#N/A</v>
      </c>
      <c r="K174" s="36"/>
      <c r="L174" s="40" t="e">
        <f>VLOOKUP($K174,APOIO!$I:$J,2,FALSE)</f>
        <v>#N/A</v>
      </c>
      <c r="M174" s="37"/>
      <c r="N174" s="37"/>
      <c r="O174" s="37"/>
      <c r="P174" s="37"/>
      <c r="Q174" s="41"/>
      <c r="R174" s="36"/>
      <c r="S174" s="42"/>
      <c r="T174" s="43">
        <f t="shared" si="3"/>
        <v>0</v>
      </c>
      <c r="U174" s="36"/>
      <c r="V174" s="37"/>
      <c r="W174" s="94" t="e">
        <f>VLOOKUP($C$8,APOIO!$A:$F,5,FALSE)</f>
        <v>#N/A</v>
      </c>
    </row>
    <row r="175" spans="1:23" ht="15" x14ac:dyDescent="0.25">
      <c r="A175" s="36"/>
      <c r="B175" s="37" t="e">
        <f>VLOOKUP($A175,APOIO!$C:$D,2,FALSE)</f>
        <v>#N/A</v>
      </c>
      <c r="C175" s="36"/>
      <c r="D175" s="37" t="e">
        <f>VLOOKUP($C175,APOIO!$Z:$AC,2,FALSE)</f>
        <v>#N/A</v>
      </c>
      <c r="E175" s="37" t="e">
        <f>VLOOKUP($C175,APOIO!$Z:$AC,4,FALSE)</f>
        <v>#N/A</v>
      </c>
      <c r="F175" s="39"/>
      <c r="G175" s="40" t="e">
        <f>VLOOKUP($F175,APOIO!$W:$X,2,FALSE)</f>
        <v>#N/A</v>
      </c>
      <c r="H175" s="36"/>
      <c r="I175" s="40" t="e">
        <f>VLOOKUP($H175,APOIO!$AE:$AG,2,FALSE)</f>
        <v>#N/A</v>
      </c>
      <c r="J175" s="40" t="e">
        <f>VLOOKUP($H175,APOIO!$AE:$AG,3,FALSE)</f>
        <v>#N/A</v>
      </c>
      <c r="K175" s="36"/>
      <c r="L175" s="40" t="e">
        <f>VLOOKUP($K175,APOIO!$I:$J,2,FALSE)</f>
        <v>#N/A</v>
      </c>
      <c r="M175" s="37"/>
      <c r="N175" s="37"/>
      <c r="O175" s="37"/>
      <c r="P175" s="37"/>
      <c r="Q175" s="41"/>
      <c r="R175" s="36"/>
      <c r="S175" s="42"/>
      <c r="T175" s="43">
        <f t="shared" si="3"/>
        <v>0</v>
      </c>
      <c r="U175" s="36"/>
      <c r="V175" s="37"/>
      <c r="W175" s="94" t="e">
        <f>VLOOKUP($C$8,APOIO!$A:$F,5,FALSE)</f>
        <v>#N/A</v>
      </c>
    </row>
    <row r="176" spans="1:23" ht="15" x14ac:dyDescent="0.25">
      <c r="A176" s="36"/>
      <c r="B176" s="37" t="e">
        <f>VLOOKUP($A176,APOIO!$C:$D,2,FALSE)</f>
        <v>#N/A</v>
      </c>
      <c r="C176" s="36"/>
      <c r="D176" s="37" t="e">
        <f>VLOOKUP($C176,APOIO!$Z:$AC,2,FALSE)</f>
        <v>#N/A</v>
      </c>
      <c r="E176" s="37" t="e">
        <f>VLOOKUP($C176,APOIO!$Z:$AC,4,FALSE)</f>
        <v>#N/A</v>
      </c>
      <c r="F176" s="39"/>
      <c r="G176" s="40" t="e">
        <f>VLOOKUP($F176,APOIO!$W:$X,2,FALSE)</f>
        <v>#N/A</v>
      </c>
      <c r="H176" s="36"/>
      <c r="I176" s="40" t="e">
        <f>VLOOKUP($H176,APOIO!$AE:$AG,2,FALSE)</f>
        <v>#N/A</v>
      </c>
      <c r="J176" s="40" t="e">
        <f>VLOOKUP($H176,APOIO!$AE:$AG,3,FALSE)</f>
        <v>#N/A</v>
      </c>
      <c r="K176" s="36"/>
      <c r="L176" s="40" t="e">
        <f>VLOOKUP($K176,APOIO!$I:$J,2,FALSE)</f>
        <v>#N/A</v>
      </c>
      <c r="M176" s="37"/>
      <c r="N176" s="37"/>
      <c r="O176" s="37"/>
      <c r="P176" s="37"/>
      <c r="Q176" s="41"/>
      <c r="R176" s="36"/>
      <c r="S176" s="42"/>
      <c r="T176" s="43">
        <f t="shared" si="3"/>
        <v>0</v>
      </c>
      <c r="U176" s="36"/>
      <c r="V176" s="37"/>
      <c r="W176" s="94" t="e">
        <f>VLOOKUP($C$8,APOIO!$A:$F,5,FALSE)</f>
        <v>#N/A</v>
      </c>
    </row>
    <row r="177" spans="1:23" ht="15" x14ac:dyDescent="0.25">
      <c r="A177" s="36"/>
      <c r="B177" s="37" t="e">
        <f>VLOOKUP($A177,APOIO!$C:$D,2,FALSE)</f>
        <v>#N/A</v>
      </c>
      <c r="C177" s="36"/>
      <c r="D177" s="37" t="e">
        <f>VLOOKUP($C177,APOIO!$Z:$AC,2,FALSE)</f>
        <v>#N/A</v>
      </c>
      <c r="E177" s="37" t="e">
        <f>VLOOKUP($C177,APOIO!$Z:$AC,4,FALSE)</f>
        <v>#N/A</v>
      </c>
      <c r="F177" s="39"/>
      <c r="G177" s="40" t="e">
        <f>VLOOKUP($F177,APOIO!$W:$X,2,FALSE)</f>
        <v>#N/A</v>
      </c>
      <c r="H177" s="36"/>
      <c r="I177" s="40" t="e">
        <f>VLOOKUP($H177,APOIO!$AE:$AG,2,FALSE)</f>
        <v>#N/A</v>
      </c>
      <c r="J177" s="40" t="e">
        <f>VLOOKUP($H177,APOIO!$AE:$AG,3,FALSE)</f>
        <v>#N/A</v>
      </c>
      <c r="K177" s="36"/>
      <c r="L177" s="40" t="e">
        <f>VLOOKUP($K177,APOIO!$I:$J,2,FALSE)</f>
        <v>#N/A</v>
      </c>
      <c r="M177" s="37"/>
      <c r="N177" s="37"/>
      <c r="O177" s="37"/>
      <c r="P177" s="37"/>
      <c r="Q177" s="41"/>
      <c r="R177" s="36"/>
      <c r="S177" s="42"/>
      <c r="T177" s="43">
        <f t="shared" si="3"/>
        <v>0</v>
      </c>
      <c r="U177" s="36"/>
      <c r="V177" s="37"/>
      <c r="W177" s="94" t="e">
        <f>VLOOKUP($C$8,APOIO!$A:$F,5,FALSE)</f>
        <v>#N/A</v>
      </c>
    </row>
    <row r="178" spans="1:23" ht="15" x14ac:dyDescent="0.25">
      <c r="A178" s="36"/>
      <c r="B178" s="37" t="e">
        <f>VLOOKUP($A178,APOIO!$C:$D,2,FALSE)</f>
        <v>#N/A</v>
      </c>
      <c r="C178" s="36"/>
      <c r="D178" s="37" t="e">
        <f>VLOOKUP($C178,APOIO!$Z:$AC,2,FALSE)</f>
        <v>#N/A</v>
      </c>
      <c r="E178" s="37" t="e">
        <f>VLOOKUP($C178,APOIO!$Z:$AC,4,FALSE)</f>
        <v>#N/A</v>
      </c>
      <c r="F178" s="39"/>
      <c r="G178" s="40" t="e">
        <f>VLOOKUP($F178,APOIO!$W:$X,2,FALSE)</f>
        <v>#N/A</v>
      </c>
      <c r="H178" s="36"/>
      <c r="I178" s="40" t="e">
        <f>VLOOKUP($H178,APOIO!$AE:$AG,2,FALSE)</f>
        <v>#N/A</v>
      </c>
      <c r="J178" s="40" t="e">
        <f>VLOOKUP($H178,APOIO!$AE:$AG,3,FALSE)</f>
        <v>#N/A</v>
      </c>
      <c r="K178" s="36"/>
      <c r="L178" s="40" t="e">
        <f>VLOOKUP($K178,APOIO!$I:$J,2,FALSE)</f>
        <v>#N/A</v>
      </c>
      <c r="M178" s="37"/>
      <c r="N178" s="37"/>
      <c r="O178" s="37"/>
      <c r="P178" s="37"/>
      <c r="Q178" s="41"/>
      <c r="R178" s="36"/>
      <c r="S178" s="42"/>
      <c r="T178" s="43">
        <f t="shared" si="3"/>
        <v>0</v>
      </c>
      <c r="U178" s="36"/>
      <c r="V178" s="37"/>
      <c r="W178" s="94" t="e">
        <f>VLOOKUP($C$8,APOIO!$A:$F,5,FALSE)</f>
        <v>#N/A</v>
      </c>
    </row>
    <row r="179" spans="1:23" ht="15" x14ac:dyDescent="0.25">
      <c r="A179" s="36"/>
      <c r="B179" s="37" t="e">
        <f>VLOOKUP($A179,APOIO!$C:$D,2,FALSE)</f>
        <v>#N/A</v>
      </c>
      <c r="C179" s="36"/>
      <c r="D179" s="37" t="e">
        <f>VLOOKUP($C179,APOIO!$Z:$AC,2,FALSE)</f>
        <v>#N/A</v>
      </c>
      <c r="E179" s="37" t="e">
        <f>VLOOKUP($C179,APOIO!$Z:$AC,4,FALSE)</f>
        <v>#N/A</v>
      </c>
      <c r="F179" s="39"/>
      <c r="G179" s="40" t="e">
        <f>VLOOKUP($F179,APOIO!$W:$X,2,FALSE)</f>
        <v>#N/A</v>
      </c>
      <c r="H179" s="36"/>
      <c r="I179" s="40" t="e">
        <f>VLOOKUP($H179,APOIO!$AE:$AG,2,FALSE)</f>
        <v>#N/A</v>
      </c>
      <c r="J179" s="40" t="e">
        <f>VLOOKUP($H179,APOIO!$AE:$AG,3,FALSE)</f>
        <v>#N/A</v>
      </c>
      <c r="K179" s="36"/>
      <c r="L179" s="40" t="e">
        <f>VLOOKUP($K179,APOIO!$I:$J,2,FALSE)</f>
        <v>#N/A</v>
      </c>
      <c r="M179" s="37"/>
      <c r="N179" s="37"/>
      <c r="O179" s="37"/>
      <c r="P179" s="37"/>
      <c r="Q179" s="41"/>
      <c r="R179" s="36"/>
      <c r="S179" s="42"/>
      <c r="T179" s="43">
        <f t="shared" si="3"/>
        <v>0</v>
      </c>
      <c r="U179" s="36"/>
      <c r="V179" s="37"/>
      <c r="W179" s="94" t="e">
        <f>VLOOKUP($C$8,APOIO!$A:$F,5,FALSE)</f>
        <v>#N/A</v>
      </c>
    </row>
    <row r="180" spans="1:23" ht="15" x14ac:dyDescent="0.25">
      <c r="A180" s="36"/>
      <c r="B180" s="37" t="e">
        <f>VLOOKUP($A180,APOIO!$C:$D,2,FALSE)</f>
        <v>#N/A</v>
      </c>
      <c r="C180" s="36"/>
      <c r="D180" s="37" t="e">
        <f>VLOOKUP($C180,APOIO!$Z:$AC,2,FALSE)</f>
        <v>#N/A</v>
      </c>
      <c r="E180" s="37" t="e">
        <f>VLOOKUP($C180,APOIO!$Z:$AC,4,FALSE)</f>
        <v>#N/A</v>
      </c>
      <c r="F180" s="39"/>
      <c r="G180" s="40" t="e">
        <f>VLOOKUP($F180,APOIO!$W:$X,2,FALSE)</f>
        <v>#N/A</v>
      </c>
      <c r="H180" s="36"/>
      <c r="I180" s="40" t="e">
        <f>VLOOKUP($H180,APOIO!$AE:$AG,2,FALSE)</f>
        <v>#N/A</v>
      </c>
      <c r="J180" s="40" t="e">
        <f>VLOOKUP($H180,APOIO!$AE:$AG,3,FALSE)</f>
        <v>#N/A</v>
      </c>
      <c r="K180" s="36"/>
      <c r="L180" s="40" t="e">
        <f>VLOOKUP($K180,APOIO!$I:$J,2,FALSE)</f>
        <v>#N/A</v>
      </c>
      <c r="M180" s="37"/>
      <c r="N180" s="37"/>
      <c r="O180" s="37"/>
      <c r="P180" s="37"/>
      <c r="Q180" s="41"/>
      <c r="R180" s="36"/>
      <c r="S180" s="42"/>
      <c r="T180" s="43">
        <f t="shared" si="3"/>
        <v>0</v>
      </c>
      <c r="U180" s="36"/>
      <c r="V180" s="37"/>
      <c r="W180" s="94" t="e">
        <f>VLOOKUP($C$8,APOIO!$A:$F,5,FALSE)</f>
        <v>#N/A</v>
      </c>
    </row>
    <row r="181" spans="1:23" ht="15" x14ac:dyDescent="0.25">
      <c r="A181" s="36"/>
      <c r="B181" s="37" t="e">
        <f>VLOOKUP($A181,APOIO!$C:$D,2,FALSE)</f>
        <v>#N/A</v>
      </c>
      <c r="C181" s="36"/>
      <c r="D181" s="37" t="e">
        <f>VLOOKUP($C181,APOIO!$Z:$AC,2,FALSE)</f>
        <v>#N/A</v>
      </c>
      <c r="E181" s="37" t="e">
        <f>VLOOKUP($C181,APOIO!$Z:$AC,4,FALSE)</f>
        <v>#N/A</v>
      </c>
      <c r="F181" s="39"/>
      <c r="G181" s="40" t="e">
        <f>VLOOKUP($F181,APOIO!$W:$X,2,FALSE)</f>
        <v>#N/A</v>
      </c>
      <c r="H181" s="36"/>
      <c r="I181" s="40" t="e">
        <f>VLOOKUP($H181,APOIO!$AE:$AG,2,FALSE)</f>
        <v>#N/A</v>
      </c>
      <c r="J181" s="40" t="e">
        <f>VLOOKUP($H181,APOIO!$AE:$AG,3,FALSE)</f>
        <v>#N/A</v>
      </c>
      <c r="K181" s="36"/>
      <c r="L181" s="40" t="e">
        <f>VLOOKUP($K181,APOIO!$I:$J,2,FALSE)</f>
        <v>#N/A</v>
      </c>
      <c r="M181" s="37"/>
      <c r="N181" s="37"/>
      <c r="O181" s="37"/>
      <c r="P181" s="37"/>
      <c r="Q181" s="41"/>
      <c r="R181" s="36"/>
      <c r="S181" s="42"/>
      <c r="T181" s="43">
        <f t="shared" si="3"/>
        <v>0</v>
      </c>
      <c r="U181" s="36"/>
      <c r="V181" s="37"/>
      <c r="W181" s="94" t="e">
        <f>VLOOKUP($C$8,APOIO!$A:$F,5,FALSE)</f>
        <v>#N/A</v>
      </c>
    </row>
    <row r="182" spans="1:23" ht="15" x14ac:dyDescent="0.25">
      <c r="A182" s="36"/>
      <c r="B182" s="37" t="e">
        <f>VLOOKUP($A182,APOIO!$C:$D,2,FALSE)</f>
        <v>#N/A</v>
      </c>
      <c r="C182" s="36"/>
      <c r="D182" s="37" t="e">
        <f>VLOOKUP($C182,APOIO!$Z:$AC,2,FALSE)</f>
        <v>#N/A</v>
      </c>
      <c r="E182" s="37" t="e">
        <f>VLOOKUP($C182,APOIO!$Z:$AC,4,FALSE)</f>
        <v>#N/A</v>
      </c>
      <c r="F182" s="39"/>
      <c r="G182" s="40" t="e">
        <f>VLOOKUP($F182,APOIO!$W:$X,2,FALSE)</f>
        <v>#N/A</v>
      </c>
      <c r="H182" s="36"/>
      <c r="I182" s="40" t="e">
        <f>VLOOKUP($H182,APOIO!$AE:$AG,2,FALSE)</f>
        <v>#N/A</v>
      </c>
      <c r="J182" s="40" t="e">
        <f>VLOOKUP($H182,APOIO!$AE:$AG,3,FALSE)</f>
        <v>#N/A</v>
      </c>
      <c r="K182" s="36"/>
      <c r="L182" s="40" t="e">
        <f>VLOOKUP($K182,APOIO!$I:$J,2,FALSE)</f>
        <v>#N/A</v>
      </c>
      <c r="M182" s="37"/>
      <c r="N182" s="37"/>
      <c r="O182" s="37"/>
      <c r="P182" s="37"/>
      <c r="Q182" s="41"/>
      <c r="R182" s="36"/>
      <c r="S182" s="42"/>
      <c r="T182" s="43">
        <f t="shared" si="3"/>
        <v>0</v>
      </c>
      <c r="U182" s="36"/>
      <c r="V182" s="37"/>
      <c r="W182" s="94" t="e">
        <f>VLOOKUP($C$8,APOIO!$A:$F,5,FALSE)</f>
        <v>#N/A</v>
      </c>
    </row>
    <row r="183" spans="1:23" ht="15" x14ac:dyDescent="0.25">
      <c r="A183" s="36"/>
      <c r="B183" s="37" t="e">
        <f>VLOOKUP($A183,APOIO!$C:$D,2,FALSE)</f>
        <v>#N/A</v>
      </c>
      <c r="C183" s="36"/>
      <c r="D183" s="37" t="e">
        <f>VLOOKUP($C183,APOIO!$Z:$AC,2,FALSE)</f>
        <v>#N/A</v>
      </c>
      <c r="E183" s="37" t="e">
        <f>VLOOKUP($C183,APOIO!$Z:$AC,4,FALSE)</f>
        <v>#N/A</v>
      </c>
      <c r="F183" s="39"/>
      <c r="G183" s="40" t="e">
        <f>VLOOKUP($F183,APOIO!$W:$X,2,FALSE)</f>
        <v>#N/A</v>
      </c>
      <c r="H183" s="36"/>
      <c r="I183" s="40" t="e">
        <f>VLOOKUP($H183,APOIO!$AE:$AG,2,FALSE)</f>
        <v>#N/A</v>
      </c>
      <c r="J183" s="40" t="e">
        <f>VLOOKUP($H183,APOIO!$AE:$AG,3,FALSE)</f>
        <v>#N/A</v>
      </c>
      <c r="K183" s="36"/>
      <c r="L183" s="40" t="e">
        <f>VLOOKUP($K183,APOIO!$I:$J,2,FALSE)</f>
        <v>#N/A</v>
      </c>
      <c r="M183" s="37"/>
      <c r="N183" s="37"/>
      <c r="O183" s="37"/>
      <c r="P183" s="37"/>
      <c r="Q183" s="41"/>
      <c r="R183" s="36"/>
      <c r="S183" s="42"/>
      <c r="T183" s="43">
        <f t="shared" si="3"/>
        <v>0</v>
      </c>
      <c r="U183" s="36"/>
      <c r="V183" s="37"/>
      <c r="W183" s="94" t="e">
        <f>VLOOKUP($C$8,APOIO!$A:$F,5,FALSE)</f>
        <v>#N/A</v>
      </c>
    </row>
    <row r="184" spans="1:23" ht="15" x14ac:dyDescent="0.25">
      <c r="A184" s="36"/>
      <c r="B184" s="37" t="e">
        <f>VLOOKUP($A184,APOIO!$C:$D,2,FALSE)</f>
        <v>#N/A</v>
      </c>
      <c r="C184" s="36"/>
      <c r="D184" s="37" t="e">
        <f>VLOOKUP($C184,APOIO!$Z:$AC,2,FALSE)</f>
        <v>#N/A</v>
      </c>
      <c r="E184" s="37" t="e">
        <f>VLOOKUP($C184,APOIO!$Z:$AC,4,FALSE)</f>
        <v>#N/A</v>
      </c>
      <c r="F184" s="39"/>
      <c r="G184" s="40" t="e">
        <f>VLOOKUP($F184,APOIO!$W:$X,2,FALSE)</f>
        <v>#N/A</v>
      </c>
      <c r="H184" s="36"/>
      <c r="I184" s="40" t="e">
        <f>VLOOKUP($H184,APOIO!$AE:$AG,2,FALSE)</f>
        <v>#N/A</v>
      </c>
      <c r="J184" s="40" t="e">
        <f>VLOOKUP($H184,APOIO!$AE:$AG,3,FALSE)</f>
        <v>#N/A</v>
      </c>
      <c r="K184" s="36"/>
      <c r="L184" s="40" t="e">
        <f>VLOOKUP($K184,APOIO!$I:$J,2,FALSE)</f>
        <v>#N/A</v>
      </c>
      <c r="M184" s="37"/>
      <c r="N184" s="37"/>
      <c r="O184" s="37"/>
      <c r="P184" s="37"/>
      <c r="Q184" s="41"/>
      <c r="R184" s="36"/>
      <c r="S184" s="42"/>
      <c r="T184" s="43">
        <f t="shared" si="3"/>
        <v>0</v>
      </c>
      <c r="U184" s="36"/>
      <c r="V184" s="37"/>
      <c r="W184" s="94" t="e">
        <f>VLOOKUP($C$8,APOIO!$A:$F,5,FALSE)</f>
        <v>#N/A</v>
      </c>
    </row>
    <row r="185" spans="1:23" ht="15" x14ac:dyDescent="0.25">
      <c r="A185" s="36"/>
      <c r="B185" s="37" t="e">
        <f>VLOOKUP($A185,APOIO!$C:$D,2,FALSE)</f>
        <v>#N/A</v>
      </c>
      <c r="C185" s="36"/>
      <c r="D185" s="37" t="e">
        <f>VLOOKUP($C185,APOIO!$Z:$AC,2,FALSE)</f>
        <v>#N/A</v>
      </c>
      <c r="E185" s="37" t="e">
        <f>VLOOKUP($C185,APOIO!$Z:$AC,4,FALSE)</f>
        <v>#N/A</v>
      </c>
      <c r="F185" s="39"/>
      <c r="G185" s="40" t="e">
        <f>VLOOKUP($F185,APOIO!$W:$X,2,FALSE)</f>
        <v>#N/A</v>
      </c>
      <c r="H185" s="36"/>
      <c r="I185" s="40" t="e">
        <f>VLOOKUP($H185,APOIO!$AE:$AG,2,FALSE)</f>
        <v>#N/A</v>
      </c>
      <c r="J185" s="40" t="e">
        <f>VLOOKUP($H185,APOIO!$AE:$AG,3,FALSE)</f>
        <v>#N/A</v>
      </c>
      <c r="K185" s="36"/>
      <c r="L185" s="40" t="e">
        <f>VLOOKUP($K185,APOIO!$I:$J,2,FALSE)</f>
        <v>#N/A</v>
      </c>
      <c r="M185" s="37"/>
      <c r="N185" s="37"/>
      <c r="O185" s="37"/>
      <c r="P185" s="37"/>
      <c r="Q185" s="41"/>
      <c r="R185" s="36"/>
      <c r="S185" s="42"/>
      <c r="T185" s="43">
        <f t="shared" si="3"/>
        <v>0</v>
      </c>
      <c r="U185" s="36"/>
      <c r="V185" s="37"/>
      <c r="W185" s="94" t="e">
        <f>VLOOKUP($C$8,APOIO!$A:$F,5,FALSE)</f>
        <v>#N/A</v>
      </c>
    </row>
    <row r="186" spans="1:23" ht="15" x14ac:dyDescent="0.25">
      <c r="A186" s="36"/>
      <c r="B186" s="37" t="e">
        <f>VLOOKUP($A186,APOIO!$C:$D,2,FALSE)</f>
        <v>#N/A</v>
      </c>
      <c r="C186" s="36"/>
      <c r="D186" s="37" t="e">
        <f>VLOOKUP($C186,APOIO!$Z:$AC,2,FALSE)</f>
        <v>#N/A</v>
      </c>
      <c r="E186" s="37" t="e">
        <f>VLOOKUP($C186,APOIO!$Z:$AC,4,FALSE)</f>
        <v>#N/A</v>
      </c>
      <c r="F186" s="39"/>
      <c r="G186" s="40" t="e">
        <f>VLOOKUP($F186,APOIO!$W:$X,2,FALSE)</f>
        <v>#N/A</v>
      </c>
      <c r="H186" s="36"/>
      <c r="I186" s="40" t="e">
        <f>VLOOKUP($H186,APOIO!$AE:$AG,2,FALSE)</f>
        <v>#N/A</v>
      </c>
      <c r="J186" s="40" t="e">
        <f>VLOOKUP($H186,APOIO!$AE:$AG,3,FALSE)</f>
        <v>#N/A</v>
      </c>
      <c r="K186" s="36"/>
      <c r="L186" s="40" t="e">
        <f>VLOOKUP($K186,APOIO!$I:$J,2,FALSE)</f>
        <v>#N/A</v>
      </c>
      <c r="M186" s="37"/>
      <c r="N186" s="37"/>
      <c r="O186" s="37"/>
      <c r="P186" s="37"/>
      <c r="Q186" s="41"/>
      <c r="R186" s="36"/>
      <c r="S186" s="42"/>
      <c r="T186" s="43">
        <f t="shared" si="3"/>
        <v>0</v>
      </c>
      <c r="U186" s="36"/>
      <c r="V186" s="37"/>
      <c r="W186" s="94" t="e">
        <f>VLOOKUP($C$8,APOIO!$A:$F,5,FALSE)</f>
        <v>#N/A</v>
      </c>
    </row>
    <row r="187" spans="1:23" ht="15" x14ac:dyDescent="0.25">
      <c r="A187" s="36"/>
      <c r="B187" s="37" t="e">
        <f>VLOOKUP($A187,APOIO!$C:$D,2,FALSE)</f>
        <v>#N/A</v>
      </c>
      <c r="C187" s="36"/>
      <c r="D187" s="37" t="e">
        <f>VLOOKUP($C187,APOIO!$Z:$AC,2,FALSE)</f>
        <v>#N/A</v>
      </c>
      <c r="E187" s="37" t="e">
        <f>VLOOKUP($C187,APOIO!$Z:$AC,4,FALSE)</f>
        <v>#N/A</v>
      </c>
      <c r="F187" s="39"/>
      <c r="G187" s="40" t="e">
        <f>VLOOKUP($F187,APOIO!$W:$X,2,FALSE)</f>
        <v>#N/A</v>
      </c>
      <c r="H187" s="36"/>
      <c r="I187" s="40" t="e">
        <f>VLOOKUP($H187,APOIO!$AE:$AG,2,FALSE)</f>
        <v>#N/A</v>
      </c>
      <c r="J187" s="40" t="e">
        <f>VLOOKUP($H187,APOIO!$AE:$AG,3,FALSE)</f>
        <v>#N/A</v>
      </c>
      <c r="K187" s="36"/>
      <c r="L187" s="40" t="e">
        <f>VLOOKUP($K187,APOIO!$I:$J,2,FALSE)</f>
        <v>#N/A</v>
      </c>
      <c r="M187" s="37"/>
      <c r="N187" s="37"/>
      <c r="O187" s="37"/>
      <c r="P187" s="37"/>
      <c r="Q187" s="41"/>
      <c r="R187" s="36"/>
      <c r="S187" s="42"/>
      <c r="T187" s="43">
        <f t="shared" si="3"/>
        <v>0</v>
      </c>
      <c r="U187" s="36"/>
      <c r="V187" s="37"/>
      <c r="W187" s="94" t="e">
        <f>VLOOKUP($C$8,APOIO!$A:$F,5,FALSE)</f>
        <v>#N/A</v>
      </c>
    </row>
    <row r="188" spans="1:23" ht="15" x14ac:dyDescent="0.25">
      <c r="A188" s="36"/>
      <c r="B188" s="37" t="e">
        <f>VLOOKUP($A188,APOIO!$C:$D,2,FALSE)</f>
        <v>#N/A</v>
      </c>
      <c r="C188" s="36"/>
      <c r="D188" s="37" t="e">
        <f>VLOOKUP($C188,APOIO!$Z:$AC,2,FALSE)</f>
        <v>#N/A</v>
      </c>
      <c r="E188" s="37" t="e">
        <f>VLOOKUP($C188,APOIO!$Z:$AC,4,FALSE)</f>
        <v>#N/A</v>
      </c>
      <c r="F188" s="39"/>
      <c r="G188" s="40" t="e">
        <f>VLOOKUP($F188,APOIO!$W:$X,2,FALSE)</f>
        <v>#N/A</v>
      </c>
      <c r="H188" s="36"/>
      <c r="I188" s="40" t="e">
        <f>VLOOKUP($H188,APOIO!$AE:$AG,2,FALSE)</f>
        <v>#N/A</v>
      </c>
      <c r="J188" s="40" t="e">
        <f>VLOOKUP($H188,APOIO!$AE:$AG,3,FALSE)</f>
        <v>#N/A</v>
      </c>
      <c r="K188" s="36"/>
      <c r="L188" s="40" t="e">
        <f>VLOOKUP($K188,APOIO!$I:$J,2,FALSE)</f>
        <v>#N/A</v>
      </c>
      <c r="M188" s="37"/>
      <c r="N188" s="37"/>
      <c r="O188" s="37"/>
      <c r="P188" s="37"/>
      <c r="Q188" s="41"/>
      <c r="R188" s="36"/>
      <c r="S188" s="42"/>
      <c r="T188" s="43">
        <f t="shared" si="3"/>
        <v>0</v>
      </c>
      <c r="U188" s="36"/>
      <c r="V188" s="37"/>
      <c r="W188" s="94" t="e">
        <f>VLOOKUP($C$8,APOIO!$A:$F,5,FALSE)</f>
        <v>#N/A</v>
      </c>
    </row>
    <row r="189" spans="1:23" ht="15" x14ac:dyDescent="0.25">
      <c r="A189" s="36"/>
      <c r="B189" s="37" t="e">
        <f>VLOOKUP($A189,APOIO!$C:$D,2,FALSE)</f>
        <v>#N/A</v>
      </c>
      <c r="C189" s="36"/>
      <c r="D189" s="37" t="e">
        <f>VLOOKUP($C189,APOIO!$Z:$AC,2,FALSE)</f>
        <v>#N/A</v>
      </c>
      <c r="E189" s="37" t="e">
        <f>VLOOKUP($C189,APOIO!$Z:$AC,4,FALSE)</f>
        <v>#N/A</v>
      </c>
      <c r="F189" s="39"/>
      <c r="G189" s="40" t="e">
        <f>VLOOKUP($F189,APOIO!$W:$X,2,FALSE)</f>
        <v>#N/A</v>
      </c>
      <c r="H189" s="36"/>
      <c r="I189" s="40" t="e">
        <f>VLOOKUP($H189,APOIO!$AE:$AG,2,FALSE)</f>
        <v>#N/A</v>
      </c>
      <c r="J189" s="40" t="e">
        <f>VLOOKUP($H189,APOIO!$AE:$AG,3,FALSE)</f>
        <v>#N/A</v>
      </c>
      <c r="K189" s="36"/>
      <c r="L189" s="40" t="e">
        <f>VLOOKUP($K189,APOIO!$I:$J,2,FALSE)</f>
        <v>#N/A</v>
      </c>
      <c r="M189" s="37"/>
      <c r="N189" s="37"/>
      <c r="O189" s="37"/>
      <c r="P189" s="37"/>
      <c r="Q189" s="41"/>
      <c r="R189" s="36"/>
      <c r="S189" s="42"/>
      <c r="T189" s="43">
        <f t="shared" si="3"/>
        <v>0</v>
      </c>
      <c r="U189" s="36"/>
      <c r="V189" s="37"/>
      <c r="W189" s="94" t="e">
        <f>VLOOKUP($C$8,APOIO!$A:$F,5,FALSE)</f>
        <v>#N/A</v>
      </c>
    </row>
    <row r="190" spans="1:23" ht="15" x14ac:dyDescent="0.25">
      <c r="A190" s="36"/>
      <c r="B190" s="37" t="e">
        <f>VLOOKUP($A190,APOIO!$C:$D,2,FALSE)</f>
        <v>#N/A</v>
      </c>
      <c r="C190" s="36"/>
      <c r="D190" s="37" t="e">
        <f>VLOOKUP($C190,APOIO!$Z:$AC,2,FALSE)</f>
        <v>#N/A</v>
      </c>
      <c r="E190" s="37" t="e">
        <f>VLOOKUP($C190,APOIO!$Z:$AC,4,FALSE)</f>
        <v>#N/A</v>
      </c>
      <c r="F190" s="39"/>
      <c r="G190" s="40" t="e">
        <f>VLOOKUP($F190,APOIO!$W:$X,2,FALSE)</f>
        <v>#N/A</v>
      </c>
      <c r="H190" s="36"/>
      <c r="I190" s="40" t="e">
        <f>VLOOKUP($H190,APOIO!$AE:$AG,2,FALSE)</f>
        <v>#N/A</v>
      </c>
      <c r="J190" s="40" t="e">
        <f>VLOOKUP($H190,APOIO!$AE:$AG,3,FALSE)</f>
        <v>#N/A</v>
      </c>
      <c r="K190" s="36"/>
      <c r="L190" s="40" t="e">
        <f>VLOOKUP($K190,APOIO!$I:$J,2,FALSE)</f>
        <v>#N/A</v>
      </c>
      <c r="M190" s="37"/>
      <c r="N190" s="37"/>
      <c r="O190" s="37"/>
      <c r="P190" s="37"/>
      <c r="Q190" s="41"/>
      <c r="R190" s="36"/>
      <c r="S190" s="42"/>
      <c r="T190" s="43">
        <f t="shared" si="3"/>
        <v>0</v>
      </c>
      <c r="U190" s="36"/>
      <c r="V190" s="37"/>
      <c r="W190" s="94" t="e">
        <f>VLOOKUP($C$8,APOIO!$A:$F,5,FALSE)</f>
        <v>#N/A</v>
      </c>
    </row>
    <row r="191" spans="1:23" ht="15" x14ac:dyDescent="0.25">
      <c r="A191" s="36"/>
      <c r="B191" s="37" t="e">
        <f>VLOOKUP($A191,APOIO!$C:$D,2,FALSE)</f>
        <v>#N/A</v>
      </c>
      <c r="C191" s="36"/>
      <c r="D191" s="37" t="e">
        <f>VLOOKUP($C191,APOIO!$Z:$AC,2,FALSE)</f>
        <v>#N/A</v>
      </c>
      <c r="E191" s="37" t="e">
        <f>VLOOKUP($C191,APOIO!$Z:$AC,4,FALSE)</f>
        <v>#N/A</v>
      </c>
      <c r="F191" s="39"/>
      <c r="G191" s="40" t="e">
        <f>VLOOKUP($F191,APOIO!$W:$X,2,FALSE)</f>
        <v>#N/A</v>
      </c>
      <c r="H191" s="36"/>
      <c r="I191" s="40" t="e">
        <f>VLOOKUP($H191,APOIO!$AE:$AG,2,FALSE)</f>
        <v>#N/A</v>
      </c>
      <c r="J191" s="40" t="e">
        <f>VLOOKUP($H191,APOIO!$AE:$AG,3,FALSE)</f>
        <v>#N/A</v>
      </c>
      <c r="K191" s="36"/>
      <c r="L191" s="40" t="e">
        <f>VLOOKUP($K191,APOIO!$I:$J,2,FALSE)</f>
        <v>#N/A</v>
      </c>
      <c r="M191" s="37"/>
      <c r="N191" s="37"/>
      <c r="O191" s="37"/>
      <c r="P191" s="37"/>
      <c r="Q191" s="41"/>
      <c r="R191" s="36"/>
      <c r="S191" s="42"/>
      <c r="T191" s="43">
        <f t="shared" si="3"/>
        <v>0</v>
      </c>
      <c r="U191" s="36"/>
      <c r="V191" s="37"/>
      <c r="W191" s="94" t="e">
        <f>VLOOKUP($C$8,APOIO!$A:$F,5,FALSE)</f>
        <v>#N/A</v>
      </c>
    </row>
    <row r="192" spans="1:23" ht="15" x14ac:dyDescent="0.25">
      <c r="A192" s="36"/>
      <c r="B192" s="37" t="e">
        <f>VLOOKUP($A192,APOIO!$C:$D,2,FALSE)</f>
        <v>#N/A</v>
      </c>
      <c r="C192" s="36"/>
      <c r="D192" s="37" t="e">
        <f>VLOOKUP($C192,APOIO!$Z:$AC,2,FALSE)</f>
        <v>#N/A</v>
      </c>
      <c r="E192" s="37" t="e">
        <f>VLOOKUP($C192,APOIO!$Z:$AC,4,FALSE)</f>
        <v>#N/A</v>
      </c>
      <c r="F192" s="39"/>
      <c r="G192" s="40" t="e">
        <f>VLOOKUP($F192,APOIO!$W:$X,2,FALSE)</f>
        <v>#N/A</v>
      </c>
      <c r="H192" s="36"/>
      <c r="I192" s="40" t="e">
        <f>VLOOKUP($H192,APOIO!$AE:$AG,2,FALSE)</f>
        <v>#N/A</v>
      </c>
      <c r="J192" s="40" t="e">
        <f>VLOOKUP($H192,APOIO!$AE:$AG,3,FALSE)</f>
        <v>#N/A</v>
      </c>
      <c r="K192" s="36"/>
      <c r="L192" s="40" t="e">
        <f>VLOOKUP($K192,APOIO!$I:$J,2,FALSE)</f>
        <v>#N/A</v>
      </c>
      <c r="M192" s="37"/>
      <c r="N192" s="37"/>
      <c r="O192" s="37"/>
      <c r="P192" s="37"/>
      <c r="Q192" s="41"/>
      <c r="R192" s="36"/>
      <c r="S192" s="42"/>
      <c r="T192" s="43">
        <f t="shared" si="3"/>
        <v>0</v>
      </c>
      <c r="U192" s="36"/>
      <c r="V192" s="37"/>
      <c r="W192" s="94" t="e">
        <f>VLOOKUP($C$8,APOIO!$A:$F,5,FALSE)</f>
        <v>#N/A</v>
      </c>
    </row>
    <row r="193" spans="1:23" ht="15" x14ac:dyDescent="0.25">
      <c r="A193" s="36"/>
      <c r="B193" s="37" t="e">
        <f>VLOOKUP($A193,APOIO!$C:$D,2,FALSE)</f>
        <v>#N/A</v>
      </c>
      <c r="C193" s="36"/>
      <c r="D193" s="37" t="e">
        <f>VLOOKUP($C193,APOIO!$Z:$AC,2,FALSE)</f>
        <v>#N/A</v>
      </c>
      <c r="E193" s="37" t="e">
        <f>VLOOKUP($C193,APOIO!$Z:$AC,4,FALSE)</f>
        <v>#N/A</v>
      </c>
      <c r="F193" s="39"/>
      <c r="G193" s="40" t="e">
        <f>VLOOKUP($F193,APOIO!$W:$X,2,FALSE)</f>
        <v>#N/A</v>
      </c>
      <c r="H193" s="36"/>
      <c r="I193" s="40" t="e">
        <f>VLOOKUP($H193,APOIO!$AE:$AG,2,FALSE)</f>
        <v>#N/A</v>
      </c>
      <c r="J193" s="40" t="e">
        <f>VLOOKUP($H193,APOIO!$AE:$AG,3,FALSE)</f>
        <v>#N/A</v>
      </c>
      <c r="K193" s="36"/>
      <c r="L193" s="40" t="e">
        <f>VLOOKUP($K193,APOIO!$I:$J,2,FALSE)</f>
        <v>#N/A</v>
      </c>
      <c r="M193" s="37"/>
      <c r="N193" s="37"/>
      <c r="O193" s="37"/>
      <c r="P193" s="37"/>
      <c r="Q193" s="41"/>
      <c r="R193" s="36"/>
      <c r="S193" s="42"/>
      <c r="T193" s="43">
        <f t="shared" si="3"/>
        <v>0</v>
      </c>
      <c r="U193" s="36"/>
      <c r="V193" s="37"/>
      <c r="W193" s="94" t="e">
        <f>VLOOKUP($C$8,APOIO!$A:$F,5,FALSE)</f>
        <v>#N/A</v>
      </c>
    </row>
    <row r="194" spans="1:23" ht="15" x14ac:dyDescent="0.25">
      <c r="A194" s="36"/>
      <c r="B194" s="37" t="e">
        <f>VLOOKUP($A194,APOIO!$C:$D,2,FALSE)</f>
        <v>#N/A</v>
      </c>
      <c r="C194" s="36"/>
      <c r="D194" s="37" t="e">
        <f>VLOOKUP($C194,APOIO!$Z:$AC,2,FALSE)</f>
        <v>#N/A</v>
      </c>
      <c r="E194" s="37" t="e">
        <f>VLOOKUP($C194,APOIO!$Z:$AC,4,FALSE)</f>
        <v>#N/A</v>
      </c>
      <c r="F194" s="39"/>
      <c r="G194" s="40" t="e">
        <f>VLOOKUP($F194,APOIO!$W:$X,2,FALSE)</f>
        <v>#N/A</v>
      </c>
      <c r="H194" s="36"/>
      <c r="I194" s="40" t="e">
        <f>VLOOKUP($H194,APOIO!$AE:$AG,2,FALSE)</f>
        <v>#N/A</v>
      </c>
      <c r="J194" s="40" t="e">
        <f>VLOOKUP($H194,APOIO!$AE:$AG,3,FALSE)</f>
        <v>#N/A</v>
      </c>
      <c r="K194" s="36"/>
      <c r="L194" s="40" t="e">
        <f>VLOOKUP($K194,APOIO!$I:$J,2,FALSE)</f>
        <v>#N/A</v>
      </c>
      <c r="M194" s="37"/>
      <c r="N194" s="37"/>
      <c r="O194" s="37"/>
      <c r="P194" s="37"/>
      <c r="Q194" s="41"/>
      <c r="R194" s="36"/>
      <c r="S194" s="42"/>
      <c r="T194" s="43">
        <f t="shared" si="3"/>
        <v>0</v>
      </c>
      <c r="U194" s="36"/>
      <c r="V194" s="37"/>
      <c r="W194" s="94" t="e">
        <f>VLOOKUP($C$8,APOIO!$A:$F,5,FALSE)</f>
        <v>#N/A</v>
      </c>
    </row>
    <row r="195" spans="1:23" ht="15" x14ac:dyDescent="0.25">
      <c r="A195" s="36"/>
      <c r="B195" s="37" t="e">
        <f>VLOOKUP($A195,APOIO!$C:$D,2,FALSE)</f>
        <v>#N/A</v>
      </c>
      <c r="C195" s="36"/>
      <c r="D195" s="37" t="e">
        <f>VLOOKUP($C195,APOIO!$Z:$AC,2,FALSE)</f>
        <v>#N/A</v>
      </c>
      <c r="E195" s="37" t="e">
        <f>VLOOKUP($C195,APOIO!$Z:$AC,4,FALSE)</f>
        <v>#N/A</v>
      </c>
      <c r="F195" s="39"/>
      <c r="G195" s="40" t="e">
        <f>VLOOKUP($F195,APOIO!$W:$X,2,FALSE)</f>
        <v>#N/A</v>
      </c>
      <c r="H195" s="36"/>
      <c r="I195" s="40" t="e">
        <f>VLOOKUP($H195,APOIO!$AE:$AG,2,FALSE)</f>
        <v>#N/A</v>
      </c>
      <c r="J195" s="40" t="e">
        <f>VLOOKUP($H195,APOIO!$AE:$AG,3,FALSE)</f>
        <v>#N/A</v>
      </c>
      <c r="K195" s="36"/>
      <c r="L195" s="40" t="e">
        <f>VLOOKUP($K195,APOIO!$I:$J,2,FALSE)</f>
        <v>#N/A</v>
      </c>
      <c r="M195" s="37"/>
      <c r="N195" s="37"/>
      <c r="O195" s="37"/>
      <c r="P195" s="37"/>
      <c r="Q195" s="41"/>
      <c r="R195" s="36"/>
      <c r="S195" s="42"/>
      <c r="T195" s="43">
        <f t="shared" si="3"/>
        <v>0</v>
      </c>
      <c r="U195" s="36"/>
      <c r="V195" s="37"/>
      <c r="W195" s="94" t="e">
        <f>VLOOKUP($C$8,APOIO!$A:$F,5,FALSE)</f>
        <v>#N/A</v>
      </c>
    </row>
    <row r="196" spans="1:23" ht="15" x14ac:dyDescent="0.25">
      <c r="A196" s="36"/>
      <c r="B196" s="37" t="e">
        <f>VLOOKUP($A196,APOIO!$C:$D,2,FALSE)</f>
        <v>#N/A</v>
      </c>
      <c r="C196" s="36"/>
      <c r="D196" s="37" t="e">
        <f>VLOOKUP($C196,APOIO!$Z:$AC,2,FALSE)</f>
        <v>#N/A</v>
      </c>
      <c r="E196" s="37" t="e">
        <f>VLOOKUP($C196,APOIO!$Z:$AC,4,FALSE)</f>
        <v>#N/A</v>
      </c>
      <c r="F196" s="39"/>
      <c r="G196" s="40" t="e">
        <f>VLOOKUP($F196,APOIO!$W:$X,2,FALSE)</f>
        <v>#N/A</v>
      </c>
      <c r="H196" s="36"/>
      <c r="I196" s="40" t="e">
        <f>VLOOKUP($H196,APOIO!$AE:$AG,2,FALSE)</f>
        <v>#N/A</v>
      </c>
      <c r="J196" s="40" t="e">
        <f>VLOOKUP($H196,APOIO!$AE:$AG,3,FALSE)</f>
        <v>#N/A</v>
      </c>
      <c r="K196" s="36"/>
      <c r="L196" s="40" t="e">
        <f>VLOOKUP($K196,APOIO!$I:$J,2,FALSE)</f>
        <v>#N/A</v>
      </c>
      <c r="M196" s="37"/>
      <c r="N196" s="37"/>
      <c r="O196" s="37"/>
      <c r="P196" s="37"/>
      <c r="Q196" s="41"/>
      <c r="R196" s="36"/>
      <c r="S196" s="42"/>
      <c r="T196" s="43">
        <f t="shared" si="3"/>
        <v>0</v>
      </c>
      <c r="U196" s="36"/>
      <c r="V196" s="37"/>
      <c r="W196" s="94" t="e">
        <f>VLOOKUP($C$8,APOIO!$A:$F,5,FALSE)</f>
        <v>#N/A</v>
      </c>
    </row>
    <row r="197" spans="1:23" ht="15" x14ac:dyDescent="0.25">
      <c r="A197" s="36"/>
      <c r="B197" s="37" t="e">
        <f>VLOOKUP($A197,APOIO!$C:$D,2,FALSE)</f>
        <v>#N/A</v>
      </c>
      <c r="C197" s="36"/>
      <c r="D197" s="37" t="e">
        <f>VLOOKUP($C197,APOIO!$Z:$AC,2,FALSE)</f>
        <v>#N/A</v>
      </c>
      <c r="E197" s="37" t="e">
        <f>VLOOKUP($C197,APOIO!$Z:$AC,4,FALSE)</f>
        <v>#N/A</v>
      </c>
      <c r="F197" s="39"/>
      <c r="G197" s="40" t="e">
        <f>VLOOKUP($F197,APOIO!$W:$X,2,FALSE)</f>
        <v>#N/A</v>
      </c>
      <c r="H197" s="36"/>
      <c r="I197" s="40" t="e">
        <f>VLOOKUP($H197,APOIO!$AE:$AG,2,FALSE)</f>
        <v>#N/A</v>
      </c>
      <c r="J197" s="40" t="e">
        <f>VLOOKUP($H197,APOIO!$AE:$AG,3,FALSE)</f>
        <v>#N/A</v>
      </c>
      <c r="K197" s="36"/>
      <c r="L197" s="40" t="e">
        <f>VLOOKUP($K197,APOIO!$I:$J,2,FALSE)</f>
        <v>#N/A</v>
      </c>
      <c r="M197" s="37"/>
      <c r="N197" s="37"/>
      <c r="O197" s="37"/>
      <c r="P197" s="37"/>
      <c r="Q197" s="41"/>
      <c r="R197" s="36"/>
      <c r="S197" s="42"/>
      <c r="T197" s="43">
        <f t="shared" si="3"/>
        <v>0</v>
      </c>
      <c r="U197" s="36"/>
      <c r="V197" s="37"/>
      <c r="W197" s="94" t="e">
        <f>VLOOKUP($C$8,APOIO!$A:$F,5,FALSE)</f>
        <v>#N/A</v>
      </c>
    </row>
    <row r="198" spans="1:23" ht="15" x14ac:dyDescent="0.25">
      <c r="A198" s="36"/>
      <c r="B198" s="37" t="e">
        <f>VLOOKUP($A198,APOIO!$C:$D,2,FALSE)</f>
        <v>#N/A</v>
      </c>
      <c r="C198" s="36"/>
      <c r="D198" s="37" t="e">
        <f>VLOOKUP($C198,APOIO!$Z:$AC,2,FALSE)</f>
        <v>#N/A</v>
      </c>
      <c r="E198" s="37" t="e">
        <f>VLOOKUP($C198,APOIO!$Z:$AC,4,FALSE)</f>
        <v>#N/A</v>
      </c>
      <c r="F198" s="39"/>
      <c r="G198" s="40" t="e">
        <f>VLOOKUP($F198,APOIO!$W:$X,2,FALSE)</f>
        <v>#N/A</v>
      </c>
      <c r="H198" s="36"/>
      <c r="I198" s="40" t="e">
        <f>VLOOKUP($H198,APOIO!$AE:$AG,2,FALSE)</f>
        <v>#N/A</v>
      </c>
      <c r="J198" s="40" t="e">
        <f>VLOOKUP($H198,APOIO!$AE:$AG,3,FALSE)</f>
        <v>#N/A</v>
      </c>
      <c r="K198" s="36"/>
      <c r="L198" s="40" t="e">
        <f>VLOOKUP($K198,APOIO!$I:$J,2,FALSE)</f>
        <v>#N/A</v>
      </c>
      <c r="M198" s="37"/>
      <c r="N198" s="37"/>
      <c r="O198" s="37"/>
      <c r="P198" s="37"/>
      <c r="Q198" s="41"/>
      <c r="R198" s="36"/>
      <c r="S198" s="42"/>
      <c r="T198" s="43">
        <f t="shared" si="3"/>
        <v>0</v>
      </c>
      <c r="U198" s="36"/>
      <c r="V198" s="37"/>
      <c r="W198" s="94" t="e">
        <f>VLOOKUP($C$8,APOIO!$A:$F,5,FALSE)</f>
        <v>#N/A</v>
      </c>
    </row>
    <row r="199" spans="1:23" ht="15" x14ac:dyDescent="0.25">
      <c r="A199" s="36"/>
      <c r="B199" s="37" t="e">
        <f>VLOOKUP($A199,APOIO!$C:$D,2,FALSE)</f>
        <v>#N/A</v>
      </c>
      <c r="C199" s="36"/>
      <c r="D199" s="37" t="e">
        <f>VLOOKUP($C199,APOIO!$Z:$AC,2,FALSE)</f>
        <v>#N/A</v>
      </c>
      <c r="E199" s="37" t="e">
        <f>VLOOKUP($C199,APOIO!$Z:$AC,4,FALSE)</f>
        <v>#N/A</v>
      </c>
      <c r="F199" s="39"/>
      <c r="G199" s="40" t="e">
        <f>VLOOKUP($F199,APOIO!$W:$X,2,FALSE)</f>
        <v>#N/A</v>
      </c>
      <c r="H199" s="36"/>
      <c r="I199" s="40" t="e">
        <f>VLOOKUP($H199,APOIO!$AE:$AG,2,FALSE)</f>
        <v>#N/A</v>
      </c>
      <c r="J199" s="40" t="e">
        <f>VLOOKUP($H199,APOIO!$AE:$AG,3,FALSE)</f>
        <v>#N/A</v>
      </c>
      <c r="K199" s="36"/>
      <c r="L199" s="40" t="e">
        <f>VLOOKUP($K199,APOIO!$I:$J,2,FALSE)</f>
        <v>#N/A</v>
      </c>
      <c r="M199" s="37"/>
      <c r="N199" s="37"/>
      <c r="O199" s="37"/>
      <c r="P199" s="37"/>
      <c r="Q199" s="41"/>
      <c r="R199" s="36"/>
      <c r="S199" s="42"/>
      <c r="T199" s="43">
        <f t="shared" si="3"/>
        <v>0</v>
      </c>
      <c r="U199" s="36"/>
      <c r="V199" s="37"/>
      <c r="W199" s="94" t="e">
        <f>VLOOKUP($C$8,APOIO!$A:$F,5,FALSE)</f>
        <v>#N/A</v>
      </c>
    </row>
    <row r="200" spans="1:23" ht="15" x14ac:dyDescent="0.25">
      <c r="A200" s="36"/>
      <c r="B200" s="37" t="e">
        <f>VLOOKUP($A200,APOIO!$C:$D,2,FALSE)</f>
        <v>#N/A</v>
      </c>
      <c r="C200" s="36"/>
      <c r="D200" s="37" t="e">
        <f>VLOOKUP($C200,APOIO!$Z:$AC,2,FALSE)</f>
        <v>#N/A</v>
      </c>
      <c r="E200" s="37" t="e">
        <f>VLOOKUP($C200,APOIO!$Z:$AC,4,FALSE)</f>
        <v>#N/A</v>
      </c>
      <c r="F200" s="39"/>
      <c r="G200" s="40" t="e">
        <f>VLOOKUP($F200,APOIO!$W:$X,2,FALSE)</f>
        <v>#N/A</v>
      </c>
      <c r="H200" s="36"/>
      <c r="I200" s="40" t="e">
        <f>VLOOKUP($H200,APOIO!$AE:$AG,2,FALSE)</f>
        <v>#N/A</v>
      </c>
      <c r="J200" s="40" t="e">
        <f>VLOOKUP($H200,APOIO!$AE:$AG,3,FALSE)</f>
        <v>#N/A</v>
      </c>
      <c r="K200" s="36"/>
      <c r="L200" s="40" t="e">
        <f>VLOOKUP($K200,APOIO!$I:$J,2,FALSE)</f>
        <v>#N/A</v>
      </c>
      <c r="M200" s="37"/>
      <c r="N200" s="37"/>
      <c r="O200" s="37"/>
      <c r="P200" s="37"/>
      <c r="Q200" s="41"/>
      <c r="R200" s="36"/>
      <c r="S200" s="42"/>
      <c r="T200" s="43">
        <f t="shared" si="3"/>
        <v>0</v>
      </c>
      <c r="U200" s="36"/>
      <c r="V200" s="37"/>
      <c r="W200" s="94" t="e">
        <f>VLOOKUP($C$8,APOIO!$A:$F,5,FALSE)</f>
        <v>#N/A</v>
      </c>
    </row>
    <row r="201" spans="1:23" x14ac:dyDescent="0.2"/>
  </sheetData>
  <sheetProtection algorithmName="SHA-512" hashValue="RL7fWMs3eZ1mPv/8MeiYEsoCbky7aqKT5ISYkkiYmEqy9DVH3d/deOgWWKFlU+cowDS21xtc8b4+ezkUXL4qZA==" saltValue="H2o1WeT+M38IlOwUQiqIhA==" spinCount="100000" sheet="1" objects="1" scenarios="1"/>
  <mergeCells count="2">
    <mergeCell ref="C8:E8"/>
    <mergeCell ref="C9:E9"/>
  </mergeCells>
  <conditionalFormatting sqref="H11:H200">
    <cfRule type="expression" dxfId="2" priority="1">
      <formula>IF($E11=$J11,0,1)</formula>
    </cfRule>
  </conditionalFormatting>
  <pageMargins left="0.75" right="0.75" top="1" bottom="1" header="0.5" footer="0.5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APOIO!$AE$2:$AE$34</xm:f>
          </x14:formula1>
          <xm:sqref>H11:H100</xm:sqref>
        </x14:dataValidation>
        <x14:dataValidation type="list" allowBlank="1" showInputMessage="1" showErrorMessage="1">
          <x14:formula1>
            <xm:f>APOIO!$W$2:$W$2</xm:f>
          </x14:formula1>
          <xm:sqref>F11:F100 K11:K100</xm:sqref>
        </x14:dataValidation>
        <x14:dataValidation type="list" allowBlank="1" showInputMessage="1" showErrorMessage="1">
          <x14:formula1>
            <xm:f>APOIO!$C$2:$C$5</xm:f>
          </x14:formula1>
          <xm:sqref>A11:A100</xm:sqref>
        </x14:dataValidation>
        <x14:dataValidation type="list" allowBlank="1" showInputMessage="1" showErrorMessage="1">
          <x14:formula1>
            <xm:f>APOIO!$Z$2:$Z$494</xm:f>
          </x14:formula1>
          <xm:sqref>C11:C100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01"/>
  <sheetViews>
    <sheetView showGridLines="0" zoomScale="85" zoomScaleNormal="85" workbookViewId="0"/>
  </sheetViews>
  <sheetFormatPr defaultColWidth="0" defaultRowHeight="12.75" zeroHeight="1" x14ac:dyDescent="0.2"/>
  <cols>
    <col min="1" max="1" width="20.7109375" style="1" customWidth="1"/>
    <col min="2" max="2" width="20.7109375" style="1" hidden="1" customWidth="1"/>
    <col min="3" max="3" width="49.7109375" style="1" customWidth="1"/>
    <col min="4" max="4" width="20.7109375" style="1" hidden="1" customWidth="1"/>
    <col min="5" max="5" width="20.7109375" style="1" customWidth="1"/>
    <col min="6" max="7" width="20.7109375" style="1" hidden="1" customWidth="1"/>
    <col min="8" max="8" width="20.7109375" style="1" customWidth="1"/>
    <col min="9" max="9" width="20.7109375" style="1" hidden="1" customWidth="1"/>
    <col min="10" max="10" width="20.7109375" style="1" customWidth="1"/>
    <col min="11" max="12" width="20.7109375" style="1" hidden="1" customWidth="1"/>
    <col min="13" max="13" width="20.7109375" style="1" customWidth="1"/>
    <col min="14" max="18" width="20.7109375" style="1" hidden="1" customWidth="1"/>
    <col min="19" max="19" width="20.7109375" style="1" customWidth="1"/>
    <col min="20" max="21" width="20.7109375" style="86" customWidth="1"/>
    <col min="22" max="22" width="20.7109375" style="1" customWidth="1"/>
    <col min="23" max="23" width="50.7109375" style="1" customWidth="1"/>
    <col min="24" max="24" width="26.7109375" style="86" bestFit="1" customWidth="1"/>
    <col min="25" max="25" width="4.7109375" style="1" hidden="1" customWidth="1"/>
    <col min="26" max="26" width="5.7109375" style="82" hidden="1" customWidth="1"/>
    <col min="27" max="28" width="3.140625" style="1" customWidth="1"/>
    <col min="29" max="16384" width="9.140625" style="1" hidden="1"/>
  </cols>
  <sheetData>
    <row r="1" spans="1:26" ht="15" x14ac:dyDescent="0.25">
      <c r="A1" s="23" t="s">
        <v>23</v>
      </c>
      <c r="B1" s="23"/>
      <c r="C1" s="23"/>
      <c r="D1" s="23"/>
      <c r="E1" s="24"/>
      <c r="F1" s="23"/>
      <c r="G1" s="23"/>
      <c r="H1" s="23"/>
      <c r="I1" s="23"/>
      <c r="J1" s="23"/>
      <c r="K1" s="23"/>
      <c r="L1" s="23"/>
      <c r="M1" s="23"/>
      <c r="N1" s="23"/>
      <c r="O1" s="23"/>
      <c r="P1" s="25"/>
      <c r="Q1" s="25"/>
      <c r="R1" s="23"/>
      <c r="S1" s="26"/>
      <c r="T1" s="85"/>
      <c r="U1" s="85"/>
      <c r="V1" s="26"/>
      <c r="W1" s="26"/>
      <c r="X1" s="85"/>
      <c r="Y1" s="26"/>
      <c r="Z1" s="83"/>
    </row>
    <row r="2" spans="1:26" ht="15" x14ac:dyDescent="0.25">
      <c r="A2" s="23"/>
      <c r="B2" s="23"/>
      <c r="C2" s="23"/>
      <c r="D2" s="23"/>
      <c r="E2" s="24"/>
      <c r="F2" s="23"/>
      <c r="G2" s="23"/>
      <c r="H2" s="23"/>
      <c r="I2" s="23"/>
      <c r="J2" s="23"/>
      <c r="K2" s="23"/>
      <c r="L2" s="23"/>
      <c r="M2" s="23"/>
      <c r="N2" s="23"/>
      <c r="O2" s="23"/>
      <c r="P2" s="25" t="b">
        <v>0</v>
      </c>
      <c r="Q2" s="25"/>
      <c r="R2" s="23"/>
      <c r="S2" s="26"/>
      <c r="T2" s="85"/>
      <c r="U2" s="85"/>
      <c r="V2" s="26"/>
      <c r="W2" s="26"/>
      <c r="X2" s="85"/>
      <c r="Y2" s="26"/>
      <c r="Z2" s="83"/>
    </row>
    <row r="3" spans="1:26" ht="15" x14ac:dyDescent="0.25">
      <c r="A3" s="23"/>
      <c r="B3" s="23"/>
      <c r="C3" s="23"/>
      <c r="D3" s="23"/>
      <c r="E3" s="24"/>
      <c r="F3" s="23"/>
      <c r="G3" s="23"/>
      <c r="H3" s="23"/>
      <c r="I3" s="23"/>
      <c r="J3" s="23"/>
      <c r="K3" s="23"/>
      <c r="L3" s="23"/>
      <c r="M3" s="23"/>
      <c r="N3" s="23"/>
      <c r="O3" s="23"/>
      <c r="P3" s="25"/>
      <c r="Q3" s="25"/>
      <c r="R3" s="23"/>
      <c r="S3" s="26"/>
      <c r="T3" s="85"/>
      <c r="U3" s="85"/>
      <c r="V3" s="26"/>
      <c r="W3" s="26"/>
      <c r="X3" s="85"/>
      <c r="Y3" s="26"/>
      <c r="Z3" s="83"/>
    </row>
    <row r="4" spans="1:26" ht="15" x14ac:dyDescent="0.25">
      <c r="A4" s="23"/>
      <c r="B4" s="23"/>
      <c r="C4" s="23"/>
      <c r="D4" s="23"/>
      <c r="E4" s="24"/>
      <c r="F4" s="23"/>
      <c r="G4" s="23"/>
      <c r="H4" s="23"/>
      <c r="I4" s="23"/>
      <c r="J4" s="23"/>
      <c r="K4" s="23"/>
      <c r="L4" s="23"/>
      <c r="M4" s="23"/>
      <c r="N4" s="23"/>
      <c r="O4" s="23"/>
      <c r="P4" s="25"/>
      <c r="Q4" s="25"/>
      <c r="R4" s="23"/>
      <c r="S4" s="26"/>
      <c r="T4" s="85"/>
      <c r="U4" s="85"/>
      <c r="V4" s="26"/>
      <c r="W4" s="26"/>
      <c r="X4" s="85"/>
      <c r="Y4" s="26"/>
      <c r="Z4" s="83"/>
    </row>
    <row r="5" spans="1:26" x14ac:dyDescent="0.2">
      <c r="A5" s="26"/>
      <c r="B5" s="26" t="e">
        <f>VLOOKUP($A5,APOIO!$A:$E,1,FALSE)</f>
        <v>#N/A</v>
      </c>
      <c r="C5" s="26"/>
      <c r="D5" s="26" t="e">
        <f>INDEX(APOIO!$D:$D,MATCH(CONCATENATE($B5,$C5),APOIO!$F:$F,0))</f>
        <v>#N/A</v>
      </c>
      <c r="E5" s="27"/>
      <c r="F5" s="26" t="e">
        <f>VLOOKUP($E5,APOIO!$Z:$AC,2,FALSE)</f>
        <v>#N/A</v>
      </c>
      <c r="G5" s="26" t="e">
        <f>VLOOKUP($E5,APOIO!$Z:$AC,4,FALSE)</f>
        <v>#N/A</v>
      </c>
      <c r="H5" s="26" t="s">
        <v>24</v>
      </c>
      <c r="I5" s="26" t="e">
        <f>VLOOKUP($H5,APOIO!$W:$X,2,FALSE)</f>
        <v>#N/A</v>
      </c>
      <c r="J5" s="26"/>
      <c r="K5" s="26" t="e">
        <f>VLOOKUP($J5,APOIO!$AE:$AG,2,FALSE)</f>
        <v>#N/A</v>
      </c>
      <c r="L5" s="26" t="e">
        <f>VLOOKUP($J5,APOIO!$AE:$AG,3,FALSE)</f>
        <v>#N/A</v>
      </c>
      <c r="M5" s="26"/>
      <c r="N5" s="26" t="e">
        <f>VLOOKUP($M5,APOIO!$I:$J,2,FALSE)</f>
        <v>#N/A</v>
      </c>
      <c r="O5" s="26"/>
      <c r="P5" s="28" t="e">
        <f>VLOOKUP($O5,APOIO!$O:$P,2,FALSE)</f>
        <v>#N/A</v>
      </c>
      <c r="Q5" s="28"/>
      <c r="R5" s="26" t="e">
        <f>VLOOKUP($Q5,APOIO!$L:$M,2,FALSE)</f>
        <v>#N/A</v>
      </c>
      <c r="S5" s="26"/>
      <c r="T5" s="85"/>
      <c r="U5" s="85"/>
      <c r="V5" s="50">
        <f>T5*U5</f>
        <v>0</v>
      </c>
      <c r="W5" s="26"/>
      <c r="X5" s="85"/>
      <c r="Y5" s="26" t="b">
        <f>ISERROR($B5)</f>
        <v>1</v>
      </c>
      <c r="Z5" s="83" t="e">
        <f>VLOOKUP($B5,APOIO!$A:$F,5,FALSE)</f>
        <v>#N/A</v>
      </c>
    </row>
    <row r="6" spans="1:26" ht="15" x14ac:dyDescent="0.25">
      <c r="A6" s="23"/>
      <c r="B6" s="23"/>
      <c r="C6" s="23"/>
      <c r="D6" s="23"/>
      <c r="E6" s="24"/>
      <c r="F6" s="23"/>
      <c r="G6" s="23"/>
      <c r="H6" s="23"/>
      <c r="I6" s="23"/>
      <c r="J6" s="23"/>
      <c r="K6" s="23"/>
      <c r="L6" s="23"/>
      <c r="M6" s="23"/>
      <c r="N6" s="23"/>
      <c r="O6" s="23"/>
      <c r="P6" s="25"/>
      <c r="Q6" s="25"/>
      <c r="R6" s="23"/>
      <c r="S6" s="26"/>
      <c r="T6" s="85"/>
      <c r="U6" s="85"/>
      <c r="V6" s="26"/>
      <c r="W6" s="26"/>
      <c r="X6" s="85"/>
      <c r="Y6" s="26"/>
      <c r="Z6" s="83"/>
    </row>
    <row r="7" spans="1:26" ht="15" x14ac:dyDescent="0.25">
      <c r="A7" s="23"/>
      <c r="B7" s="23"/>
      <c r="C7" s="23"/>
      <c r="D7" s="23"/>
      <c r="E7" s="24"/>
      <c r="F7" s="23"/>
      <c r="G7" s="23"/>
      <c r="H7" s="23"/>
      <c r="I7" s="23"/>
      <c r="J7" s="23"/>
      <c r="K7" s="23"/>
      <c r="L7" s="23"/>
      <c r="M7" s="23"/>
      <c r="N7" s="23"/>
      <c r="O7" s="23"/>
      <c r="P7" s="25"/>
      <c r="Q7" s="25"/>
      <c r="R7" s="23"/>
      <c r="S7" s="26"/>
      <c r="T7" s="85"/>
      <c r="U7" s="85"/>
      <c r="V7" s="26"/>
      <c r="W7" s="26"/>
      <c r="X7" s="85"/>
      <c r="Y7" s="26"/>
      <c r="Z7" s="83"/>
    </row>
    <row r="8" spans="1:26" ht="18" customHeight="1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8"/>
      <c r="Q8" s="28"/>
      <c r="R8" s="26"/>
      <c r="S8" s="26"/>
      <c r="T8" s="85"/>
      <c r="U8" s="85"/>
      <c r="V8" s="26"/>
      <c r="W8" s="26"/>
      <c r="X8" s="85"/>
      <c r="Y8" s="26"/>
      <c r="Z8" s="83"/>
    </row>
    <row r="9" spans="1:26" ht="45" customHeight="1" x14ac:dyDescent="0.2">
      <c r="A9" s="29" t="s">
        <v>25</v>
      </c>
      <c r="B9" s="30" t="s">
        <v>26</v>
      </c>
      <c r="C9" s="31" t="s">
        <v>27</v>
      </c>
      <c r="D9" s="32" t="s">
        <v>28</v>
      </c>
      <c r="E9" s="31" t="s">
        <v>29</v>
      </c>
      <c r="F9" s="32" t="s">
        <v>30</v>
      </c>
      <c r="G9" s="32" t="s">
        <v>31</v>
      </c>
      <c r="H9" s="31" t="s">
        <v>115</v>
      </c>
      <c r="I9" s="32" t="s">
        <v>32</v>
      </c>
      <c r="J9" s="31" t="s">
        <v>33</v>
      </c>
      <c r="K9" s="32" t="s">
        <v>34</v>
      </c>
      <c r="L9" s="32" t="s">
        <v>35</v>
      </c>
      <c r="M9" s="31" t="s">
        <v>36</v>
      </c>
      <c r="N9" s="33" t="s">
        <v>37</v>
      </c>
      <c r="O9" s="34" t="s">
        <v>38</v>
      </c>
      <c r="P9" s="35" t="s">
        <v>39</v>
      </c>
      <c r="Q9" s="34" t="s">
        <v>40</v>
      </c>
      <c r="R9" s="35" t="s">
        <v>41</v>
      </c>
      <c r="S9" s="31" t="s">
        <v>42</v>
      </c>
      <c r="T9" s="31" t="s">
        <v>43</v>
      </c>
      <c r="U9" s="31" t="s">
        <v>44</v>
      </c>
      <c r="V9" s="32" t="s">
        <v>45</v>
      </c>
      <c r="W9" s="31" t="s">
        <v>46</v>
      </c>
      <c r="X9" s="32" t="s">
        <v>47</v>
      </c>
      <c r="Y9" s="32" t="s">
        <v>561</v>
      </c>
      <c r="Z9" s="32" t="s">
        <v>1040</v>
      </c>
    </row>
    <row r="10" spans="1:26" ht="15" x14ac:dyDescent="0.25">
      <c r="A10" s="36"/>
      <c r="B10" s="37" t="e">
        <f>VLOOKUP($A10,APOIO!$A:$E,1,FALSE)</f>
        <v>#N/A</v>
      </c>
      <c r="C10" s="36"/>
      <c r="D10" s="37" t="e">
        <f>INDEX(APOIO!$D:$D,MATCH(CONCATENATE($B10,$C10),APOIO!$F:$F,0))</f>
        <v>#N/A</v>
      </c>
      <c r="E10" s="36"/>
      <c r="F10" s="37" t="e">
        <f>VLOOKUP($E10,APOIO!$Z:$AC,2,FALSE)</f>
        <v>#N/A</v>
      </c>
      <c r="G10" s="38" t="e">
        <f>VLOOKUP($E10,APOIO!$Z:$AC,4,FALSE)</f>
        <v>#N/A</v>
      </c>
      <c r="H10" s="39"/>
      <c r="I10" s="40" t="e">
        <f>VLOOKUP($H10,APOIO!$W:$X,2,FALSE)</f>
        <v>#N/A</v>
      </c>
      <c r="J10" s="36"/>
      <c r="K10" s="40" t="e">
        <f>VLOOKUP($J10,APOIO!$AE:$AG,2,FALSE)</f>
        <v>#N/A</v>
      </c>
      <c r="L10" s="38" t="e">
        <f>VLOOKUP($J10,APOIO!$AE:$AG,3,FALSE)</f>
        <v>#N/A</v>
      </c>
      <c r="M10" s="36"/>
      <c r="N10" s="40" t="e">
        <f>VLOOKUP($M10,APOIO!$I:$J,2,FALSE)</f>
        <v>#N/A</v>
      </c>
      <c r="O10" s="37"/>
      <c r="P10" s="37"/>
      <c r="Q10" s="37"/>
      <c r="R10" s="37"/>
      <c r="S10" s="41"/>
      <c r="T10" s="91"/>
      <c r="U10" s="92"/>
      <c r="V10" s="43">
        <f t="shared" ref="V10:V73" si="0">T10*U10</f>
        <v>0</v>
      </c>
      <c r="W10" s="36"/>
      <c r="X10" s="87"/>
      <c r="Y10" s="37" t="b">
        <f t="shared" ref="Y10:Y73" si="1">ISERROR($B10)</f>
        <v>1</v>
      </c>
      <c r="Z10" s="84" t="e">
        <f>VLOOKUP($B10,APOIO!$A:$F,5,FALSE)</f>
        <v>#N/A</v>
      </c>
    </row>
    <row r="11" spans="1:26" ht="15" x14ac:dyDescent="0.25">
      <c r="A11" s="36"/>
      <c r="B11" s="37" t="e">
        <f>VLOOKUP($A11,APOIO!$A:$E,1,FALSE)</f>
        <v>#N/A</v>
      </c>
      <c r="C11" s="36"/>
      <c r="D11" s="37" t="e">
        <f>INDEX(APOIO!$D:$D,MATCH(CONCATENATE($B11,$C11),APOIO!$F:$F,0))</f>
        <v>#N/A</v>
      </c>
      <c r="E11" s="36"/>
      <c r="F11" s="37" t="e">
        <f>VLOOKUP($E11,APOIO!$Z:$AC,2,FALSE)</f>
        <v>#N/A</v>
      </c>
      <c r="G11" s="38" t="e">
        <f>VLOOKUP($E11,APOIO!$Z:$AC,4,FALSE)</f>
        <v>#N/A</v>
      </c>
      <c r="H11" s="39"/>
      <c r="I11" s="40" t="e">
        <f>VLOOKUP($H11,APOIO!$W:$X,2,FALSE)</f>
        <v>#N/A</v>
      </c>
      <c r="J11" s="36"/>
      <c r="K11" s="40" t="e">
        <f>VLOOKUP($J11,APOIO!$AE:$AG,2,FALSE)</f>
        <v>#N/A</v>
      </c>
      <c r="L11" s="38" t="e">
        <f>VLOOKUP($J11,APOIO!$AE:$AG,3,FALSE)</f>
        <v>#N/A</v>
      </c>
      <c r="M11" s="36"/>
      <c r="N11" s="37" t="e">
        <f>VLOOKUP($M11,APOIO!$I:$J,2,FALSE)</f>
        <v>#N/A</v>
      </c>
      <c r="O11" s="37"/>
      <c r="P11" s="37"/>
      <c r="Q11" s="37"/>
      <c r="R11" s="37"/>
      <c r="S11" s="41"/>
      <c r="T11" s="91"/>
      <c r="U11" s="92"/>
      <c r="V11" s="43">
        <f t="shared" si="0"/>
        <v>0</v>
      </c>
      <c r="W11" s="36"/>
      <c r="X11" s="87"/>
      <c r="Y11" s="37" t="b">
        <f t="shared" si="1"/>
        <v>1</v>
      </c>
      <c r="Z11" s="84" t="e">
        <f>VLOOKUP($B11,APOIO!$A:$F,5,FALSE)</f>
        <v>#N/A</v>
      </c>
    </row>
    <row r="12" spans="1:26" ht="15" x14ac:dyDescent="0.25">
      <c r="A12" s="36"/>
      <c r="B12" s="37" t="e">
        <f>VLOOKUP($A12,APOIO!$A:$E,1,FALSE)</f>
        <v>#N/A</v>
      </c>
      <c r="C12" s="36"/>
      <c r="D12" s="37" t="e">
        <f>INDEX(APOIO!$D:$D,MATCH(CONCATENATE($B12,$C12),APOIO!$F:$F,0))</f>
        <v>#N/A</v>
      </c>
      <c r="E12" s="36"/>
      <c r="F12" s="37" t="e">
        <f>VLOOKUP($E12,APOIO!$Z:$AC,2,FALSE)</f>
        <v>#N/A</v>
      </c>
      <c r="G12" s="38" t="e">
        <f>VLOOKUP($E12,APOIO!$Z:$AC,4,FALSE)</f>
        <v>#N/A</v>
      </c>
      <c r="H12" s="39"/>
      <c r="I12" s="40" t="e">
        <f>VLOOKUP($H12,APOIO!$W:$X,2,FALSE)</f>
        <v>#N/A</v>
      </c>
      <c r="J12" s="36"/>
      <c r="K12" s="40" t="e">
        <f>VLOOKUP($J12,APOIO!$AE:$AG,2,FALSE)</f>
        <v>#N/A</v>
      </c>
      <c r="L12" s="38" t="e">
        <f>VLOOKUP($J12,APOIO!$AE:$AG,3,FALSE)</f>
        <v>#N/A</v>
      </c>
      <c r="M12" s="36"/>
      <c r="N12" s="37" t="e">
        <f>VLOOKUP($M12,APOIO!$I:$J,2,FALSE)</f>
        <v>#N/A</v>
      </c>
      <c r="O12" s="37"/>
      <c r="P12" s="37"/>
      <c r="Q12" s="37"/>
      <c r="R12" s="37"/>
      <c r="S12" s="41"/>
      <c r="T12" s="91"/>
      <c r="U12" s="92"/>
      <c r="V12" s="43">
        <f t="shared" si="0"/>
        <v>0</v>
      </c>
      <c r="W12" s="36"/>
      <c r="X12" s="87"/>
      <c r="Y12" s="37" t="b">
        <f t="shared" si="1"/>
        <v>1</v>
      </c>
      <c r="Z12" s="84" t="e">
        <f>VLOOKUP($B12,APOIO!$A:$F,5,FALSE)</f>
        <v>#N/A</v>
      </c>
    </row>
    <row r="13" spans="1:26" ht="15" x14ac:dyDescent="0.25">
      <c r="A13" s="36"/>
      <c r="B13" s="37" t="e">
        <f>VLOOKUP($A13,APOIO!$A:$E,1,FALSE)</f>
        <v>#N/A</v>
      </c>
      <c r="C13" s="36"/>
      <c r="D13" s="37" t="e">
        <f>INDEX(APOIO!$D:$D,MATCH(CONCATENATE($B13,$C13),APOIO!$F:$F,0))</f>
        <v>#N/A</v>
      </c>
      <c r="E13" s="36"/>
      <c r="F13" s="37" t="e">
        <f>VLOOKUP($E13,APOIO!$Z:$AC,2,FALSE)</f>
        <v>#N/A</v>
      </c>
      <c r="G13" s="38" t="e">
        <f>VLOOKUP($E13,APOIO!$Z:$AC,4,FALSE)</f>
        <v>#N/A</v>
      </c>
      <c r="H13" s="39"/>
      <c r="I13" s="40" t="e">
        <f>VLOOKUP($H13,APOIO!$W:$X,2,FALSE)</f>
        <v>#N/A</v>
      </c>
      <c r="J13" s="36"/>
      <c r="K13" s="40" t="e">
        <f>VLOOKUP($J13,APOIO!$AE:$AG,2,FALSE)</f>
        <v>#N/A</v>
      </c>
      <c r="L13" s="38" t="e">
        <f>VLOOKUP($J13,APOIO!$AE:$AG,3,FALSE)</f>
        <v>#N/A</v>
      </c>
      <c r="M13" s="36"/>
      <c r="N13" s="37" t="e">
        <f>VLOOKUP($M13,APOIO!$I:$J,2,FALSE)</f>
        <v>#N/A</v>
      </c>
      <c r="O13" s="37"/>
      <c r="P13" s="37"/>
      <c r="Q13" s="37"/>
      <c r="R13" s="37"/>
      <c r="S13" s="41"/>
      <c r="T13" s="91"/>
      <c r="U13" s="92"/>
      <c r="V13" s="43">
        <f t="shared" si="0"/>
        <v>0</v>
      </c>
      <c r="W13" s="36"/>
      <c r="X13" s="87"/>
      <c r="Y13" s="37" t="b">
        <f t="shared" si="1"/>
        <v>1</v>
      </c>
      <c r="Z13" s="84" t="e">
        <f>VLOOKUP($B13,APOIO!$A:$F,5,FALSE)</f>
        <v>#N/A</v>
      </c>
    </row>
    <row r="14" spans="1:26" ht="15" x14ac:dyDescent="0.25">
      <c r="A14" s="36"/>
      <c r="B14" s="37" t="e">
        <f>VLOOKUP($A14,APOIO!$A:$E,1,FALSE)</f>
        <v>#N/A</v>
      </c>
      <c r="C14" s="36"/>
      <c r="D14" s="37" t="e">
        <f>INDEX(APOIO!$D:$D,MATCH(CONCATENATE($B14,$C14),APOIO!$F:$F,0))</f>
        <v>#N/A</v>
      </c>
      <c r="E14" s="36"/>
      <c r="F14" s="37" t="e">
        <f>VLOOKUP($E14,APOIO!$Z:$AC,2,FALSE)</f>
        <v>#N/A</v>
      </c>
      <c r="G14" s="38" t="e">
        <f>VLOOKUP($E14,APOIO!$Z:$AC,4,FALSE)</f>
        <v>#N/A</v>
      </c>
      <c r="H14" s="39"/>
      <c r="I14" s="40" t="e">
        <f>VLOOKUP($H14,APOIO!$W:$X,2,FALSE)</f>
        <v>#N/A</v>
      </c>
      <c r="J14" s="36"/>
      <c r="K14" s="40" t="e">
        <f>VLOOKUP($J14,APOIO!$AE:$AG,2,FALSE)</f>
        <v>#N/A</v>
      </c>
      <c r="L14" s="38" t="e">
        <f>VLOOKUP($J14,APOIO!$AE:$AG,3,FALSE)</f>
        <v>#N/A</v>
      </c>
      <c r="M14" s="36"/>
      <c r="N14" s="37" t="e">
        <f>VLOOKUP($M14,APOIO!$I:$J,2,FALSE)</f>
        <v>#N/A</v>
      </c>
      <c r="O14" s="37"/>
      <c r="P14" s="37"/>
      <c r="Q14" s="37"/>
      <c r="R14" s="37"/>
      <c r="S14" s="41"/>
      <c r="T14" s="91"/>
      <c r="U14" s="92"/>
      <c r="V14" s="43">
        <f t="shared" si="0"/>
        <v>0</v>
      </c>
      <c r="W14" s="36"/>
      <c r="X14" s="87"/>
      <c r="Y14" s="37" t="b">
        <f t="shared" si="1"/>
        <v>1</v>
      </c>
      <c r="Z14" s="84" t="e">
        <f>VLOOKUP($B14,APOIO!$A:$F,5,FALSE)</f>
        <v>#N/A</v>
      </c>
    </row>
    <row r="15" spans="1:26" ht="15" x14ac:dyDescent="0.25">
      <c r="A15" s="36"/>
      <c r="B15" s="37" t="e">
        <f>VLOOKUP($A15,APOIO!$A:$E,1,FALSE)</f>
        <v>#N/A</v>
      </c>
      <c r="C15" s="36"/>
      <c r="D15" s="37" t="e">
        <f>INDEX(APOIO!$D:$D,MATCH(CONCATENATE($B15,$C15),APOIO!$F:$F,0))</f>
        <v>#N/A</v>
      </c>
      <c r="E15" s="36"/>
      <c r="F15" s="37" t="e">
        <f>VLOOKUP($E15,APOIO!$Z:$AC,2,FALSE)</f>
        <v>#N/A</v>
      </c>
      <c r="G15" s="38" t="e">
        <f>VLOOKUP($E15,APOIO!$Z:$AC,4,FALSE)</f>
        <v>#N/A</v>
      </c>
      <c r="H15" s="39"/>
      <c r="I15" s="40" t="e">
        <f>VLOOKUP($H15,APOIO!$W:$X,2,FALSE)</f>
        <v>#N/A</v>
      </c>
      <c r="J15" s="36"/>
      <c r="K15" s="40" t="e">
        <f>VLOOKUP($J15,APOIO!$AE:$AG,2,FALSE)</f>
        <v>#N/A</v>
      </c>
      <c r="L15" s="38" t="e">
        <f>VLOOKUP($J15,APOIO!$AE:$AG,3,FALSE)</f>
        <v>#N/A</v>
      </c>
      <c r="M15" s="36"/>
      <c r="N15" s="37" t="e">
        <f>VLOOKUP($M15,APOIO!$I:$J,2,FALSE)</f>
        <v>#N/A</v>
      </c>
      <c r="O15" s="37"/>
      <c r="P15" s="37"/>
      <c r="Q15" s="37"/>
      <c r="R15" s="37"/>
      <c r="S15" s="41"/>
      <c r="T15" s="91"/>
      <c r="U15" s="92"/>
      <c r="V15" s="43">
        <f t="shared" si="0"/>
        <v>0</v>
      </c>
      <c r="W15" s="36"/>
      <c r="X15" s="87"/>
      <c r="Y15" s="37" t="b">
        <f t="shared" si="1"/>
        <v>1</v>
      </c>
      <c r="Z15" s="84" t="e">
        <f>VLOOKUP($B15,APOIO!$A:$F,5,FALSE)</f>
        <v>#N/A</v>
      </c>
    </row>
    <row r="16" spans="1:26" ht="15" x14ac:dyDescent="0.25">
      <c r="A16" s="36"/>
      <c r="B16" s="37" t="e">
        <f>VLOOKUP($A16,APOIO!$A:$E,1,FALSE)</f>
        <v>#N/A</v>
      </c>
      <c r="C16" s="36"/>
      <c r="D16" s="37" t="e">
        <f>INDEX(APOIO!$D:$D,MATCH(CONCATENATE($B16,$C16),APOIO!$F:$F,0))</f>
        <v>#N/A</v>
      </c>
      <c r="E16" s="36"/>
      <c r="F16" s="37" t="e">
        <f>VLOOKUP($E16,APOIO!$Z:$AC,2,FALSE)</f>
        <v>#N/A</v>
      </c>
      <c r="G16" s="38" t="e">
        <f>VLOOKUP($E16,APOIO!$Z:$AC,4,FALSE)</f>
        <v>#N/A</v>
      </c>
      <c r="H16" s="39"/>
      <c r="I16" s="40" t="e">
        <f>VLOOKUP($H16,APOIO!$W:$X,2,FALSE)</f>
        <v>#N/A</v>
      </c>
      <c r="J16" s="36"/>
      <c r="K16" s="40" t="e">
        <f>VLOOKUP($J16,APOIO!$AE:$AG,2,FALSE)</f>
        <v>#N/A</v>
      </c>
      <c r="L16" s="38" t="e">
        <f>VLOOKUP($J16,APOIO!$AE:$AG,3,FALSE)</f>
        <v>#N/A</v>
      </c>
      <c r="M16" s="36"/>
      <c r="N16" s="37" t="e">
        <f>VLOOKUP($M16,APOIO!$I:$J,2,FALSE)</f>
        <v>#N/A</v>
      </c>
      <c r="O16" s="37"/>
      <c r="P16" s="37"/>
      <c r="Q16" s="37"/>
      <c r="R16" s="37"/>
      <c r="S16" s="41"/>
      <c r="T16" s="91"/>
      <c r="U16" s="92"/>
      <c r="V16" s="43">
        <f t="shared" si="0"/>
        <v>0</v>
      </c>
      <c r="W16" s="36"/>
      <c r="X16" s="87"/>
      <c r="Y16" s="37" t="b">
        <f t="shared" si="1"/>
        <v>1</v>
      </c>
      <c r="Z16" s="84" t="e">
        <f>VLOOKUP($B16,APOIO!$A:$F,5,FALSE)</f>
        <v>#N/A</v>
      </c>
    </row>
    <row r="17" spans="1:26" ht="15" x14ac:dyDescent="0.25">
      <c r="A17" s="36"/>
      <c r="B17" s="37" t="e">
        <f>VLOOKUP($A17,APOIO!$A:$E,1,FALSE)</f>
        <v>#N/A</v>
      </c>
      <c r="C17" s="36"/>
      <c r="D17" s="37" t="e">
        <f>INDEX(APOIO!$D:$D,MATCH(CONCATENATE($B17,$C17),APOIO!$F:$F,0))</f>
        <v>#N/A</v>
      </c>
      <c r="E17" s="36"/>
      <c r="F17" s="37" t="e">
        <f>VLOOKUP($E17,APOIO!$Z:$AC,2,FALSE)</f>
        <v>#N/A</v>
      </c>
      <c r="G17" s="38" t="e">
        <f>VLOOKUP($E17,APOIO!$Z:$AC,4,FALSE)</f>
        <v>#N/A</v>
      </c>
      <c r="H17" s="39"/>
      <c r="I17" s="40" t="e">
        <f>VLOOKUP($H17,APOIO!$W:$X,2,FALSE)</f>
        <v>#N/A</v>
      </c>
      <c r="J17" s="36"/>
      <c r="K17" s="40" t="e">
        <f>VLOOKUP($J17,APOIO!$AE:$AG,2,FALSE)</f>
        <v>#N/A</v>
      </c>
      <c r="L17" s="38" t="e">
        <f>VLOOKUP($J17,APOIO!$AE:$AG,3,FALSE)</f>
        <v>#N/A</v>
      </c>
      <c r="M17" s="36"/>
      <c r="N17" s="37" t="e">
        <f>VLOOKUP($M17,APOIO!$I:$J,2,FALSE)</f>
        <v>#N/A</v>
      </c>
      <c r="O17" s="37"/>
      <c r="P17" s="37"/>
      <c r="Q17" s="37"/>
      <c r="R17" s="37"/>
      <c r="S17" s="41"/>
      <c r="T17" s="91"/>
      <c r="U17" s="92"/>
      <c r="V17" s="43">
        <f t="shared" si="0"/>
        <v>0</v>
      </c>
      <c r="W17" s="36"/>
      <c r="X17" s="87"/>
      <c r="Y17" s="37" t="b">
        <f t="shared" si="1"/>
        <v>1</v>
      </c>
      <c r="Z17" s="84" t="e">
        <f>VLOOKUP($B17,APOIO!$A:$F,5,FALSE)</f>
        <v>#N/A</v>
      </c>
    </row>
    <row r="18" spans="1:26" ht="15" x14ac:dyDescent="0.25">
      <c r="A18" s="36"/>
      <c r="B18" s="37" t="e">
        <f>VLOOKUP($A18,APOIO!$A:$E,1,FALSE)</f>
        <v>#N/A</v>
      </c>
      <c r="C18" s="36"/>
      <c r="D18" s="37" t="e">
        <f>INDEX(APOIO!$D:$D,MATCH(CONCATENATE($B18,$C18),APOIO!$F:$F,0))</f>
        <v>#N/A</v>
      </c>
      <c r="E18" s="36"/>
      <c r="F18" s="37" t="e">
        <f>VLOOKUP($E18,APOIO!$Z:$AC,2,FALSE)</f>
        <v>#N/A</v>
      </c>
      <c r="G18" s="38" t="e">
        <f>VLOOKUP($E18,APOIO!$Z:$AC,4,FALSE)</f>
        <v>#N/A</v>
      </c>
      <c r="H18" s="39"/>
      <c r="I18" s="40" t="e">
        <f>VLOOKUP($H18,APOIO!$W:$X,2,FALSE)</f>
        <v>#N/A</v>
      </c>
      <c r="J18" s="36"/>
      <c r="K18" s="40" t="e">
        <f>VLOOKUP($J18,APOIO!$AE:$AG,2,FALSE)</f>
        <v>#N/A</v>
      </c>
      <c r="L18" s="38" t="e">
        <f>VLOOKUP($J18,APOIO!$AE:$AG,3,FALSE)</f>
        <v>#N/A</v>
      </c>
      <c r="M18" s="36"/>
      <c r="N18" s="37" t="e">
        <f>VLOOKUP($M18,APOIO!$I:$J,2,FALSE)</f>
        <v>#N/A</v>
      </c>
      <c r="O18" s="37"/>
      <c r="P18" s="37"/>
      <c r="Q18" s="37"/>
      <c r="R18" s="37"/>
      <c r="S18" s="41"/>
      <c r="T18" s="91"/>
      <c r="U18" s="92"/>
      <c r="V18" s="43">
        <f t="shared" si="0"/>
        <v>0</v>
      </c>
      <c r="W18" s="36"/>
      <c r="X18" s="87"/>
      <c r="Y18" s="37" t="b">
        <f t="shared" si="1"/>
        <v>1</v>
      </c>
      <c r="Z18" s="84" t="e">
        <f>VLOOKUP($B18,APOIO!$A:$F,5,FALSE)</f>
        <v>#N/A</v>
      </c>
    </row>
    <row r="19" spans="1:26" ht="15" x14ac:dyDescent="0.25">
      <c r="A19" s="36"/>
      <c r="B19" s="37" t="e">
        <f>VLOOKUP($A19,APOIO!$A:$E,1,FALSE)</f>
        <v>#N/A</v>
      </c>
      <c r="C19" s="36"/>
      <c r="D19" s="37" t="e">
        <f>INDEX(APOIO!$D:$D,MATCH(CONCATENATE($B19,$C19),APOIO!$F:$F,0))</f>
        <v>#N/A</v>
      </c>
      <c r="E19" s="36"/>
      <c r="F19" s="37" t="e">
        <f>VLOOKUP($E19,APOIO!$Z:$AC,2,FALSE)</f>
        <v>#N/A</v>
      </c>
      <c r="G19" s="38" t="e">
        <f>VLOOKUP($E19,APOIO!$Z:$AC,4,FALSE)</f>
        <v>#N/A</v>
      </c>
      <c r="H19" s="39"/>
      <c r="I19" s="40" t="e">
        <f>VLOOKUP($H19,APOIO!$W:$X,2,FALSE)</f>
        <v>#N/A</v>
      </c>
      <c r="J19" s="36"/>
      <c r="K19" s="40" t="e">
        <f>VLOOKUP($J19,APOIO!$AE:$AG,2,FALSE)</f>
        <v>#N/A</v>
      </c>
      <c r="L19" s="38" t="e">
        <f>VLOOKUP($J19,APOIO!$AE:$AG,3,FALSE)</f>
        <v>#N/A</v>
      </c>
      <c r="M19" s="36"/>
      <c r="N19" s="37" t="e">
        <f>VLOOKUP($M19,APOIO!$I:$J,2,FALSE)</f>
        <v>#N/A</v>
      </c>
      <c r="O19" s="37"/>
      <c r="P19" s="37"/>
      <c r="Q19" s="37"/>
      <c r="R19" s="37"/>
      <c r="S19" s="41"/>
      <c r="T19" s="91"/>
      <c r="U19" s="92"/>
      <c r="V19" s="43">
        <f t="shared" si="0"/>
        <v>0</v>
      </c>
      <c r="W19" s="36"/>
      <c r="X19" s="87"/>
      <c r="Y19" s="37" t="b">
        <f t="shared" si="1"/>
        <v>1</v>
      </c>
      <c r="Z19" s="84" t="e">
        <f>VLOOKUP($B19,APOIO!$A:$F,5,FALSE)</f>
        <v>#N/A</v>
      </c>
    </row>
    <row r="20" spans="1:26" ht="15" x14ac:dyDescent="0.25">
      <c r="A20" s="36"/>
      <c r="B20" s="37" t="e">
        <f>VLOOKUP($A20,APOIO!$A:$E,1,FALSE)</f>
        <v>#N/A</v>
      </c>
      <c r="C20" s="36"/>
      <c r="D20" s="37" t="e">
        <f>INDEX(APOIO!$D:$D,MATCH(CONCATENATE($B20,$C20),APOIO!$F:$F,0))</f>
        <v>#N/A</v>
      </c>
      <c r="E20" s="36"/>
      <c r="F20" s="37" t="e">
        <f>VLOOKUP($E20,APOIO!$Z:$AC,2,FALSE)</f>
        <v>#N/A</v>
      </c>
      <c r="G20" s="38" t="e">
        <f>VLOOKUP($E20,APOIO!$Z:$AC,4,FALSE)</f>
        <v>#N/A</v>
      </c>
      <c r="H20" s="39"/>
      <c r="I20" s="40" t="e">
        <f>VLOOKUP($H20,APOIO!$W:$X,2,FALSE)</f>
        <v>#N/A</v>
      </c>
      <c r="J20" s="36"/>
      <c r="K20" s="40" t="e">
        <f>VLOOKUP($J20,APOIO!$AE:$AG,2,FALSE)</f>
        <v>#N/A</v>
      </c>
      <c r="L20" s="38" t="e">
        <f>VLOOKUP($J20,APOIO!$AE:$AG,3,FALSE)</f>
        <v>#N/A</v>
      </c>
      <c r="M20" s="36"/>
      <c r="N20" s="37" t="e">
        <f>VLOOKUP($M20,APOIO!$I:$J,2,FALSE)</f>
        <v>#N/A</v>
      </c>
      <c r="O20" s="37"/>
      <c r="P20" s="37"/>
      <c r="Q20" s="37"/>
      <c r="R20" s="37"/>
      <c r="S20" s="41"/>
      <c r="T20" s="91"/>
      <c r="U20" s="92"/>
      <c r="V20" s="43">
        <f t="shared" si="0"/>
        <v>0</v>
      </c>
      <c r="W20" s="36"/>
      <c r="X20" s="87"/>
      <c r="Y20" s="37" t="b">
        <f t="shared" si="1"/>
        <v>1</v>
      </c>
      <c r="Z20" s="84" t="e">
        <f>VLOOKUP($B20,APOIO!$A:$F,5,FALSE)</f>
        <v>#N/A</v>
      </c>
    </row>
    <row r="21" spans="1:26" ht="15" x14ac:dyDescent="0.25">
      <c r="A21" s="36"/>
      <c r="B21" s="37" t="e">
        <f>VLOOKUP($A21,APOIO!$A:$E,1,FALSE)</f>
        <v>#N/A</v>
      </c>
      <c r="C21" s="36"/>
      <c r="D21" s="37" t="e">
        <f>INDEX(APOIO!$D:$D,MATCH(CONCATENATE($B21,$C21),APOIO!$F:$F,0))</f>
        <v>#N/A</v>
      </c>
      <c r="E21" s="36"/>
      <c r="F21" s="37" t="e">
        <f>VLOOKUP($E21,APOIO!$Z:$AC,2,FALSE)</f>
        <v>#N/A</v>
      </c>
      <c r="G21" s="38" t="e">
        <f>VLOOKUP($E21,APOIO!$Z:$AC,4,FALSE)</f>
        <v>#N/A</v>
      </c>
      <c r="H21" s="39"/>
      <c r="I21" s="40" t="e">
        <f>VLOOKUP($H21,APOIO!$W:$X,2,FALSE)</f>
        <v>#N/A</v>
      </c>
      <c r="J21" s="36"/>
      <c r="K21" s="40" t="e">
        <f>VLOOKUP($J21,APOIO!$AE:$AG,2,FALSE)</f>
        <v>#N/A</v>
      </c>
      <c r="L21" s="38" t="e">
        <f>VLOOKUP($J21,APOIO!$AE:$AG,3,FALSE)</f>
        <v>#N/A</v>
      </c>
      <c r="M21" s="36"/>
      <c r="N21" s="37" t="e">
        <f>VLOOKUP($M21,APOIO!$I:$J,2,FALSE)</f>
        <v>#N/A</v>
      </c>
      <c r="O21" s="37"/>
      <c r="P21" s="37"/>
      <c r="Q21" s="37"/>
      <c r="R21" s="37"/>
      <c r="S21" s="41"/>
      <c r="T21" s="91"/>
      <c r="U21" s="92"/>
      <c r="V21" s="43">
        <f t="shared" si="0"/>
        <v>0</v>
      </c>
      <c r="W21" s="36"/>
      <c r="X21" s="87"/>
      <c r="Y21" s="37" t="b">
        <f t="shared" si="1"/>
        <v>1</v>
      </c>
      <c r="Z21" s="84" t="e">
        <f>VLOOKUP($B21,APOIO!$A:$F,5,FALSE)</f>
        <v>#N/A</v>
      </c>
    </row>
    <row r="22" spans="1:26" ht="15" x14ac:dyDescent="0.25">
      <c r="A22" s="36"/>
      <c r="B22" s="37" t="e">
        <f>VLOOKUP($A22,APOIO!$A:$E,1,FALSE)</f>
        <v>#N/A</v>
      </c>
      <c r="C22" s="36"/>
      <c r="D22" s="37" t="e">
        <f>INDEX(APOIO!$D:$D,MATCH(CONCATENATE($B22,$C22),APOIO!$F:$F,0))</f>
        <v>#N/A</v>
      </c>
      <c r="E22" s="36"/>
      <c r="F22" s="37" t="e">
        <f>VLOOKUP($E22,APOIO!$Z:$AC,2,FALSE)</f>
        <v>#N/A</v>
      </c>
      <c r="G22" s="38" t="e">
        <f>VLOOKUP($E22,APOIO!$Z:$AC,4,FALSE)</f>
        <v>#N/A</v>
      </c>
      <c r="H22" s="39"/>
      <c r="I22" s="40" t="e">
        <f>VLOOKUP($H22,APOIO!$W:$X,2,FALSE)</f>
        <v>#N/A</v>
      </c>
      <c r="J22" s="36"/>
      <c r="K22" s="40" t="e">
        <f>VLOOKUP($J22,APOIO!$AE:$AG,2,FALSE)</f>
        <v>#N/A</v>
      </c>
      <c r="L22" s="38" t="e">
        <f>VLOOKUP($J22,APOIO!$AE:$AG,3,FALSE)</f>
        <v>#N/A</v>
      </c>
      <c r="M22" s="36"/>
      <c r="N22" s="37" t="e">
        <f>VLOOKUP($M22,APOIO!$I:$J,2,FALSE)</f>
        <v>#N/A</v>
      </c>
      <c r="O22" s="37"/>
      <c r="P22" s="37"/>
      <c r="Q22" s="37"/>
      <c r="R22" s="37"/>
      <c r="S22" s="41"/>
      <c r="T22" s="91"/>
      <c r="U22" s="92"/>
      <c r="V22" s="43">
        <f t="shared" si="0"/>
        <v>0</v>
      </c>
      <c r="W22" s="36"/>
      <c r="X22" s="87"/>
      <c r="Y22" s="37" t="b">
        <f t="shared" si="1"/>
        <v>1</v>
      </c>
      <c r="Z22" s="84" t="e">
        <f>VLOOKUP($B22,APOIO!$A:$F,5,FALSE)</f>
        <v>#N/A</v>
      </c>
    </row>
    <row r="23" spans="1:26" ht="15" x14ac:dyDescent="0.25">
      <c r="A23" s="36"/>
      <c r="B23" s="37" t="e">
        <f>VLOOKUP($A23,APOIO!$A:$E,1,FALSE)</f>
        <v>#N/A</v>
      </c>
      <c r="C23" s="36"/>
      <c r="D23" s="37" t="e">
        <f>INDEX(APOIO!$D:$D,MATCH(CONCATENATE($B23,$C23),APOIO!$F:$F,0))</f>
        <v>#N/A</v>
      </c>
      <c r="E23" s="36"/>
      <c r="F23" s="37" t="e">
        <f>VLOOKUP($E23,APOIO!$Z:$AC,2,FALSE)</f>
        <v>#N/A</v>
      </c>
      <c r="G23" s="38" t="e">
        <f>VLOOKUP($E23,APOIO!$Z:$AC,4,FALSE)</f>
        <v>#N/A</v>
      </c>
      <c r="H23" s="39"/>
      <c r="I23" s="40" t="e">
        <f>VLOOKUP($H23,APOIO!$W:$X,2,FALSE)</f>
        <v>#N/A</v>
      </c>
      <c r="J23" s="36"/>
      <c r="K23" s="40" t="e">
        <f>VLOOKUP($J23,APOIO!$AE:$AG,2,FALSE)</f>
        <v>#N/A</v>
      </c>
      <c r="L23" s="38" t="e">
        <f>VLOOKUP($J23,APOIO!$AE:$AG,3,FALSE)</f>
        <v>#N/A</v>
      </c>
      <c r="M23" s="36"/>
      <c r="N23" s="37" t="e">
        <f>VLOOKUP($M23,APOIO!$I:$J,2,FALSE)</f>
        <v>#N/A</v>
      </c>
      <c r="O23" s="37"/>
      <c r="P23" s="37"/>
      <c r="Q23" s="37"/>
      <c r="R23" s="37"/>
      <c r="S23" s="41"/>
      <c r="T23" s="91"/>
      <c r="U23" s="92"/>
      <c r="V23" s="43">
        <f t="shared" si="0"/>
        <v>0</v>
      </c>
      <c r="W23" s="36"/>
      <c r="X23" s="87"/>
      <c r="Y23" s="37" t="b">
        <f t="shared" si="1"/>
        <v>1</v>
      </c>
      <c r="Z23" s="84" t="e">
        <f>VLOOKUP($B23,APOIO!$A:$F,5,FALSE)</f>
        <v>#N/A</v>
      </c>
    </row>
    <row r="24" spans="1:26" ht="15" x14ac:dyDescent="0.25">
      <c r="A24" s="36"/>
      <c r="B24" s="37" t="e">
        <f>VLOOKUP($A24,APOIO!$A:$E,1,FALSE)</f>
        <v>#N/A</v>
      </c>
      <c r="C24" s="36"/>
      <c r="D24" s="37" t="e">
        <f>INDEX(APOIO!$D:$D,MATCH(CONCATENATE($B24,$C24),APOIO!$F:$F,0))</f>
        <v>#N/A</v>
      </c>
      <c r="E24" s="36"/>
      <c r="F24" s="37" t="e">
        <f>VLOOKUP($E24,APOIO!$Z:$AC,2,FALSE)</f>
        <v>#N/A</v>
      </c>
      <c r="G24" s="38" t="e">
        <f>VLOOKUP($E24,APOIO!$Z:$AC,4,FALSE)</f>
        <v>#N/A</v>
      </c>
      <c r="H24" s="39"/>
      <c r="I24" s="40" t="e">
        <f>VLOOKUP($H24,APOIO!$W:$X,2,FALSE)</f>
        <v>#N/A</v>
      </c>
      <c r="J24" s="36"/>
      <c r="K24" s="40" t="e">
        <f>VLOOKUP($J24,APOIO!$AE:$AG,2,FALSE)</f>
        <v>#N/A</v>
      </c>
      <c r="L24" s="38" t="e">
        <f>VLOOKUP($J24,APOIO!$AE:$AG,3,FALSE)</f>
        <v>#N/A</v>
      </c>
      <c r="M24" s="36"/>
      <c r="N24" s="37" t="e">
        <f>VLOOKUP($M24,APOIO!$I:$J,2,FALSE)</f>
        <v>#N/A</v>
      </c>
      <c r="O24" s="37"/>
      <c r="P24" s="37"/>
      <c r="Q24" s="37"/>
      <c r="R24" s="37"/>
      <c r="S24" s="41"/>
      <c r="T24" s="91"/>
      <c r="U24" s="92"/>
      <c r="V24" s="43">
        <f t="shared" si="0"/>
        <v>0</v>
      </c>
      <c r="W24" s="36"/>
      <c r="X24" s="87"/>
      <c r="Y24" s="37" t="b">
        <f t="shared" si="1"/>
        <v>1</v>
      </c>
      <c r="Z24" s="84" t="e">
        <f>VLOOKUP($B24,APOIO!$A:$F,5,FALSE)</f>
        <v>#N/A</v>
      </c>
    </row>
    <row r="25" spans="1:26" ht="15" x14ac:dyDescent="0.25">
      <c r="A25" s="36"/>
      <c r="B25" s="37" t="e">
        <f>VLOOKUP($A25,APOIO!$A:$E,1,FALSE)</f>
        <v>#N/A</v>
      </c>
      <c r="C25" s="36"/>
      <c r="D25" s="37" t="e">
        <f>INDEX(APOIO!$D:$D,MATCH(CONCATENATE($B25,$C25),APOIO!$F:$F,0))</f>
        <v>#N/A</v>
      </c>
      <c r="E25" s="36"/>
      <c r="F25" s="37" t="e">
        <f>VLOOKUP($E25,APOIO!$Z:$AC,2,FALSE)</f>
        <v>#N/A</v>
      </c>
      <c r="G25" s="38" t="e">
        <f>VLOOKUP($E25,APOIO!$Z:$AC,4,FALSE)</f>
        <v>#N/A</v>
      </c>
      <c r="H25" s="39"/>
      <c r="I25" s="40" t="e">
        <f>VLOOKUP($H25,APOIO!$W:$X,2,FALSE)</f>
        <v>#N/A</v>
      </c>
      <c r="J25" s="36"/>
      <c r="K25" s="40" t="e">
        <f>VLOOKUP($J25,APOIO!$AE:$AG,2,FALSE)</f>
        <v>#N/A</v>
      </c>
      <c r="L25" s="38" t="e">
        <f>VLOOKUP($J25,APOIO!$AE:$AG,3,FALSE)</f>
        <v>#N/A</v>
      </c>
      <c r="M25" s="36"/>
      <c r="N25" s="37" t="e">
        <f>VLOOKUP($M25,APOIO!$I:$J,2,FALSE)</f>
        <v>#N/A</v>
      </c>
      <c r="O25" s="37"/>
      <c r="P25" s="37"/>
      <c r="Q25" s="37"/>
      <c r="R25" s="37"/>
      <c r="S25" s="41"/>
      <c r="T25" s="91"/>
      <c r="U25" s="92"/>
      <c r="V25" s="43">
        <f t="shared" si="0"/>
        <v>0</v>
      </c>
      <c r="W25" s="36"/>
      <c r="X25" s="87"/>
      <c r="Y25" s="37" t="b">
        <f t="shared" si="1"/>
        <v>1</v>
      </c>
      <c r="Z25" s="84" t="e">
        <f>VLOOKUP($B25,APOIO!$A:$F,5,FALSE)</f>
        <v>#N/A</v>
      </c>
    </row>
    <row r="26" spans="1:26" ht="15" x14ac:dyDescent="0.25">
      <c r="A26" s="36"/>
      <c r="B26" s="37" t="e">
        <f>VLOOKUP($A26,APOIO!$A:$E,1,FALSE)</f>
        <v>#N/A</v>
      </c>
      <c r="C26" s="36"/>
      <c r="D26" s="37" t="e">
        <f>INDEX(APOIO!$D:$D,MATCH(CONCATENATE($B26,$C26),APOIO!$F:$F,0))</f>
        <v>#N/A</v>
      </c>
      <c r="E26" s="36"/>
      <c r="F26" s="37" t="e">
        <f>VLOOKUP($E26,APOIO!$Z:$AC,2,FALSE)</f>
        <v>#N/A</v>
      </c>
      <c r="G26" s="38" t="e">
        <f>VLOOKUP($E26,APOIO!$Z:$AC,4,FALSE)</f>
        <v>#N/A</v>
      </c>
      <c r="H26" s="39"/>
      <c r="I26" s="40" t="e">
        <f>VLOOKUP($H26,APOIO!$W:$X,2,FALSE)</f>
        <v>#N/A</v>
      </c>
      <c r="J26" s="36"/>
      <c r="K26" s="40" t="e">
        <f>VLOOKUP($J26,APOIO!$AE:$AG,2,FALSE)</f>
        <v>#N/A</v>
      </c>
      <c r="L26" s="38" t="e">
        <f>VLOOKUP($J26,APOIO!$AE:$AG,3,FALSE)</f>
        <v>#N/A</v>
      </c>
      <c r="M26" s="36"/>
      <c r="N26" s="37" t="e">
        <f>VLOOKUP($M26,APOIO!$I:$J,2,FALSE)</f>
        <v>#N/A</v>
      </c>
      <c r="O26" s="37"/>
      <c r="P26" s="37"/>
      <c r="Q26" s="37"/>
      <c r="R26" s="37"/>
      <c r="S26" s="41"/>
      <c r="T26" s="91"/>
      <c r="U26" s="92"/>
      <c r="V26" s="43">
        <f t="shared" si="0"/>
        <v>0</v>
      </c>
      <c r="W26" s="36"/>
      <c r="X26" s="87"/>
      <c r="Y26" s="37" t="b">
        <f t="shared" si="1"/>
        <v>1</v>
      </c>
      <c r="Z26" s="84" t="e">
        <f>VLOOKUP($B26,APOIO!$A:$F,5,FALSE)</f>
        <v>#N/A</v>
      </c>
    </row>
    <row r="27" spans="1:26" ht="15" x14ac:dyDescent="0.25">
      <c r="A27" s="36"/>
      <c r="B27" s="37" t="e">
        <f>VLOOKUP($A27,APOIO!$A:$E,1,FALSE)</f>
        <v>#N/A</v>
      </c>
      <c r="C27" s="36"/>
      <c r="D27" s="37" t="e">
        <f>INDEX(APOIO!$D:$D,MATCH(CONCATENATE($B27,$C27),APOIO!$F:$F,0))</f>
        <v>#N/A</v>
      </c>
      <c r="E27" s="36"/>
      <c r="F27" s="37" t="e">
        <f>VLOOKUP($E27,APOIO!$Z:$AC,2,FALSE)</f>
        <v>#N/A</v>
      </c>
      <c r="G27" s="38" t="e">
        <f>VLOOKUP($E27,APOIO!$Z:$AC,4,FALSE)</f>
        <v>#N/A</v>
      </c>
      <c r="H27" s="39"/>
      <c r="I27" s="40" t="e">
        <f>VLOOKUP($H27,APOIO!$W:$X,2,FALSE)</f>
        <v>#N/A</v>
      </c>
      <c r="J27" s="36"/>
      <c r="K27" s="40" t="e">
        <f>VLOOKUP($J27,APOIO!$AE:$AG,2,FALSE)</f>
        <v>#N/A</v>
      </c>
      <c r="L27" s="38" t="e">
        <f>VLOOKUP($J27,APOIO!$AE:$AG,3,FALSE)</f>
        <v>#N/A</v>
      </c>
      <c r="M27" s="36"/>
      <c r="N27" s="37" t="e">
        <f>VLOOKUP($M27,APOIO!$I:$J,2,FALSE)</f>
        <v>#N/A</v>
      </c>
      <c r="O27" s="37"/>
      <c r="P27" s="37"/>
      <c r="Q27" s="37"/>
      <c r="R27" s="37"/>
      <c r="S27" s="41"/>
      <c r="T27" s="91"/>
      <c r="U27" s="92"/>
      <c r="V27" s="43">
        <f t="shared" si="0"/>
        <v>0</v>
      </c>
      <c r="W27" s="36"/>
      <c r="X27" s="87"/>
      <c r="Y27" s="37" t="b">
        <f t="shared" si="1"/>
        <v>1</v>
      </c>
      <c r="Z27" s="84" t="e">
        <f>VLOOKUP($B27,APOIO!$A:$F,5,FALSE)</f>
        <v>#N/A</v>
      </c>
    </row>
    <row r="28" spans="1:26" ht="15" x14ac:dyDescent="0.25">
      <c r="A28" s="36"/>
      <c r="B28" s="37" t="e">
        <f>VLOOKUP($A28,APOIO!$A:$E,1,FALSE)</f>
        <v>#N/A</v>
      </c>
      <c r="C28" s="36"/>
      <c r="D28" s="37" t="e">
        <f>INDEX(APOIO!$D:$D,MATCH(CONCATENATE($B28,$C28),APOIO!$F:$F,0))</f>
        <v>#N/A</v>
      </c>
      <c r="E28" s="36"/>
      <c r="F28" s="37" t="e">
        <f>VLOOKUP($E28,APOIO!$Z:$AC,2,FALSE)</f>
        <v>#N/A</v>
      </c>
      <c r="G28" s="38" t="e">
        <f>VLOOKUP($E28,APOIO!$Z:$AC,4,FALSE)</f>
        <v>#N/A</v>
      </c>
      <c r="H28" s="39"/>
      <c r="I28" s="40" t="e">
        <f>VLOOKUP($H28,APOIO!$W:$X,2,FALSE)</f>
        <v>#N/A</v>
      </c>
      <c r="J28" s="36"/>
      <c r="K28" s="40" t="e">
        <f>VLOOKUP($J28,APOIO!$AE:$AG,2,FALSE)</f>
        <v>#N/A</v>
      </c>
      <c r="L28" s="38" t="e">
        <f>VLOOKUP($J28,APOIO!$AE:$AG,3,FALSE)</f>
        <v>#N/A</v>
      </c>
      <c r="M28" s="36"/>
      <c r="N28" s="37" t="e">
        <f>VLOOKUP($M28,APOIO!$I:$J,2,FALSE)</f>
        <v>#N/A</v>
      </c>
      <c r="O28" s="37"/>
      <c r="P28" s="37"/>
      <c r="Q28" s="37"/>
      <c r="R28" s="37"/>
      <c r="S28" s="41"/>
      <c r="T28" s="91"/>
      <c r="U28" s="92"/>
      <c r="V28" s="43">
        <f t="shared" si="0"/>
        <v>0</v>
      </c>
      <c r="W28" s="36"/>
      <c r="X28" s="87"/>
      <c r="Y28" s="37" t="b">
        <f t="shared" si="1"/>
        <v>1</v>
      </c>
      <c r="Z28" s="84" t="e">
        <f>VLOOKUP($B28,APOIO!$A:$F,5,FALSE)</f>
        <v>#N/A</v>
      </c>
    </row>
    <row r="29" spans="1:26" ht="15" x14ac:dyDescent="0.25">
      <c r="A29" s="36"/>
      <c r="B29" s="37" t="e">
        <f>VLOOKUP($A29,APOIO!$A:$E,1,FALSE)</f>
        <v>#N/A</v>
      </c>
      <c r="C29" s="36"/>
      <c r="D29" s="37" t="e">
        <f>INDEX(APOIO!$D:$D,MATCH(CONCATENATE($B29,$C29),APOIO!$F:$F,0))</f>
        <v>#N/A</v>
      </c>
      <c r="E29" s="36"/>
      <c r="F29" s="37" t="e">
        <f>VLOOKUP($E29,APOIO!$Z:$AC,2,FALSE)</f>
        <v>#N/A</v>
      </c>
      <c r="G29" s="38" t="e">
        <f>VLOOKUP($E29,APOIO!$Z:$AC,4,FALSE)</f>
        <v>#N/A</v>
      </c>
      <c r="H29" s="39"/>
      <c r="I29" s="40" t="e">
        <f>VLOOKUP($H29,APOIO!$W:$X,2,FALSE)</f>
        <v>#N/A</v>
      </c>
      <c r="J29" s="36"/>
      <c r="K29" s="40" t="e">
        <f>VLOOKUP($J29,APOIO!$AE:$AG,2,FALSE)</f>
        <v>#N/A</v>
      </c>
      <c r="L29" s="38" t="e">
        <f>VLOOKUP($J29,APOIO!$AE:$AG,3,FALSE)</f>
        <v>#N/A</v>
      </c>
      <c r="M29" s="36"/>
      <c r="N29" s="37" t="e">
        <f>VLOOKUP($M29,APOIO!$I:$J,2,FALSE)</f>
        <v>#N/A</v>
      </c>
      <c r="O29" s="37"/>
      <c r="P29" s="37"/>
      <c r="Q29" s="37"/>
      <c r="R29" s="37"/>
      <c r="S29" s="41"/>
      <c r="T29" s="91"/>
      <c r="U29" s="92"/>
      <c r="V29" s="43">
        <f t="shared" si="0"/>
        <v>0</v>
      </c>
      <c r="W29" s="36"/>
      <c r="X29" s="87"/>
      <c r="Y29" s="37" t="b">
        <f t="shared" si="1"/>
        <v>1</v>
      </c>
      <c r="Z29" s="84" t="e">
        <f>VLOOKUP($B29,APOIO!$A:$F,5,FALSE)</f>
        <v>#N/A</v>
      </c>
    </row>
    <row r="30" spans="1:26" ht="15" x14ac:dyDescent="0.25">
      <c r="A30" s="36"/>
      <c r="B30" s="37" t="e">
        <f>VLOOKUP($A30,APOIO!$A:$E,1,FALSE)</f>
        <v>#N/A</v>
      </c>
      <c r="C30" s="36"/>
      <c r="D30" s="37" t="e">
        <f>INDEX(APOIO!$D:$D,MATCH(CONCATENATE($B30,$C30),APOIO!$F:$F,0))</f>
        <v>#N/A</v>
      </c>
      <c r="E30" s="36"/>
      <c r="F30" s="37" t="e">
        <f>VLOOKUP($E30,APOIO!$Z:$AC,2,FALSE)</f>
        <v>#N/A</v>
      </c>
      <c r="G30" s="38" t="e">
        <f>VLOOKUP($E30,APOIO!$Z:$AC,4,FALSE)</f>
        <v>#N/A</v>
      </c>
      <c r="H30" s="39"/>
      <c r="I30" s="40" t="e">
        <f>VLOOKUP($H30,APOIO!$W:$X,2,FALSE)</f>
        <v>#N/A</v>
      </c>
      <c r="J30" s="36"/>
      <c r="K30" s="40" t="e">
        <f>VLOOKUP($J30,APOIO!$AE:$AG,2,FALSE)</f>
        <v>#N/A</v>
      </c>
      <c r="L30" s="38" t="e">
        <f>VLOOKUP($J30,APOIO!$AE:$AG,3,FALSE)</f>
        <v>#N/A</v>
      </c>
      <c r="M30" s="36"/>
      <c r="N30" s="37" t="e">
        <f>VLOOKUP($M30,APOIO!$I:$J,2,FALSE)</f>
        <v>#N/A</v>
      </c>
      <c r="O30" s="37"/>
      <c r="P30" s="37"/>
      <c r="Q30" s="37"/>
      <c r="R30" s="37"/>
      <c r="S30" s="41"/>
      <c r="T30" s="91"/>
      <c r="U30" s="92"/>
      <c r="V30" s="43">
        <f t="shared" si="0"/>
        <v>0</v>
      </c>
      <c r="W30" s="36"/>
      <c r="X30" s="87"/>
      <c r="Y30" s="37" t="b">
        <f t="shared" si="1"/>
        <v>1</v>
      </c>
      <c r="Z30" s="84" t="e">
        <f>VLOOKUP($B30,APOIO!$A:$F,5,FALSE)</f>
        <v>#N/A</v>
      </c>
    </row>
    <row r="31" spans="1:26" ht="15" x14ac:dyDescent="0.25">
      <c r="A31" s="36"/>
      <c r="B31" s="37" t="e">
        <f>VLOOKUP($A31,APOIO!$A:$E,1,FALSE)</f>
        <v>#N/A</v>
      </c>
      <c r="C31" s="36"/>
      <c r="D31" s="37" t="e">
        <f>INDEX(APOIO!$D:$D,MATCH(CONCATENATE($B31,$C31),APOIO!$F:$F,0))</f>
        <v>#N/A</v>
      </c>
      <c r="E31" s="36"/>
      <c r="F31" s="37" t="e">
        <f>VLOOKUP($E31,APOIO!$Z:$AC,2,FALSE)</f>
        <v>#N/A</v>
      </c>
      <c r="G31" s="38" t="e">
        <f>VLOOKUP($E31,APOIO!$Z:$AC,4,FALSE)</f>
        <v>#N/A</v>
      </c>
      <c r="H31" s="39"/>
      <c r="I31" s="40" t="e">
        <f>VLOOKUP($H31,APOIO!$W:$X,2,FALSE)</f>
        <v>#N/A</v>
      </c>
      <c r="J31" s="36"/>
      <c r="K31" s="40" t="e">
        <f>VLOOKUP($J31,APOIO!$AE:$AG,2,FALSE)</f>
        <v>#N/A</v>
      </c>
      <c r="L31" s="38" t="e">
        <f>VLOOKUP($J31,APOIO!$AE:$AG,3,FALSE)</f>
        <v>#N/A</v>
      </c>
      <c r="M31" s="36"/>
      <c r="N31" s="37" t="e">
        <f>VLOOKUP($M31,APOIO!$I:$J,2,FALSE)</f>
        <v>#N/A</v>
      </c>
      <c r="O31" s="37"/>
      <c r="P31" s="37"/>
      <c r="Q31" s="37"/>
      <c r="R31" s="37"/>
      <c r="S31" s="41"/>
      <c r="T31" s="91"/>
      <c r="U31" s="92"/>
      <c r="V31" s="43">
        <f t="shared" si="0"/>
        <v>0</v>
      </c>
      <c r="W31" s="36"/>
      <c r="X31" s="87"/>
      <c r="Y31" s="37" t="b">
        <f t="shared" si="1"/>
        <v>1</v>
      </c>
      <c r="Z31" s="84" t="e">
        <f>VLOOKUP($B31,APOIO!$A:$F,5,FALSE)</f>
        <v>#N/A</v>
      </c>
    </row>
    <row r="32" spans="1:26" ht="15" x14ac:dyDescent="0.25">
      <c r="A32" s="36"/>
      <c r="B32" s="37" t="e">
        <f>VLOOKUP($A32,APOIO!$A:$E,1,FALSE)</f>
        <v>#N/A</v>
      </c>
      <c r="C32" s="36"/>
      <c r="D32" s="37" t="e">
        <f>INDEX(APOIO!$D:$D,MATCH(CONCATENATE($B32,$C32),APOIO!$F:$F,0))</f>
        <v>#N/A</v>
      </c>
      <c r="E32" s="36"/>
      <c r="F32" s="37" t="e">
        <f>VLOOKUP($E32,APOIO!$Z:$AC,2,FALSE)</f>
        <v>#N/A</v>
      </c>
      <c r="G32" s="38" t="e">
        <f>VLOOKUP($E32,APOIO!$Z:$AC,4,FALSE)</f>
        <v>#N/A</v>
      </c>
      <c r="H32" s="39"/>
      <c r="I32" s="40" t="e">
        <f>VLOOKUP($H32,APOIO!$W:$X,2,FALSE)</f>
        <v>#N/A</v>
      </c>
      <c r="J32" s="36"/>
      <c r="K32" s="40" t="e">
        <f>VLOOKUP($J32,APOIO!$AE:$AG,2,FALSE)</f>
        <v>#N/A</v>
      </c>
      <c r="L32" s="38" t="e">
        <f>VLOOKUP($J32,APOIO!$AE:$AG,3,FALSE)</f>
        <v>#N/A</v>
      </c>
      <c r="M32" s="36"/>
      <c r="N32" s="37" t="e">
        <f>VLOOKUP($M32,APOIO!$I:$J,2,FALSE)</f>
        <v>#N/A</v>
      </c>
      <c r="O32" s="37"/>
      <c r="P32" s="37"/>
      <c r="Q32" s="37"/>
      <c r="R32" s="37"/>
      <c r="S32" s="41"/>
      <c r="T32" s="91"/>
      <c r="U32" s="92"/>
      <c r="V32" s="43">
        <f t="shared" si="0"/>
        <v>0</v>
      </c>
      <c r="W32" s="36"/>
      <c r="X32" s="87"/>
      <c r="Y32" s="37" t="b">
        <f t="shared" si="1"/>
        <v>1</v>
      </c>
      <c r="Z32" s="84" t="e">
        <f>VLOOKUP($B32,APOIO!$A:$F,5,FALSE)</f>
        <v>#N/A</v>
      </c>
    </row>
    <row r="33" spans="1:26" ht="15" x14ac:dyDescent="0.25">
      <c r="A33" s="36"/>
      <c r="B33" s="37" t="e">
        <f>VLOOKUP($A33,APOIO!$A:$E,1,FALSE)</f>
        <v>#N/A</v>
      </c>
      <c r="C33" s="36"/>
      <c r="D33" s="37" t="e">
        <f>INDEX(APOIO!$D:$D,MATCH(CONCATENATE($B33,$C33),APOIO!$F:$F,0))</f>
        <v>#N/A</v>
      </c>
      <c r="E33" s="36"/>
      <c r="F33" s="37" t="e">
        <f>VLOOKUP($E33,APOIO!$Z:$AC,2,FALSE)</f>
        <v>#N/A</v>
      </c>
      <c r="G33" s="38" t="e">
        <f>VLOOKUP($E33,APOIO!$Z:$AC,4,FALSE)</f>
        <v>#N/A</v>
      </c>
      <c r="H33" s="39"/>
      <c r="I33" s="40" t="e">
        <f>VLOOKUP($H33,APOIO!$W:$X,2,FALSE)</f>
        <v>#N/A</v>
      </c>
      <c r="J33" s="36"/>
      <c r="K33" s="40" t="e">
        <f>VLOOKUP($J33,APOIO!$AE:$AG,2,FALSE)</f>
        <v>#N/A</v>
      </c>
      <c r="L33" s="38" t="e">
        <f>VLOOKUP($J33,APOIO!$AE:$AG,3,FALSE)</f>
        <v>#N/A</v>
      </c>
      <c r="M33" s="36"/>
      <c r="N33" s="37" t="e">
        <f>VLOOKUP($M33,APOIO!$I:$J,2,FALSE)</f>
        <v>#N/A</v>
      </c>
      <c r="O33" s="37"/>
      <c r="P33" s="37"/>
      <c r="Q33" s="37"/>
      <c r="R33" s="37"/>
      <c r="S33" s="41"/>
      <c r="T33" s="91"/>
      <c r="U33" s="92"/>
      <c r="V33" s="43">
        <f t="shared" si="0"/>
        <v>0</v>
      </c>
      <c r="W33" s="36"/>
      <c r="X33" s="87"/>
      <c r="Y33" s="37" t="b">
        <f t="shared" si="1"/>
        <v>1</v>
      </c>
      <c r="Z33" s="84" t="e">
        <f>VLOOKUP($B33,APOIO!$A:$F,5,FALSE)</f>
        <v>#N/A</v>
      </c>
    </row>
    <row r="34" spans="1:26" ht="15" x14ac:dyDescent="0.25">
      <c r="A34" s="36"/>
      <c r="B34" s="37" t="e">
        <f>VLOOKUP($A34,APOIO!$A:$E,1,FALSE)</f>
        <v>#N/A</v>
      </c>
      <c r="C34" s="36"/>
      <c r="D34" s="37" t="e">
        <f>INDEX(APOIO!$D:$D,MATCH(CONCATENATE($B34,$C34),APOIO!$F:$F,0))</f>
        <v>#N/A</v>
      </c>
      <c r="E34" s="36"/>
      <c r="F34" s="37" t="e">
        <f>VLOOKUP($E34,APOIO!$Z:$AC,2,FALSE)</f>
        <v>#N/A</v>
      </c>
      <c r="G34" s="38" t="e">
        <f>VLOOKUP($E34,APOIO!$Z:$AC,4,FALSE)</f>
        <v>#N/A</v>
      </c>
      <c r="H34" s="39"/>
      <c r="I34" s="40" t="e">
        <f>VLOOKUP($H34,APOIO!$W:$X,2,FALSE)</f>
        <v>#N/A</v>
      </c>
      <c r="J34" s="36"/>
      <c r="K34" s="40" t="e">
        <f>VLOOKUP($J34,APOIO!$AE:$AG,2,FALSE)</f>
        <v>#N/A</v>
      </c>
      <c r="L34" s="38" t="e">
        <f>VLOOKUP($J34,APOIO!$AE:$AG,3,FALSE)</f>
        <v>#N/A</v>
      </c>
      <c r="M34" s="36"/>
      <c r="N34" s="37" t="e">
        <f>VLOOKUP($M34,APOIO!$I:$J,2,FALSE)</f>
        <v>#N/A</v>
      </c>
      <c r="O34" s="37"/>
      <c r="P34" s="37"/>
      <c r="Q34" s="37"/>
      <c r="R34" s="37"/>
      <c r="S34" s="41"/>
      <c r="T34" s="91"/>
      <c r="U34" s="92"/>
      <c r="V34" s="43">
        <f t="shared" si="0"/>
        <v>0</v>
      </c>
      <c r="W34" s="36"/>
      <c r="X34" s="87"/>
      <c r="Y34" s="37" t="b">
        <f t="shared" si="1"/>
        <v>1</v>
      </c>
      <c r="Z34" s="84" t="e">
        <f>VLOOKUP($B34,APOIO!$A:$F,5,FALSE)</f>
        <v>#N/A</v>
      </c>
    </row>
    <row r="35" spans="1:26" ht="15" x14ac:dyDescent="0.25">
      <c r="A35" s="36"/>
      <c r="B35" s="37" t="e">
        <f>VLOOKUP($A35,APOIO!$A:$E,1,FALSE)</f>
        <v>#N/A</v>
      </c>
      <c r="C35" s="36"/>
      <c r="D35" s="37" t="e">
        <f>INDEX(APOIO!$D:$D,MATCH(CONCATENATE($B35,$C35),APOIO!$F:$F,0))</f>
        <v>#N/A</v>
      </c>
      <c r="E35" s="36"/>
      <c r="F35" s="37" t="e">
        <f>VLOOKUP($E35,APOIO!$Z:$AC,2,FALSE)</f>
        <v>#N/A</v>
      </c>
      <c r="G35" s="38" t="e">
        <f>VLOOKUP($E35,APOIO!$Z:$AC,4,FALSE)</f>
        <v>#N/A</v>
      </c>
      <c r="H35" s="39"/>
      <c r="I35" s="40" t="e">
        <f>VLOOKUP($H35,APOIO!$W:$X,2,FALSE)</f>
        <v>#N/A</v>
      </c>
      <c r="J35" s="36"/>
      <c r="K35" s="40" t="e">
        <f>VLOOKUP($J35,APOIO!$AE:$AG,2,FALSE)</f>
        <v>#N/A</v>
      </c>
      <c r="L35" s="38" t="e">
        <f>VLOOKUP($J35,APOIO!$AE:$AG,3,FALSE)</f>
        <v>#N/A</v>
      </c>
      <c r="M35" s="36"/>
      <c r="N35" s="37" t="e">
        <f>VLOOKUP($M35,APOIO!$I:$J,2,FALSE)</f>
        <v>#N/A</v>
      </c>
      <c r="O35" s="37"/>
      <c r="P35" s="37"/>
      <c r="Q35" s="37"/>
      <c r="R35" s="37"/>
      <c r="S35" s="41"/>
      <c r="T35" s="91"/>
      <c r="U35" s="92"/>
      <c r="V35" s="43">
        <f t="shared" si="0"/>
        <v>0</v>
      </c>
      <c r="W35" s="36"/>
      <c r="X35" s="87"/>
      <c r="Y35" s="37" t="b">
        <f t="shared" si="1"/>
        <v>1</v>
      </c>
      <c r="Z35" s="84" t="e">
        <f>VLOOKUP($B35,APOIO!$A:$F,5,FALSE)</f>
        <v>#N/A</v>
      </c>
    </row>
    <row r="36" spans="1:26" ht="15" x14ac:dyDescent="0.25">
      <c r="A36" s="36"/>
      <c r="B36" s="37" t="e">
        <f>VLOOKUP($A36,APOIO!$A:$E,1,FALSE)</f>
        <v>#N/A</v>
      </c>
      <c r="C36" s="36"/>
      <c r="D36" s="37" t="e">
        <f>INDEX(APOIO!$D:$D,MATCH(CONCATENATE($B36,$C36),APOIO!$F:$F,0))</f>
        <v>#N/A</v>
      </c>
      <c r="E36" s="36"/>
      <c r="F36" s="37" t="e">
        <f>VLOOKUP($E36,APOIO!$Z:$AC,2,FALSE)</f>
        <v>#N/A</v>
      </c>
      <c r="G36" s="38" t="e">
        <f>VLOOKUP($E36,APOIO!$Z:$AC,4,FALSE)</f>
        <v>#N/A</v>
      </c>
      <c r="H36" s="39"/>
      <c r="I36" s="40" t="e">
        <f>VLOOKUP($H36,APOIO!$W:$X,2,FALSE)</f>
        <v>#N/A</v>
      </c>
      <c r="J36" s="36"/>
      <c r="K36" s="40" t="e">
        <f>VLOOKUP($J36,APOIO!$AE:$AG,2,FALSE)</f>
        <v>#N/A</v>
      </c>
      <c r="L36" s="38" t="e">
        <f>VLOOKUP($J36,APOIO!$AE:$AG,3,FALSE)</f>
        <v>#N/A</v>
      </c>
      <c r="M36" s="36"/>
      <c r="N36" s="37" t="e">
        <f>VLOOKUP($M36,APOIO!$I:$J,2,FALSE)</f>
        <v>#N/A</v>
      </c>
      <c r="O36" s="37"/>
      <c r="P36" s="37"/>
      <c r="Q36" s="37"/>
      <c r="R36" s="37"/>
      <c r="S36" s="41"/>
      <c r="T36" s="91"/>
      <c r="U36" s="92"/>
      <c r="V36" s="43">
        <f t="shared" si="0"/>
        <v>0</v>
      </c>
      <c r="W36" s="36"/>
      <c r="X36" s="87"/>
      <c r="Y36" s="37" t="b">
        <f t="shared" si="1"/>
        <v>1</v>
      </c>
      <c r="Z36" s="84" t="e">
        <f>VLOOKUP($B36,APOIO!$A:$F,5,FALSE)</f>
        <v>#N/A</v>
      </c>
    </row>
    <row r="37" spans="1:26" ht="15" x14ac:dyDescent="0.25">
      <c r="A37" s="36"/>
      <c r="B37" s="37" t="e">
        <f>VLOOKUP($A37,APOIO!$A:$E,1,FALSE)</f>
        <v>#N/A</v>
      </c>
      <c r="C37" s="36"/>
      <c r="D37" s="37" t="e">
        <f>INDEX(APOIO!$D:$D,MATCH(CONCATENATE($B37,$C37),APOIO!$F:$F,0))</f>
        <v>#N/A</v>
      </c>
      <c r="E37" s="36"/>
      <c r="F37" s="37" t="e">
        <f>VLOOKUP($E37,APOIO!$Z:$AC,2,FALSE)</f>
        <v>#N/A</v>
      </c>
      <c r="G37" s="38" t="e">
        <f>VLOOKUP($E37,APOIO!$Z:$AC,4,FALSE)</f>
        <v>#N/A</v>
      </c>
      <c r="H37" s="39"/>
      <c r="I37" s="40" t="e">
        <f>VLOOKUP($H37,APOIO!$W:$X,2,FALSE)</f>
        <v>#N/A</v>
      </c>
      <c r="J37" s="36"/>
      <c r="K37" s="40" t="e">
        <f>VLOOKUP($J37,APOIO!$AE:$AG,2,FALSE)</f>
        <v>#N/A</v>
      </c>
      <c r="L37" s="38" t="e">
        <f>VLOOKUP($J37,APOIO!$AE:$AG,3,FALSE)</f>
        <v>#N/A</v>
      </c>
      <c r="M37" s="36"/>
      <c r="N37" s="37" t="e">
        <f>VLOOKUP($M37,APOIO!$I:$J,2,FALSE)</f>
        <v>#N/A</v>
      </c>
      <c r="O37" s="37"/>
      <c r="P37" s="37"/>
      <c r="Q37" s="37"/>
      <c r="R37" s="37"/>
      <c r="S37" s="41"/>
      <c r="T37" s="91"/>
      <c r="U37" s="92"/>
      <c r="V37" s="43">
        <f t="shared" si="0"/>
        <v>0</v>
      </c>
      <c r="W37" s="36"/>
      <c r="X37" s="87"/>
      <c r="Y37" s="37" t="b">
        <f t="shared" si="1"/>
        <v>1</v>
      </c>
      <c r="Z37" s="84" t="e">
        <f>VLOOKUP($B37,APOIO!$A:$F,5,FALSE)</f>
        <v>#N/A</v>
      </c>
    </row>
    <row r="38" spans="1:26" ht="15" x14ac:dyDescent="0.25">
      <c r="A38" s="36"/>
      <c r="B38" s="37" t="e">
        <f>VLOOKUP($A38,APOIO!$A:$E,1,FALSE)</f>
        <v>#N/A</v>
      </c>
      <c r="C38" s="36"/>
      <c r="D38" s="37" t="e">
        <f>INDEX(APOIO!$D:$D,MATCH(CONCATENATE($B38,$C38),APOIO!$F:$F,0))</f>
        <v>#N/A</v>
      </c>
      <c r="E38" s="36"/>
      <c r="F38" s="37" t="e">
        <f>VLOOKUP($E38,APOIO!$Z:$AC,2,FALSE)</f>
        <v>#N/A</v>
      </c>
      <c r="G38" s="38" t="e">
        <f>VLOOKUP($E38,APOIO!$Z:$AC,4,FALSE)</f>
        <v>#N/A</v>
      </c>
      <c r="H38" s="39"/>
      <c r="I38" s="40" t="e">
        <f>VLOOKUP($H38,APOIO!$W:$X,2,FALSE)</f>
        <v>#N/A</v>
      </c>
      <c r="J38" s="36"/>
      <c r="K38" s="40" t="e">
        <f>VLOOKUP($J38,APOIO!$AE:$AG,2,FALSE)</f>
        <v>#N/A</v>
      </c>
      <c r="L38" s="38" t="e">
        <f>VLOOKUP($J38,APOIO!$AE:$AG,3,FALSE)</f>
        <v>#N/A</v>
      </c>
      <c r="M38" s="36"/>
      <c r="N38" s="37" t="e">
        <f>VLOOKUP($M38,APOIO!$I:$J,2,FALSE)</f>
        <v>#N/A</v>
      </c>
      <c r="O38" s="37"/>
      <c r="P38" s="37"/>
      <c r="Q38" s="37"/>
      <c r="R38" s="37"/>
      <c r="S38" s="41"/>
      <c r="T38" s="91"/>
      <c r="U38" s="92"/>
      <c r="V38" s="43">
        <f t="shared" si="0"/>
        <v>0</v>
      </c>
      <c r="W38" s="36"/>
      <c r="X38" s="87"/>
      <c r="Y38" s="37" t="b">
        <f t="shared" si="1"/>
        <v>1</v>
      </c>
      <c r="Z38" s="84" t="e">
        <f>VLOOKUP($B38,APOIO!$A:$F,5,FALSE)</f>
        <v>#N/A</v>
      </c>
    </row>
    <row r="39" spans="1:26" ht="15" x14ac:dyDescent="0.25">
      <c r="A39" s="36"/>
      <c r="B39" s="37" t="e">
        <f>VLOOKUP($A39,APOIO!$A:$E,1,FALSE)</f>
        <v>#N/A</v>
      </c>
      <c r="C39" s="36"/>
      <c r="D39" s="37" t="e">
        <f>INDEX(APOIO!$D:$D,MATCH(CONCATENATE($B39,$C39),APOIO!$F:$F,0))</f>
        <v>#N/A</v>
      </c>
      <c r="E39" s="36"/>
      <c r="F39" s="37" t="e">
        <f>VLOOKUP($E39,APOIO!$Z:$AC,2,FALSE)</f>
        <v>#N/A</v>
      </c>
      <c r="G39" s="38" t="e">
        <f>VLOOKUP($E39,APOIO!$Z:$AC,4,FALSE)</f>
        <v>#N/A</v>
      </c>
      <c r="H39" s="39"/>
      <c r="I39" s="40" t="e">
        <f>VLOOKUP($H39,APOIO!$W:$X,2,FALSE)</f>
        <v>#N/A</v>
      </c>
      <c r="J39" s="36"/>
      <c r="K39" s="40" t="e">
        <f>VLOOKUP($J39,APOIO!$AE:$AG,2,FALSE)</f>
        <v>#N/A</v>
      </c>
      <c r="L39" s="38" t="e">
        <f>VLOOKUP($J39,APOIO!$AE:$AG,3,FALSE)</f>
        <v>#N/A</v>
      </c>
      <c r="M39" s="36"/>
      <c r="N39" s="37" t="e">
        <f>VLOOKUP($M39,APOIO!$I:$J,2,FALSE)</f>
        <v>#N/A</v>
      </c>
      <c r="O39" s="37"/>
      <c r="P39" s="37"/>
      <c r="Q39" s="37"/>
      <c r="R39" s="37"/>
      <c r="S39" s="41"/>
      <c r="T39" s="91"/>
      <c r="U39" s="92"/>
      <c r="V39" s="43">
        <f t="shared" si="0"/>
        <v>0</v>
      </c>
      <c r="W39" s="36"/>
      <c r="X39" s="87"/>
      <c r="Y39" s="37" t="b">
        <f t="shared" si="1"/>
        <v>1</v>
      </c>
      <c r="Z39" s="84" t="e">
        <f>VLOOKUP($B39,APOIO!$A:$F,5,FALSE)</f>
        <v>#N/A</v>
      </c>
    </row>
    <row r="40" spans="1:26" ht="15" x14ac:dyDescent="0.25">
      <c r="A40" s="36"/>
      <c r="B40" s="37" t="e">
        <f>VLOOKUP($A40,APOIO!$A:$E,1,FALSE)</f>
        <v>#N/A</v>
      </c>
      <c r="C40" s="36"/>
      <c r="D40" s="37" t="e">
        <f>INDEX(APOIO!$D:$D,MATCH(CONCATENATE($B40,$C40),APOIO!$F:$F,0))</f>
        <v>#N/A</v>
      </c>
      <c r="E40" s="36"/>
      <c r="F40" s="37" t="e">
        <f>VLOOKUP($E40,APOIO!$Z:$AC,2,FALSE)</f>
        <v>#N/A</v>
      </c>
      <c r="G40" s="38" t="e">
        <f>VLOOKUP($E40,APOIO!$Z:$AC,4,FALSE)</f>
        <v>#N/A</v>
      </c>
      <c r="H40" s="39"/>
      <c r="I40" s="40" t="e">
        <f>VLOOKUP($H40,APOIO!$W:$X,2,FALSE)</f>
        <v>#N/A</v>
      </c>
      <c r="J40" s="36"/>
      <c r="K40" s="40" t="e">
        <f>VLOOKUP($J40,APOIO!$AE:$AG,2,FALSE)</f>
        <v>#N/A</v>
      </c>
      <c r="L40" s="38" t="e">
        <f>VLOOKUP($J40,APOIO!$AE:$AG,3,FALSE)</f>
        <v>#N/A</v>
      </c>
      <c r="M40" s="36"/>
      <c r="N40" s="37" t="e">
        <f>VLOOKUP($M40,APOIO!$I:$J,2,FALSE)</f>
        <v>#N/A</v>
      </c>
      <c r="O40" s="37"/>
      <c r="P40" s="37"/>
      <c r="Q40" s="37"/>
      <c r="R40" s="37"/>
      <c r="S40" s="41"/>
      <c r="T40" s="91"/>
      <c r="U40" s="92"/>
      <c r="V40" s="43">
        <f t="shared" si="0"/>
        <v>0</v>
      </c>
      <c r="W40" s="36"/>
      <c r="X40" s="87"/>
      <c r="Y40" s="37" t="b">
        <f t="shared" si="1"/>
        <v>1</v>
      </c>
      <c r="Z40" s="84" t="e">
        <f>VLOOKUP($B40,APOIO!$A:$F,5,FALSE)</f>
        <v>#N/A</v>
      </c>
    </row>
    <row r="41" spans="1:26" ht="15" x14ac:dyDescent="0.25">
      <c r="A41" s="36"/>
      <c r="B41" s="37" t="e">
        <f>VLOOKUP($A41,APOIO!$A:$E,1,FALSE)</f>
        <v>#N/A</v>
      </c>
      <c r="C41" s="36"/>
      <c r="D41" s="37" t="e">
        <f>INDEX(APOIO!$D:$D,MATCH(CONCATENATE($B41,$C41),APOIO!$F:$F,0))</f>
        <v>#N/A</v>
      </c>
      <c r="E41" s="36"/>
      <c r="F41" s="37" t="e">
        <f>VLOOKUP($E41,APOIO!$Z:$AC,2,FALSE)</f>
        <v>#N/A</v>
      </c>
      <c r="G41" s="38" t="e">
        <f>VLOOKUP($E41,APOIO!$Z:$AC,4,FALSE)</f>
        <v>#N/A</v>
      </c>
      <c r="H41" s="39"/>
      <c r="I41" s="40" t="e">
        <f>VLOOKUP($H41,APOIO!$W:$X,2,FALSE)</f>
        <v>#N/A</v>
      </c>
      <c r="J41" s="36"/>
      <c r="K41" s="40" t="e">
        <f>VLOOKUP($J41,APOIO!$AE:$AG,2,FALSE)</f>
        <v>#N/A</v>
      </c>
      <c r="L41" s="38" t="e">
        <f>VLOOKUP($J41,APOIO!$AE:$AG,3,FALSE)</f>
        <v>#N/A</v>
      </c>
      <c r="M41" s="36"/>
      <c r="N41" s="37" t="e">
        <f>VLOOKUP($M41,APOIO!$I:$J,2,FALSE)</f>
        <v>#N/A</v>
      </c>
      <c r="O41" s="37"/>
      <c r="P41" s="37"/>
      <c r="Q41" s="37"/>
      <c r="R41" s="37"/>
      <c r="S41" s="41"/>
      <c r="T41" s="91"/>
      <c r="U41" s="92"/>
      <c r="V41" s="43">
        <f t="shared" si="0"/>
        <v>0</v>
      </c>
      <c r="W41" s="36"/>
      <c r="X41" s="87"/>
      <c r="Y41" s="37" t="b">
        <f t="shared" si="1"/>
        <v>1</v>
      </c>
      <c r="Z41" s="84" t="e">
        <f>VLOOKUP($B41,APOIO!$A:$F,5,FALSE)</f>
        <v>#N/A</v>
      </c>
    </row>
    <row r="42" spans="1:26" ht="15" x14ac:dyDescent="0.25">
      <c r="A42" s="36"/>
      <c r="B42" s="37" t="e">
        <f>VLOOKUP($A42,APOIO!$A:$E,1,FALSE)</f>
        <v>#N/A</v>
      </c>
      <c r="C42" s="36"/>
      <c r="D42" s="37" t="e">
        <f>INDEX(APOIO!$D:$D,MATCH(CONCATENATE($B42,$C42),APOIO!$F:$F,0))</f>
        <v>#N/A</v>
      </c>
      <c r="E42" s="36"/>
      <c r="F42" s="37" t="e">
        <f>VLOOKUP($E42,APOIO!$Z:$AC,2,FALSE)</f>
        <v>#N/A</v>
      </c>
      <c r="G42" s="38" t="e">
        <f>VLOOKUP($E42,APOIO!$Z:$AC,4,FALSE)</f>
        <v>#N/A</v>
      </c>
      <c r="H42" s="39"/>
      <c r="I42" s="40" t="e">
        <f>VLOOKUP($H42,APOIO!$W:$X,2,FALSE)</f>
        <v>#N/A</v>
      </c>
      <c r="J42" s="36"/>
      <c r="K42" s="40" t="e">
        <f>VLOOKUP($J42,APOIO!$AE:$AG,2,FALSE)</f>
        <v>#N/A</v>
      </c>
      <c r="L42" s="38" t="e">
        <f>VLOOKUP($J42,APOIO!$AE:$AG,3,FALSE)</f>
        <v>#N/A</v>
      </c>
      <c r="M42" s="36"/>
      <c r="N42" s="37" t="e">
        <f>VLOOKUP($M42,APOIO!$I:$J,2,FALSE)</f>
        <v>#N/A</v>
      </c>
      <c r="O42" s="37"/>
      <c r="P42" s="37"/>
      <c r="Q42" s="37"/>
      <c r="R42" s="37"/>
      <c r="S42" s="41"/>
      <c r="T42" s="91"/>
      <c r="U42" s="92"/>
      <c r="V42" s="43">
        <f t="shared" si="0"/>
        <v>0</v>
      </c>
      <c r="W42" s="36"/>
      <c r="X42" s="87"/>
      <c r="Y42" s="37" t="b">
        <f t="shared" si="1"/>
        <v>1</v>
      </c>
      <c r="Z42" s="84" t="e">
        <f>VLOOKUP($B42,APOIO!$A:$F,5,FALSE)</f>
        <v>#N/A</v>
      </c>
    </row>
    <row r="43" spans="1:26" ht="15" x14ac:dyDescent="0.25">
      <c r="A43" s="36"/>
      <c r="B43" s="37" t="e">
        <f>VLOOKUP($A43,APOIO!$A:$E,1,FALSE)</f>
        <v>#N/A</v>
      </c>
      <c r="C43" s="36"/>
      <c r="D43" s="37" t="e">
        <f>INDEX(APOIO!$D:$D,MATCH(CONCATENATE($B43,$C43),APOIO!$F:$F,0))</f>
        <v>#N/A</v>
      </c>
      <c r="E43" s="36"/>
      <c r="F43" s="37" t="e">
        <f>VLOOKUP($E43,APOIO!$Z:$AC,2,FALSE)</f>
        <v>#N/A</v>
      </c>
      <c r="G43" s="38" t="e">
        <f>VLOOKUP($E43,APOIO!$Z:$AC,4,FALSE)</f>
        <v>#N/A</v>
      </c>
      <c r="H43" s="39"/>
      <c r="I43" s="40" t="e">
        <f>VLOOKUP($H43,APOIO!$W:$X,2,FALSE)</f>
        <v>#N/A</v>
      </c>
      <c r="J43" s="36"/>
      <c r="K43" s="40" t="e">
        <f>VLOOKUP($J43,APOIO!$AE:$AG,2,FALSE)</f>
        <v>#N/A</v>
      </c>
      <c r="L43" s="38" t="e">
        <f>VLOOKUP($J43,APOIO!$AE:$AG,3,FALSE)</f>
        <v>#N/A</v>
      </c>
      <c r="M43" s="36"/>
      <c r="N43" s="37" t="e">
        <f>VLOOKUP($M43,APOIO!$I:$J,2,FALSE)</f>
        <v>#N/A</v>
      </c>
      <c r="O43" s="37"/>
      <c r="P43" s="37"/>
      <c r="Q43" s="37"/>
      <c r="R43" s="37"/>
      <c r="S43" s="41"/>
      <c r="T43" s="91"/>
      <c r="U43" s="92"/>
      <c r="V43" s="43">
        <f t="shared" si="0"/>
        <v>0</v>
      </c>
      <c r="W43" s="36"/>
      <c r="X43" s="87"/>
      <c r="Y43" s="37" t="b">
        <f t="shared" si="1"/>
        <v>1</v>
      </c>
      <c r="Z43" s="84" t="e">
        <f>VLOOKUP($B43,APOIO!$A:$F,5,FALSE)</f>
        <v>#N/A</v>
      </c>
    </row>
    <row r="44" spans="1:26" ht="15" x14ac:dyDescent="0.25">
      <c r="A44" s="36"/>
      <c r="B44" s="37" t="e">
        <f>VLOOKUP($A44,APOIO!$A:$E,1,FALSE)</f>
        <v>#N/A</v>
      </c>
      <c r="C44" s="36"/>
      <c r="D44" s="37" t="e">
        <f>INDEX(APOIO!$D:$D,MATCH(CONCATENATE($B44,$C44),APOIO!$F:$F,0))</f>
        <v>#N/A</v>
      </c>
      <c r="E44" s="36"/>
      <c r="F44" s="37" t="e">
        <f>VLOOKUP($E44,APOIO!$Z:$AC,2,FALSE)</f>
        <v>#N/A</v>
      </c>
      <c r="G44" s="38" t="e">
        <f>VLOOKUP($E44,APOIO!$Z:$AC,4,FALSE)</f>
        <v>#N/A</v>
      </c>
      <c r="H44" s="39"/>
      <c r="I44" s="40" t="e">
        <f>VLOOKUP($H44,APOIO!$W:$X,2,FALSE)</f>
        <v>#N/A</v>
      </c>
      <c r="J44" s="36"/>
      <c r="K44" s="40" t="e">
        <f>VLOOKUP($J44,APOIO!$AE:$AG,2,FALSE)</f>
        <v>#N/A</v>
      </c>
      <c r="L44" s="38" t="e">
        <f>VLOOKUP($J44,APOIO!$AE:$AG,3,FALSE)</f>
        <v>#N/A</v>
      </c>
      <c r="M44" s="36"/>
      <c r="N44" s="37" t="e">
        <f>VLOOKUP($M44,APOIO!$I:$J,2,FALSE)</f>
        <v>#N/A</v>
      </c>
      <c r="O44" s="37"/>
      <c r="P44" s="37"/>
      <c r="Q44" s="37"/>
      <c r="R44" s="37"/>
      <c r="S44" s="41"/>
      <c r="T44" s="91"/>
      <c r="U44" s="92"/>
      <c r="V44" s="43">
        <f t="shared" si="0"/>
        <v>0</v>
      </c>
      <c r="W44" s="36"/>
      <c r="X44" s="87"/>
      <c r="Y44" s="37" t="b">
        <f t="shared" si="1"/>
        <v>1</v>
      </c>
      <c r="Z44" s="84" t="e">
        <f>VLOOKUP($B44,APOIO!$A:$F,5,FALSE)</f>
        <v>#N/A</v>
      </c>
    </row>
    <row r="45" spans="1:26" ht="15" x14ac:dyDescent="0.25">
      <c r="A45" s="36"/>
      <c r="B45" s="37" t="e">
        <f>VLOOKUP($A45,APOIO!$A:$E,1,FALSE)</f>
        <v>#N/A</v>
      </c>
      <c r="C45" s="36"/>
      <c r="D45" s="37" t="e">
        <f>INDEX(APOIO!$D:$D,MATCH(CONCATENATE($B45,$C45),APOIO!$F:$F,0))</f>
        <v>#N/A</v>
      </c>
      <c r="E45" s="36"/>
      <c r="F45" s="37" t="e">
        <f>VLOOKUP($E45,APOIO!$Z:$AC,2,FALSE)</f>
        <v>#N/A</v>
      </c>
      <c r="G45" s="38" t="e">
        <f>VLOOKUP($E45,APOIO!$Z:$AC,4,FALSE)</f>
        <v>#N/A</v>
      </c>
      <c r="H45" s="39"/>
      <c r="I45" s="40" t="e">
        <f>VLOOKUP($H45,APOIO!$W:$X,2,FALSE)</f>
        <v>#N/A</v>
      </c>
      <c r="J45" s="36"/>
      <c r="K45" s="40" t="e">
        <f>VLOOKUP($J45,APOIO!$AE:$AG,2,FALSE)</f>
        <v>#N/A</v>
      </c>
      <c r="L45" s="38" t="e">
        <f>VLOOKUP($J45,APOIO!$AE:$AG,3,FALSE)</f>
        <v>#N/A</v>
      </c>
      <c r="M45" s="36"/>
      <c r="N45" s="37" t="e">
        <f>VLOOKUP($M45,APOIO!$I:$J,2,FALSE)</f>
        <v>#N/A</v>
      </c>
      <c r="O45" s="37"/>
      <c r="P45" s="37"/>
      <c r="Q45" s="37"/>
      <c r="R45" s="37"/>
      <c r="S45" s="41"/>
      <c r="T45" s="91"/>
      <c r="U45" s="92"/>
      <c r="V45" s="43">
        <f t="shared" si="0"/>
        <v>0</v>
      </c>
      <c r="W45" s="36"/>
      <c r="X45" s="87"/>
      <c r="Y45" s="37" t="b">
        <f t="shared" si="1"/>
        <v>1</v>
      </c>
      <c r="Z45" s="84" t="e">
        <f>VLOOKUP($B45,APOIO!$A:$F,5,FALSE)</f>
        <v>#N/A</v>
      </c>
    </row>
    <row r="46" spans="1:26" ht="15" x14ac:dyDescent="0.25">
      <c r="A46" s="36"/>
      <c r="B46" s="37" t="e">
        <f>VLOOKUP($A46,APOIO!$A:$E,1,FALSE)</f>
        <v>#N/A</v>
      </c>
      <c r="C46" s="36"/>
      <c r="D46" s="37" t="e">
        <f>INDEX(APOIO!$D:$D,MATCH(CONCATENATE($B46,$C46),APOIO!$F:$F,0))</f>
        <v>#N/A</v>
      </c>
      <c r="E46" s="36"/>
      <c r="F46" s="37" t="e">
        <f>VLOOKUP($E46,APOIO!$Z:$AC,2,FALSE)</f>
        <v>#N/A</v>
      </c>
      <c r="G46" s="38" t="e">
        <f>VLOOKUP($E46,APOIO!$Z:$AC,4,FALSE)</f>
        <v>#N/A</v>
      </c>
      <c r="H46" s="39"/>
      <c r="I46" s="40" t="e">
        <f>VLOOKUP($H46,APOIO!$W:$X,2,FALSE)</f>
        <v>#N/A</v>
      </c>
      <c r="J46" s="36"/>
      <c r="K46" s="40" t="e">
        <f>VLOOKUP($J46,APOIO!$AE:$AG,2,FALSE)</f>
        <v>#N/A</v>
      </c>
      <c r="L46" s="38" t="e">
        <f>VLOOKUP($J46,APOIO!$AE:$AG,3,FALSE)</f>
        <v>#N/A</v>
      </c>
      <c r="M46" s="36"/>
      <c r="N46" s="37" t="e">
        <f>VLOOKUP($M46,APOIO!$I:$J,2,FALSE)</f>
        <v>#N/A</v>
      </c>
      <c r="O46" s="37"/>
      <c r="P46" s="37"/>
      <c r="Q46" s="37"/>
      <c r="R46" s="37"/>
      <c r="S46" s="41"/>
      <c r="T46" s="91"/>
      <c r="U46" s="92"/>
      <c r="V46" s="43">
        <f t="shared" si="0"/>
        <v>0</v>
      </c>
      <c r="W46" s="36"/>
      <c r="X46" s="87"/>
      <c r="Y46" s="37" t="b">
        <f t="shared" si="1"/>
        <v>1</v>
      </c>
      <c r="Z46" s="84" t="e">
        <f>VLOOKUP($B46,APOIO!$A:$F,5,FALSE)</f>
        <v>#N/A</v>
      </c>
    </row>
    <row r="47" spans="1:26" ht="15" x14ac:dyDescent="0.25">
      <c r="A47" s="36"/>
      <c r="B47" s="37" t="e">
        <f>VLOOKUP($A47,APOIO!$A:$E,1,FALSE)</f>
        <v>#N/A</v>
      </c>
      <c r="C47" s="36"/>
      <c r="D47" s="37" t="e">
        <f>INDEX(APOIO!$D:$D,MATCH(CONCATENATE($B47,$C47),APOIO!$F:$F,0))</f>
        <v>#N/A</v>
      </c>
      <c r="E47" s="36"/>
      <c r="F47" s="37" t="e">
        <f>VLOOKUP($E47,APOIO!$Z:$AC,2,FALSE)</f>
        <v>#N/A</v>
      </c>
      <c r="G47" s="38" t="e">
        <f>VLOOKUP($E47,APOIO!$Z:$AC,4,FALSE)</f>
        <v>#N/A</v>
      </c>
      <c r="H47" s="39"/>
      <c r="I47" s="40" t="e">
        <f>VLOOKUP($H47,APOIO!$W:$X,2,FALSE)</f>
        <v>#N/A</v>
      </c>
      <c r="J47" s="36"/>
      <c r="K47" s="40" t="e">
        <f>VLOOKUP($J47,APOIO!$AE:$AG,2,FALSE)</f>
        <v>#N/A</v>
      </c>
      <c r="L47" s="38" t="e">
        <f>VLOOKUP($J47,APOIO!$AE:$AG,3,FALSE)</f>
        <v>#N/A</v>
      </c>
      <c r="M47" s="36"/>
      <c r="N47" s="37" t="e">
        <f>VLOOKUP($M47,APOIO!$I:$J,2,FALSE)</f>
        <v>#N/A</v>
      </c>
      <c r="O47" s="37"/>
      <c r="P47" s="37"/>
      <c r="Q47" s="37"/>
      <c r="R47" s="37"/>
      <c r="S47" s="41"/>
      <c r="T47" s="91"/>
      <c r="U47" s="92"/>
      <c r="V47" s="43">
        <f t="shared" si="0"/>
        <v>0</v>
      </c>
      <c r="W47" s="36"/>
      <c r="X47" s="87"/>
      <c r="Y47" s="37" t="b">
        <f t="shared" si="1"/>
        <v>1</v>
      </c>
      <c r="Z47" s="84" t="e">
        <f>VLOOKUP($B47,APOIO!$A:$F,5,FALSE)</f>
        <v>#N/A</v>
      </c>
    </row>
    <row r="48" spans="1:26" ht="15" x14ac:dyDescent="0.25">
      <c r="A48" s="36"/>
      <c r="B48" s="37" t="e">
        <f>VLOOKUP($A48,APOIO!$A:$E,1,FALSE)</f>
        <v>#N/A</v>
      </c>
      <c r="C48" s="36"/>
      <c r="D48" s="37" t="e">
        <f>INDEX(APOIO!$D:$D,MATCH(CONCATENATE($B48,$C48),APOIO!$F:$F,0))</f>
        <v>#N/A</v>
      </c>
      <c r="E48" s="36"/>
      <c r="F48" s="37" t="e">
        <f>VLOOKUP($E48,APOIO!$Z:$AC,2,FALSE)</f>
        <v>#N/A</v>
      </c>
      <c r="G48" s="38" t="e">
        <f>VLOOKUP($E48,APOIO!$Z:$AC,4,FALSE)</f>
        <v>#N/A</v>
      </c>
      <c r="H48" s="39"/>
      <c r="I48" s="40" t="e">
        <f>VLOOKUP($H48,APOIO!$W:$X,2,FALSE)</f>
        <v>#N/A</v>
      </c>
      <c r="J48" s="36"/>
      <c r="K48" s="40" t="e">
        <f>VLOOKUP($J48,APOIO!$AE:$AG,2,FALSE)</f>
        <v>#N/A</v>
      </c>
      <c r="L48" s="38" t="e">
        <f>VLOOKUP($J48,APOIO!$AE:$AG,3,FALSE)</f>
        <v>#N/A</v>
      </c>
      <c r="M48" s="36"/>
      <c r="N48" s="37" t="e">
        <f>VLOOKUP($M48,APOIO!$I:$J,2,FALSE)</f>
        <v>#N/A</v>
      </c>
      <c r="O48" s="37"/>
      <c r="P48" s="37"/>
      <c r="Q48" s="37"/>
      <c r="R48" s="37"/>
      <c r="S48" s="41"/>
      <c r="T48" s="91"/>
      <c r="U48" s="92"/>
      <c r="V48" s="43">
        <f t="shared" si="0"/>
        <v>0</v>
      </c>
      <c r="W48" s="36"/>
      <c r="X48" s="87"/>
      <c r="Y48" s="37" t="b">
        <f t="shared" si="1"/>
        <v>1</v>
      </c>
      <c r="Z48" s="84" t="e">
        <f>VLOOKUP($B48,APOIO!$A:$F,5,FALSE)</f>
        <v>#N/A</v>
      </c>
    </row>
    <row r="49" spans="1:26" ht="15" x14ac:dyDescent="0.25">
      <c r="A49" s="36"/>
      <c r="B49" s="37" t="e">
        <f>VLOOKUP($A49,APOIO!$A:$E,1,FALSE)</f>
        <v>#N/A</v>
      </c>
      <c r="C49" s="36"/>
      <c r="D49" s="37" t="e">
        <f>INDEX(APOIO!$D:$D,MATCH(CONCATENATE($B49,$C49),APOIO!$F:$F,0))</f>
        <v>#N/A</v>
      </c>
      <c r="E49" s="36"/>
      <c r="F49" s="37" t="e">
        <f>VLOOKUP($E49,APOIO!$Z:$AC,2,FALSE)</f>
        <v>#N/A</v>
      </c>
      <c r="G49" s="38" t="e">
        <f>VLOOKUP($E49,APOIO!$Z:$AC,4,FALSE)</f>
        <v>#N/A</v>
      </c>
      <c r="H49" s="39"/>
      <c r="I49" s="40" t="e">
        <f>VLOOKUP($H49,APOIO!$W:$X,2,FALSE)</f>
        <v>#N/A</v>
      </c>
      <c r="J49" s="36"/>
      <c r="K49" s="40" t="e">
        <f>VLOOKUP($J49,APOIO!$AE:$AG,2,FALSE)</f>
        <v>#N/A</v>
      </c>
      <c r="L49" s="38" t="e">
        <f>VLOOKUP($J49,APOIO!$AE:$AG,3,FALSE)</f>
        <v>#N/A</v>
      </c>
      <c r="M49" s="36"/>
      <c r="N49" s="37" t="e">
        <f>VLOOKUP($M49,APOIO!$I:$J,2,FALSE)</f>
        <v>#N/A</v>
      </c>
      <c r="O49" s="37"/>
      <c r="P49" s="37"/>
      <c r="Q49" s="37"/>
      <c r="R49" s="37"/>
      <c r="S49" s="41"/>
      <c r="T49" s="91"/>
      <c r="U49" s="92"/>
      <c r="V49" s="43">
        <f t="shared" si="0"/>
        <v>0</v>
      </c>
      <c r="W49" s="36"/>
      <c r="X49" s="87"/>
      <c r="Y49" s="37" t="b">
        <f t="shared" si="1"/>
        <v>1</v>
      </c>
      <c r="Z49" s="84" t="e">
        <f>VLOOKUP($B49,APOIO!$A:$F,5,FALSE)</f>
        <v>#N/A</v>
      </c>
    </row>
    <row r="50" spans="1:26" ht="15" x14ac:dyDescent="0.25">
      <c r="A50" s="36"/>
      <c r="B50" s="37" t="e">
        <f>VLOOKUP($A50,APOIO!$A:$E,1,FALSE)</f>
        <v>#N/A</v>
      </c>
      <c r="C50" s="36"/>
      <c r="D50" s="37" t="e">
        <f>INDEX(APOIO!$D:$D,MATCH(CONCATENATE($B50,$C50),APOIO!$F:$F,0))</f>
        <v>#N/A</v>
      </c>
      <c r="E50" s="36"/>
      <c r="F50" s="37" t="e">
        <f>VLOOKUP($E50,APOIO!$Z:$AC,2,FALSE)</f>
        <v>#N/A</v>
      </c>
      <c r="G50" s="38" t="e">
        <f>VLOOKUP($E50,APOIO!$Z:$AC,4,FALSE)</f>
        <v>#N/A</v>
      </c>
      <c r="H50" s="39"/>
      <c r="I50" s="40" t="e">
        <f>VLOOKUP($H50,APOIO!$W:$X,2,FALSE)</f>
        <v>#N/A</v>
      </c>
      <c r="J50" s="36"/>
      <c r="K50" s="40" t="e">
        <f>VLOOKUP($J50,APOIO!$AE:$AG,2,FALSE)</f>
        <v>#N/A</v>
      </c>
      <c r="L50" s="38" t="e">
        <f>VLOOKUP($J50,APOIO!$AE:$AG,3,FALSE)</f>
        <v>#N/A</v>
      </c>
      <c r="M50" s="36"/>
      <c r="N50" s="37" t="e">
        <f>VLOOKUP($M50,APOIO!$I:$J,2,FALSE)</f>
        <v>#N/A</v>
      </c>
      <c r="O50" s="37"/>
      <c r="P50" s="37"/>
      <c r="Q50" s="37"/>
      <c r="R50" s="37"/>
      <c r="S50" s="41"/>
      <c r="T50" s="91"/>
      <c r="U50" s="92"/>
      <c r="V50" s="43">
        <f t="shared" si="0"/>
        <v>0</v>
      </c>
      <c r="W50" s="36"/>
      <c r="X50" s="87"/>
      <c r="Y50" s="37" t="b">
        <f t="shared" si="1"/>
        <v>1</v>
      </c>
      <c r="Z50" s="84" t="e">
        <f>VLOOKUP($B50,APOIO!$A:$F,5,FALSE)</f>
        <v>#N/A</v>
      </c>
    </row>
    <row r="51" spans="1:26" ht="15" x14ac:dyDescent="0.25">
      <c r="A51" s="36"/>
      <c r="B51" s="37" t="e">
        <f>VLOOKUP($A51,APOIO!$A:$E,1,FALSE)</f>
        <v>#N/A</v>
      </c>
      <c r="C51" s="36"/>
      <c r="D51" s="37" t="e">
        <f>INDEX(APOIO!$D:$D,MATCH(CONCATENATE($B51,$C51),APOIO!$F:$F,0))</f>
        <v>#N/A</v>
      </c>
      <c r="E51" s="36"/>
      <c r="F51" s="37" t="e">
        <f>VLOOKUP($E51,APOIO!$Z:$AC,2,FALSE)</f>
        <v>#N/A</v>
      </c>
      <c r="G51" s="38" t="e">
        <f>VLOOKUP($E51,APOIO!$Z:$AC,4,FALSE)</f>
        <v>#N/A</v>
      </c>
      <c r="H51" s="39"/>
      <c r="I51" s="40" t="e">
        <f>VLOOKUP($H51,APOIO!$W:$X,2,FALSE)</f>
        <v>#N/A</v>
      </c>
      <c r="J51" s="36"/>
      <c r="K51" s="40" t="e">
        <f>VLOOKUP($J51,APOIO!$AE:$AG,2,FALSE)</f>
        <v>#N/A</v>
      </c>
      <c r="L51" s="38" t="e">
        <f>VLOOKUP($J51,APOIO!$AE:$AG,3,FALSE)</f>
        <v>#N/A</v>
      </c>
      <c r="M51" s="36"/>
      <c r="N51" s="37" t="e">
        <f>VLOOKUP($M51,APOIO!$I:$J,2,FALSE)</f>
        <v>#N/A</v>
      </c>
      <c r="O51" s="37"/>
      <c r="P51" s="37"/>
      <c r="Q51" s="37"/>
      <c r="R51" s="37"/>
      <c r="S51" s="41"/>
      <c r="T51" s="91"/>
      <c r="U51" s="92"/>
      <c r="V51" s="43">
        <f t="shared" si="0"/>
        <v>0</v>
      </c>
      <c r="W51" s="36"/>
      <c r="X51" s="87"/>
      <c r="Y51" s="37" t="b">
        <f t="shared" si="1"/>
        <v>1</v>
      </c>
      <c r="Z51" s="84" t="e">
        <f>VLOOKUP($B51,APOIO!$A:$F,5,FALSE)</f>
        <v>#N/A</v>
      </c>
    </row>
    <row r="52" spans="1:26" ht="15" x14ac:dyDescent="0.25">
      <c r="A52" s="36"/>
      <c r="B52" s="37" t="e">
        <f>VLOOKUP($A52,APOIO!$A:$E,1,FALSE)</f>
        <v>#N/A</v>
      </c>
      <c r="C52" s="36"/>
      <c r="D52" s="37" t="e">
        <f>INDEX(APOIO!$D:$D,MATCH(CONCATENATE($B52,$C52),APOIO!$F:$F,0))</f>
        <v>#N/A</v>
      </c>
      <c r="E52" s="36"/>
      <c r="F52" s="37" t="e">
        <f>VLOOKUP($E52,APOIO!$Z:$AC,2,FALSE)</f>
        <v>#N/A</v>
      </c>
      <c r="G52" s="38" t="e">
        <f>VLOOKUP($E52,APOIO!$Z:$AC,4,FALSE)</f>
        <v>#N/A</v>
      </c>
      <c r="H52" s="39"/>
      <c r="I52" s="40" t="e">
        <f>VLOOKUP($H52,APOIO!$W:$X,2,FALSE)</f>
        <v>#N/A</v>
      </c>
      <c r="J52" s="36"/>
      <c r="K52" s="40" t="e">
        <f>VLOOKUP($J52,APOIO!$AE:$AG,2,FALSE)</f>
        <v>#N/A</v>
      </c>
      <c r="L52" s="38" t="e">
        <f>VLOOKUP($J52,APOIO!$AE:$AG,3,FALSE)</f>
        <v>#N/A</v>
      </c>
      <c r="M52" s="36"/>
      <c r="N52" s="37" t="e">
        <f>VLOOKUP($M52,APOIO!$I:$J,2,FALSE)</f>
        <v>#N/A</v>
      </c>
      <c r="O52" s="37"/>
      <c r="P52" s="37"/>
      <c r="Q52" s="37"/>
      <c r="R52" s="37"/>
      <c r="S52" s="41"/>
      <c r="T52" s="91"/>
      <c r="U52" s="92"/>
      <c r="V52" s="43">
        <f t="shared" si="0"/>
        <v>0</v>
      </c>
      <c r="W52" s="36"/>
      <c r="X52" s="87"/>
      <c r="Y52" s="37" t="b">
        <f t="shared" si="1"/>
        <v>1</v>
      </c>
      <c r="Z52" s="84" t="e">
        <f>VLOOKUP($B52,APOIO!$A:$F,5,FALSE)</f>
        <v>#N/A</v>
      </c>
    </row>
    <row r="53" spans="1:26" ht="15" x14ac:dyDescent="0.25">
      <c r="A53" s="36"/>
      <c r="B53" s="37" t="e">
        <f>VLOOKUP($A53,APOIO!$A:$E,1,FALSE)</f>
        <v>#N/A</v>
      </c>
      <c r="C53" s="36"/>
      <c r="D53" s="37" t="e">
        <f>INDEX(APOIO!$D:$D,MATCH(CONCATENATE($B53,$C53),APOIO!$F:$F,0))</f>
        <v>#N/A</v>
      </c>
      <c r="E53" s="36"/>
      <c r="F53" s="37" t="e">
        <f>VLOOKUP($E53,APOIO!$Z:$AC,2,FALSE)</f>
        <v>#N/A</v>
      </c>
      <c r="G53" s="38" t="e">
        <f>VLOOKUP($E53,APOIO!$Z:$AC,4,FALSE)</f>
        <v>#N/A</v>
      </c>
      <c r="H53" s="39"/>
      <c r="I53" s="40" t="e">
        <f>VLOOKUP($H53,APOIO!$W:$X,2,FALSE)</f>
        <v>#N/A</v>
      </c>
      <c r="J53" s="36"/>
      <c r="K53" s="40" t="e">
        <f>VLOOKUP($J53,APOIO!$AE:$AG,2,FALSE)</f>
        <v>#N/A</v>
      </c>
      <c r="L53" s="38" t="e">
        <f>VLOOKUP($J53,APOIO!$AE:$AG,3,FALSE)</f>
        <v>#N/A</v>
      </c>
      <c r="M53" s="36"/>
      <c r="N53" s="37" t="e">
        <f>VLOOKUP($M53,APOIO!$I:$J,2,FALSE)</f>
        <v>#N/A</v>
      </c>
      <c r="O53" s="37"/>
      <c r="P53" s="37"/>
      <c r="Q53" s="37"/>
      <c r="R53" s="37"/>
      <c r="S53" s="41"/>
      <c r="T53" s="91"/>
      <c r="U53" s="92"/>
      <c r="V53" s="43">
        <f t="shared" si="0"/>
        <v>0</v>
      </c>
      <c r="W53" s="36"/>
      <c r="X53" s="87"/>
      <c r="Y53" s="37" t="b">
        <f t="shared" si="1"/>
        <v>1</v>
      </c>
      <c r="Z53" s="84" t="e">
        <f>VLOOKUP($B53,APOIO!$A:$F,5,FALSE)</f>
        <v>#N/A</v>
      </c>
    </row>
    <row r="54" spans="1:26" ht="15" x14ac:dyDescent="0.25">
      <c r="A54" s="36"/>
      <c r="B54" s="37" t="e">
        <f>VLOOKUP($A54,APOIO!$A:$E,1,FALSE)</f>
        <v>#N/A</v>
      </c>
      <c r="C54" s="36"/>
      <c r="D54" s="37" t="e">
        <f>INDEX(APOIO!$D:$D,MATCH(CONCATENATE($B54,$C54),APOIO!$F:$F,0))</f>
        <v>#N/A</v>
      </c>
      <c r="E54" s="36"/>
      <c r="F54" s="37" t="e">
        <f>VLOOKUP($E54,APOIO!$Z:$AC,2,FALSE)</f>
        <v>#N/A</v>
      </c>
      <c r="G54" s="38" t="e">
        <f>VLOOKUP($E54,APOIO!$Z:$AC,4,FALSE)</f>
        <v>#N/A</v>
      </c>
      <c r="H54" s="39"/>
      <c r="I54" s="40" t="e">
        <f>VLOOKUP($H54,APOIO!$W:$X,2,FALSE)</f>
        <v>#N/A</v>
      </c>
      <c r="J54" s="36"/>
      <c r="K54" s="40" t="e">
        <f>VLOOKUP($J54,APOIO!$AE:$AG,2,FALSE)</f>
        <v>#N/A</v>
      </c>
      <c r="L54" s="38" t="e">
        <f>VLOOKUP($J54,APOIO!$AE:$AG,3,FALSE)</f>
        <v>#N/A</v>
      </c>
      <c r="M54" s="36"/>
      <c r="N54" s="37" t="e">
        <f>VLOOKUP($M54,APOIO!$I:$J,2,FALSE)</f>
        <v>#N/A</v>
      </c>
      <c r="O54" s="37"/>
      <c r="P54" s="37"/>
      <c r="Q54" s="37"/>
      <c r="R54" s="37"/>
      <c r="S54" s="41"/>
      <c r="T54" s="91"/>
      <c r="U54" s="92"/>
      <c r="V54" s="43">
        <f t="shared" si="0"/>
        <v>0</v>
      </c>
      <c r="W54" s="36"/>
      <c r="X54" s="87"/>
      <c r="Y54" s="37" t="b">
        <f t="shared" si="1"/>
        <v>1</v>
      </c>
      <c r="Z54" s="84" t="e">
        <f>VLOOKUP($B54,APOIO!$A:$F,5,FALSE)</f>
        <v>#N/A</v>
      </c>
    </row>
    <row r="55" spans="1:26" ht="15" x14ac:dyDescent="0.25">
      <c r="A55" s="36"/>
      <c r="B55" s="37" t="e">
        <f>VLOOKUP($A55,APOIO!$A:$E,1,FALSE)</f>
        <v>#N/A</v>
      </c>
      <c r="C55" s="36"/>
      <c r="D55" s="37" t="e">
        <f>INDEX(APOIO!$D:$D,MATCH(CONCATENATE($B55,$C55),APOIO!$F:$F,0))</f>
        <v>#N/A</v>
      </c>
      <c r="E55" s="36"/>
      <c r="F55" s="37" t="e">
        <f>VLOOKUP($E55,APOIO!$Z:$AC,2,FALSE)</f>
        <v>#N/A</v>
      </c>
      <c r="G55" s="38" t="e">
        <f>VLOOKUP($E55,APOIO!$Z:$AC,4,FALSE)</f>
        <v>#N/A</v>
      </c>
      <c r="H55" s="39"/>
      <c r="I55" s="40" t="e">
        <f>VLOOKUP($H55,APOIO!$W:$X,2,FALSE)</f>
        <v>#N/A</v>
      </c>
      <c r="J55" s="36"/>
      <c r="K55" s="40" t="e">
        <f>VLOOKUP($J55,APOIO!$AE:$AG,2,FALSE)</f>
        <v>#N/A</v>
      </c>
      <c r="L55" s="38" t="e">
        <f>VLOOKUP($J55,APOIO!$AE:$AG,3,FALSE)</f>
        <v>#N/A</v>
      </c>
      <c r="M55" s="36"/>
      <c r="N55" s="37" t="e">
        <f>VLOOKUP($M55,APOIO!$I:$J,2,FALSE)</f>
        <v>#N/A</v>
      </c>
      <c r="O55" s="37"/>
      <c r="P55" s="37"/>
      <c r="Q55" s="37"/>
      <c r="R55" s="37"/>
      <c r="S55" s="41"/>
      <c r="T55" s="91"/>
      <c r="U55" s="92"/>
      <c r="V55" s="43">
        <f t="shared" si="0"/>
        <v>0</v>
      </c>
      <c r="W55" s="36"/>
      <c r="X55" s="87"/>
      <c r="Y55" s="37" t="b">
        <f t="shared" si="1"/>
        <v>1</v>
      </c>
      <c r="Z55" s="84" t="e">
        <f>VLOOKUP($B55,APOIO!$A:$F,5,FALSE)</f>
        <v>#N/A</v>
      </c>
    </row>
    <row r="56" spans="1:26" ht="15" x14ac:dyDescent="0.25">
      <c r="A56" s="36"/>
      <c r="B56" s="37" t="e">
        <f>VLOOKUP($A56,APOIO!$A:$E,1,FALSE)</f>
        <v>#N/A</v>
      </c>
      <c r="C56" s="36"/>
      <c r="D56" s="37" t="e">
        <f>INDEX(APOIO!$D:$D,MATCH(CONCATENATE($B56,$C56),APOIO!$F:$F,0))</f>
        <v>#N/A</v>
      </c>
      <c r="E56" s="36"/>
      <c r="F56" s="37" t="e">
        <f>VLOOKUP($E56,APOIO!$Z:$AC,2,FALSE)</f>
        <v>#N/A</v>
      </c>
      <c r="G56" s="38" t="e">
        <f>VLOOKUP($E56,APOIO!$Z:$AC,4,FALSE)</f>
        <v>#N/A</v>
      </c>
      <c r="H56" s="39"/>
      <c r="I56" s="40" t="e">
        <f>VLOOKUP($H56,APOIO!$W:$X,2,FALSE)</f>
        <v>#N/A</v>
      </c>
      <c r="J56" s="36"/>
      <c r="K56" s="40" t="e">
        <f>VLOOKUP($J56,APOIO!$AE:$AG,2,FALSE)</f>
        <v>#N/A</v>
      </c>
      <c r="L56" s="38" t="e">
        <f>VLOOKUP($J56,APOIO!$AE:$AG,3,FALSE)</f>
        <v>#N/A</v>
      </c>
      <c r="M56" s="36"/>
      <c r="N56" s="37" t="e">
        <f>VLOOKUP($M56,APOIO!$I:$J,2,FALSE)</f>
        <v>#N/A</v>
      </c>
      <c r="O56" s="37"/>
      <c r="P56" s="37"/>
      <c r="Q56" s="37"/>
      <c r="R56" s="37"/>
      <c r="S56" s="41"/>
      <c r="T56" s="91"/>
      <c r="U56" s="92"/>
      <c r="V56" s="43">
        <f t="shared" si="0"/>
        <v>0</v>
      </c>
      <c r="W56" s="36"/>
      <c r="X56" s="87"/>
      <c r="Y56" s="37" t="b">
        <f t="shared" si="1"/>
        <v>1</v>
      </c>
      <c r="Z56" s="84" t="e">
        <f>VLOOKUP($B56,APOIO!$A:$F,5,FALSE)</f>
        <v>#N/A</v>
      </c>
    </row>
    <row r="57" spans="1:26" ht="15" x14ac:dyDescent="0.25">
      <c r="A57" s="36"/>
      <c r="B57" s="37" t="e">
        <f>VLOOKUP($A57,APOIO!$A:$E,1,FALSE)</f>
        <v>#N/A</v>
      </c>
      <c r="C57" s="36"/>
      <c r="D57" s="37" t="e">
        <f>INDEX(APOIO!$D:$D,MATCH(CONCATENATE($B57,$C57),APOIO!$F:$F,0))</f>
        <v>#N/A</v>
      </c>
      <c r="E57" s="36"/>
      <c r="F57" s="37" t="e">
        <f>VLOOKUP($E57,APOIO!$Z:$AC,2,FALSE)</f>
        <v>#N/A</v>
      </c>
      <c r="G57" s="38" t="e">
        <f>VLOOKUP($E57,APOIO!$Z:$AC,4,FALSE)</f>
        <v>#N/A</v>
      </c>
      <c r="H57" s="39"/>
      <c r="I57" s="40" t="e">
        <f>VLOOKUP($H57,APOIO!$W:$X,2,FALSE)</f>
        <v>#N/A</v>
      </c>
      <c r="J57" s="36"/>
      <c r="K57" s="40" t="e">
        <f>VLOOKUP($J57,APOIO!$AE:$AG,2,FALSE)</f>
        <v>#N/A</v>
      </c>
      <c r="L57" s="38" t="e">
        <f>VLOOKUP($J57,APOIO!$AE:$AG,3,FALSE)</f>
        <v>#N/A</v>
      </c>
      <c r="M57" s="36"/>
      <c r="N57" s="37" t="e">
        <f>VLOOKUP($M57,APOIO!$I:$J,2,FALSE)</f>
        <v>#N/A</v>
      </c>
      <c r="O57" s="37"/>
      <c r="P57" s="37"/>
      <c r="Q57" s="37"/>
      <c r="R57" s="37"/>
      <c r="S57" s="41"/>
      <c r="T57" s="91"/>
      <c r="U57" s="92"/>
      <c r="V57" s="43">
        <f t="shared" si="0"/>
        <v>0</v>
      </c>
      <c r="W57" s="36"/>
      <c r="X57" s="87"/>
      <c r="Y57" s="37" t="b">
        <f t="shared" si="1"/>
        <v>1</v>
      </c>
      <c r="Z57" s="84" t="e">
        <f>VLOOKUP($B57,APOIO!$A:$F,5,FALSE)</f>
        <v>#N/A</v>
      </c>
    </row>
    <row r="58" spans="1:26" ht="15" x14ac:dyDescent="0.25">
      <c r="A58" s="36"/>
      <c r="B58" s="37" t="e">
        <f>VLOOKUP($A58,APOIO!$A:$E,1,FALSE)</f>
        <v>#N/A</v>
      </c>
      <c r="C58" s="36"/>
      <c r="D58" s="37" t="e">
        <f>INDEX(APOIO!$D:$D,MATCH(CONCATENATE($B58,$C58),APOIO!$F:$F,0))</f>
        <v>#N/A</v>
      </c>
      <c r="E58" s="36"/>
      <c r="F58" s="37" t="e">
        <f>VLOOKUP($E58,APOIO!$Z:$AC,2,FALSE)</f>
        <v>#N/A</v>
      </c>
      <c r="G58" s="38" t="e">
        <f>VLOOKUP($E58,APOIO!$Z:$AC,4,FALSE)</f>
        <v>#N/A</v>
      </c>
      <c r="H58" s="39"/>
      <c r="I58" s="40" t="e">
        <f>VLOOKUP($H58,APOIO!$W:$X,2,FALSE)</f>
        <v>#N/A</v>
      </c>
      <c r="J58" s="36"/>
      <c r="K58" s="40" t="e">
        <f>VLOOKUP($J58,APOIO!$AE:$AG,2,FALSE)</f>
        <v>#N/A</v>
      </c>
      <c r="L58" s="38" t="e">
        <f>VLOOKUP($J58,APOIO!$AE:$AG,3,FALSE)</f>
        <v>#N/A</v>
      </c>
      <c r="M58" s="36"/>
      <c r="N58" s="37" t="e">
        <f>VLOOKUP($M58,APOIO!$I:$J,2,FALSE)</f>
        <v>#N/A</v>
      </c>
      <c r="O58" s="37"/>
      <c r="P58" s="37"/>
      <c r="Q58" s="37"/>
      <c r="R58" s="37"/>
      <c r="S58" s="41"/>
      <c r="T58" s="91"/>
      <c r="U58" s="92"/>
      <c r="V58" s="43">
        <f t="shared" si="0"/>
        <v>0</v>
      </c>
      <c r="W58" s="36"/>
      <c r="X58" s="87"/>
      <c r="Y58" s="37" t="b">
        <f t="shared" si="1"/>
        <v>1</v>
      </c>
      <c r="Z58" s="84" t="e">
        <f>VLOOKUP($B58,APOIO!$A:$F,5,FALSE)</f>
        <v>#N/A</v>
      </c>
    </row>
    <row r="59" spans="1:26" ht="15" x14ac:dyDescent="0.25">
      <c r="A59" s="36"/>
      <c r="B59" s="37" t="e">
        <f>VLOOKUP($A59,APOIO!$A:$E,1,FALSE)</f>
        <v>#N/A</v>
      </c>
      <c r="C59" s="36"/>
      <c r="D59" s="37" t="e">
        <f>INDEX(APOIO!$D:$D,MATCH(CONCATENATE($B59,$C59),APOIO!$F:$F,0))</f>
        <v>#N/A</v>
      </c>
      <c r="E59" s="36"/>
      <c r="F59" s="37" t="e">
        <f>VLOOKUP($E59,APOIO!$Z:$AC,2,FALSE)</f>
        <v>#N/A</v>
      </c>
      <c r="G59" s="38" t="e">
        <f>VLOOKUP($E59,APOIO!$Z:$AC,4,FALSE)</f>
        <v>#N/A</v>
      </c>
      <c r="H59" s="39"/>
      <c r="I59" s="40" t="e">
        <f>VLOOKUP($H59,APOIO!$W:$X,2,FALSE)</f>
        <v>#N/A</v>
      </c>
      <c r="J59" s="36"/>
      <c r="K59" s="40" t="e">
        <f>VLOOKUP($J59,APOIO!$AE:$AG,2,FALSE)</f>
        <v>#N/A</v>
      </c>
      <c r="L59" s="38" t="e">
        <f>VLOOKUP($J59,APOIO!$AE:$AG,3,FALSE)</f>
        <v>#N/A</v>
      </c>
      <c r="M59" s="36"/>
      <c r="N59" s="37" t="e">
        <f>VLOOKUP($M59,APOIO!$I:$J,2,FALSE)</f>
        <v>#N/A</v>
      </c>
      <c r="O59" s="37"/>
      <c r="P59" s="37"/>
      <c r="Q59" s="37"/>
      <c r="R59" s="37"/>
      <c r="S59" s="41"/>
      <c r="T59" s="91"/>
      <c r="U59" s="92"/>
      <c r="V59" s="43">
        <f t="shared" si="0"/>
        <v>0</v>
      </c>
      <c r="W59" s="36"/>
      <c r="X59" s="87"/>
      <c r="Y59" s="37" t="b">
        <f t="shared" si="1"/>
        <v>1</v>
      </c>
      <c r="Z59" s="84" t="e">
        <f>VLOOKUP($B59,APOIO!$A:$F,5,FALSE)</f>
        <v>#N/A</v>
      </c>
    </row>
    <row r="60" spans="1:26" ht="15" x14ac:dyDescent="0.25">
      <c r="A60" s="36"/>
      <c r="B60" s="37" t="e">
        <f>VLOOKUP($A60,APOIO!$A:$E,1,FALSE)</f>
        <v>#N/A</v>
      </c>
      <c r="C60" s="36"/>
      <c r="D60" s="37" t="e">
        <f>INDEX(APOIO!$D:$D,MATCH(CONCATENATE($B60,$C60),APOIO!$F:$F,0))</f>
        <v>#N/A</v>
      </c>
      <c r="E60" s="36"/>
      <c r="F60" s="37" t="e">
        <f>VLOOKUP($E60,APOIO!$Z:$AC,2,FALSE)</f>
        <v>#N/A</v>
      </c>
      <c r="G60" s="38" t="e">
        <f>VLOOKUP($E60,APOIO!$Z:$AC,4,FALSE)</f>
        <v>#N/A</v>
      </c>
      <c r="H60" s="39"/>
      <c r="I60" s="40" t="e">
        <f>VLOOKUP($H60,APOIO!$W:$X,2,FALSE)</f>
        <v>#N/A</v>
      </c>
      <c r="J60" s="36"/>
      <c r="K60" s="40" t="e">
        <f>VLOOKUP($J60,APOIO!$AE:$AG,2,FALSE)</f>
        <v>#N/A</v>
      </c>
      <c r="L60" s="38" t="e">
        <f>VLOOKUP($J60,APOIO!$AE:$AG,3,FALSE)</f>
        <v>#N/A</v>
      </c>
      <c r="M60" s="36"/>
      <c r="N60" s="37" t="e">
        <f>VLOOKUP($M60,APOIO!$I:$J,2,FALSE)</f>
        <v>#N/A</v>
      </c>
      <c r="O60" s="37"/>
      <c r="P60" s="37"/>
      <c r="Q60" s="37"/>
      <c r="R60" s="37"/>
      <c r="S60" s="41"/>
      <c r="T60" s="91"/>
      <c r="U60" s="92"/>
      <c r="V60" s="43">
        <f t="shared" si="0"/>
        <v>0</v>
      </c>
      <c r="W60" s="36"/>
      <c r="X60" s="87"/>
      <c r="Y60" s="37" t="b">
        <f t="shared" si="1"/>
        <v>1</v>
      </c>
      <c r="Z60" s="84" t="e">
        <f>VLOOKUP($B60,APOIO!$A:$F,5,FALSE)</f>
        <v>#N/A</v>
      </c>
    </row>
    <row r="61" spans="1:26" ht="15" x14ac:dyDescent="0.25">
      <c r="A61" s="36"/>
      <c r="B61" s="37" t="e">
        <f>VLOOKUP($A61,APOIO!$A:$E,1,FALSE)</f>
        <v>#N/A</v>
      </c>
      <c r="C61" s="36"/>
      <c r="D61" s="37" t="e">
        <f>INDEX(APOIO!$D:$D,MATCH(CONCATENATE($B61,$C61),APOIO!$F:$F,0))</f>
        <v>#N/A</v>
      </c>
      <c r="E61" s="36"/>
      <c r="F61" s="37" t="e">
        <f>VLOOKUP($E61,APOIO!$Z:$AC,2,FALSE)</f>
        <v>#N/A</v>
      </c>
      <c r="G61" s="38" t="e">
        <f>VLOOKUP($E61,APOIO!$Z:$AC,4,FALSE)</f>
        <v>#N/A</v>
      </c>
      <c r="H61" s="39"/>
      <c r="I61" s="40" t="e">
        <f>VLOOKUP($H61,APOIO!$W:$X,2,FALSE)</f>
        <v>#N/A</v>
      </c>
      <c r="J61" s="36"/>
      <c r="K61" s="40" t="e">
        <f>VLOOKUP($J61,APOIO!$AE:$AG,2,FALSE)</f>
        <v>#N/A</v>
      </c>
      <c r="L61" s="38" t="e">
        <f>VLOOKUP($J61,APOIO!$AE:$AG,3,FALSE)</f>
        <v>#N/A</v>
      </c>
      <c r="M61" s="36"/>
      <c r="N61" s="37" t="e">
        <f>VLOOKUP($M61,APOIO!$I:$J,2,FALSE)</f>
        <v>#N/A</v>
      </c>
      <c r="O61" s="37"/>
      <c r="P61" s="37"/>
      <c r="Q61" s="37"/>
      <c r="R61" s="37"/>
      <c r="S61" s="41"/>
      <c r="T61" s="91"/>
      <c r="U61" s="92"/>
      <c r="V61" s="43">
        <f t="shared" si="0"/>
        <v>0</v>
      </c>
      <c r="W61" s="36"/>
      <c r="X61" s="87"/>
      <c r="Y61" s="37" t="b">
        <f t="shared" si="1"/>
        <v>1</v>
      </c>
      <c r="Z61" s="84" t="e">
        <f>VLOOKUP($B61,APOIO!$A:$F,5,FALSE)</f>
        <v>#N/A</v>
      </c>
    </row>
    <row r="62" spans="1:26" ht="15" x14ac:dyDescent="0.25">
      <c r="A62" s="36"/>
      <c r="B62" s="37" t="e">
        <f>VLOOKUP($A62,APOIO!$A:$E,1,FALSE)</f>
        <v>#N/A</v>
      </c>
      <c r="C62" s="36"/>
      <c r="D62" s="37" t="e">
        <f>INDEX(APOIO!$D:$D,MATCH(CONCATENATE($B62,$C62),APOIO!$F:$F,0))</f>
        <v>#N/A</v>
      </c>
      <c r="E62" s="36"/>
      <c r="F62" s="37" t="e">
        <f>VLOOKUP($E62,APOIO!$Z:$AC,2,FALSE)</f>
        <v>#N/A</v>
      </c>
      <c r="G62" s="38" t="e">
        <f>VLOOKUP($E62,APOIO!$Z:$AC,4,FALSE)</f>
        <v>#N/A</v>
      </c>
      <c r="H62" s="39"/>
      <c r="I62" s="40" t="e">
        <f>VLOOKUP($H62,APOIO!$W:$X,2,FALSE)</f>
        <v>#N/A</v>
      </c>
      <c r="J62" s="36"/>
      <c r="K62" s="40" t="e">
        <f>VLOOKUP($J62,APOIO!$AE:$AG,2,FALSE)</f>
        <v>#N/A</v>
      </c>
      <c r="L62" s="38" t="e">
        <f>VLOOKUP($J62,APOIO!$AE:$AG,3,FALSE)</f>
        <v>#N/A</v>
      </c>
      <c r="M62" s="36"/>
      <c r="N62" s="37" t="e">
        <f>VLOOKUP($M62,APOIO!$I:$J,2,FALSE)</f>
        <v>#N/A</v>
      </c>
      <c r="O62" s="37"/>
      <c r="P62" s="37"/>
      <c r="Q62" s="37"/>
      <c r="R62" s="37"/>
      <c r="S62" s="41"/>
      <c r="T62" s="91"/>
      <c r="U62" s="92"/>
      <c r="V62" s="43">
        <f t="shared" si="0"/>
        <v>0</v>
      </c>
      <c r="W62" s="36"/>
      <c r="X62" s="87"/>
      <c r="Y62" s="37" t="b">
        <f t="shared" si="1"/>
        <v>1</v>
      </c>
      <c r="Z62" s="84" t="e">
        <f>VLOOKUP($B62,APOIO!$A:$F,5,FALSE)</f>
        <v>#N/A</v>
      </c>
    </row>
    <row r="63" spans="1:26" ht="15" x14ac:dyDescent="0.25">
      <c r="A63" s="36"/>
      <c r="B63" s="37" t="e">
        <f>VLOOKUP($A63,APOIO!$A:$E,1,FALSE)</f>
        <v>#N/A</v>
      </c>
      <c r="C63" s="36"/>
      <c r="D63" s="37" t="e">
        <f>INDEX(APOIO!$D:$D,MATCH(CONCATENATE($B63,$C63),APOIO!$F:$F,0))</f>
        <v>#N/A</v>
      </c>
      <c r="E63" s="36"/>
      <c r="F63" s="37" t="e">
        <f>VLOOKUP($E63,APOIO!$Z:$AC,2,FALSE)</f>
        <v>#N/A</v>
      </c>
      <c r="G63" s="38" t="e">
        <f>VLOOKUP($E63,APOIO!$Z:$AC,4,FALSE)</f>
        <v>#N/A</v>
      </c>
      <c r="H63" s="39"/>
      <c r="I63" s="40" t="e">
        <f>VLOOKUP($H63,APOIO!$W:$X,2,FALSE)</f>
        <v>#N/A</v>
      </c>
      <c r="J63" s="36"/>
      <c r="K63" s="40" t="e">
        <f>VLOOKUP($J63,APOIO!$AE:$AG,2,FALSE)</f>
        <v>#N/A</v>
      </c>
      <c r="L63" s="38" t="e">
        <f>VLOOKUP($J63,APOIO!$AE:$AG,3,FALSE)</f>
        <v>#N/A</v>
      </c>
      <c r="M63" s="36"/>
      <c r="N63" s="37" t="e">
        <f>VLOOKUP($M63,APOIO!$I:$J,2,FALSE)</f>
        <v>#N/A</v>
      </c>
      <c r="O63" s="37"/>
      <c r="P63" s="37"/>
      <c r="Q63" s="37"/>
      <c r="R63" s="37"/>
      <c r="S63" s="41"/>
      <c r="T63" s="91"/>
      <c r="U63" s="92"/>
      <c r="V63" s="43">
        <f t="shared" si="0"/>
        <v>0</v>
      </c>
      <c r="W63" s="36"/>
      <c r="X63" s="87"/>
      <c r="Y63" s="37" t="b">
        <f t="shared" si="1"/>
        <v>1</v>
      </c>
      <c r="Z63" s="84" t="e">
        <f>VLOOKUP($B63,APOIO!$A:$F,5,FALSE)</f>
        <v>#N/A</v>
      </c>
    </row>
    <row r="64" spans="1:26" ht="15" x14ac:dyDescent="0.25">
      <c r="A64" s="36"/>
      <c r="B64" s="37" t="e">
        <f>VLOOKUP($A64,APOIO!$A:$E,1,FALSE)</f>
        <v>#N/A</v>
      </c>
      <c r="C64" s="36"/>
      <c r="D64" s="37" t="e">
        <f>INDEX(APOIO!$D:$D,MATCH(CONCATENATE($B64,$C64),APOIO!$F:$F,0))</f>
        <v>#N/A</v>
      </c>
      <c r="E64" s="36"/>
      <c r="F64" s="37" t="e">
        <f>VLOOKUP($E64,APOIO!$Z:$AC,2,FALSE)</f>
        <v>#N/A</v>
      </c>
      <c r="G64" s="38" t="e">
        <f>VLOOKUP($E64,APOIO!$Z:$AC,4,FALSE)</f>
        <v>#N/A</v>
      </c>
      <c r="H64" s="39"/>
      <c r="I64" s="40" t="e">
        <f>VLOOKUP($H64,APOIO!$W:$X,2,FALSE)</f>
        <v>#N/A</v>
      </c>
      <c r="J64" s="36"/>
      <c r="K64" s="40" t="e">
        <f>VLOOKUP($J64,APOIO!$AE:$AG,2,FALSE)</f>
        <v>#N/A</v>
      </c>
      <c r="L64" s="38" t="e">
        <f>VLOOKUP($J64,APOIO!$AE:$AG,3,FALSE)</f>
        <v>#N/A</v>
      </c>
      <c r="M64" s="36"/>
      <c r="N64" s="37" t="e">
        <f>VLOOKUP($M64,APOIO!$I:$J,2,FALSE)</f>
        <v>#N/A</v>
      </c>
      <c r="O64" s="37"/>
      <c r="P64" s="37"/>
      <c r="Q64" s="37"/>
      <c r="R64" s="37"/>
      <c r="S64" s="41"/>
      <c r="T64" s="91"/>
      <c r="U64" s="92"/>
      <c r="V64" s="43">
        <f t="shared" si="0"/>
        <v>0</v>
      </c>
      <c r="W64" s="36"/>
      <c r="X64" s="87"/>
      <c r="Y64" s="37" t="b">
        <f t="shared" si="1"/>
        <v>1</v>
      </c>
      <c r="Z64" s="84" t="e">
        <f>VLOOKUP($B64,APOIO!$A:$F,5,FALSE)</f>
        <v>#N/A</v>
      </c>
    </row>
    <row r="65" spans="1:26" ht="15" x14ac:dyDescent="0.25">
      <c r="A65" s="36"/>
      <c r="B65" s="37" t="e">
        <f>VLOOKUP($A65,APOIO!$A:$E,1,FALSE)</f>
        <v>#N/A</v>
      </c>
      <c r="C65" s="36"/>
      <c r="D65" s="37" t="e">
        <f>INDEX(APOIO!$D:$D,MATCH(CONCATENATE($B65,$C65),APOIO!$F:$F,0))</f>
        <v>#N/A</v>
      </c>
      <c r="E65" s="36"/>
      <c r="F65" s="37" t="e">
        <f>VLOOKUP($E65,APOIO!$Z:$AC,2,FALSE)</f>
        <v>#N/A</v>
      </c>
      <c r="G65" s="38" t="e">
        <f>VLOOKUP($E65,APOIO!$Z:$AC,4,FALSE)</f>
        <v>#N/A</v>
      </c>
      <c r="H65" s="39"/>
      <c r="I65" s="40" t="e">
        <f>VLOOKUP($H65,APOIO!$W:$X,2,FALSE)</f>
        <v>#N/A</v>
      </c>
      <c r="J65" s="36"/>
      <c r="K65" s="40" t="e">
        <f>VLOOKUP($J65,APOIO!$AE:$AG,2,FALSE)</f>
        <v>#N/A</v>
      </c>
      <c r="L65" s="38" t="e">
        <f>VLOOKUP($J65,APOIO!$AE:$AG,3,FALSE)</f>
        <v>#N/A</v>
      </c>
      <c r="M65" s="36"/>
      <c r="N65" s="37" t="e">
        <f>VLOOKUP($M65,APOIO!$I:$J,2,FALSE)</f>
        <v>#N/A</v>
      </c>
      <c r="O65" s="37"/>
      <c r="P65" s="37"/>
      <c r="Q65" s="37"/>
      <c r="R65" s="37"/>
      <c r="S65" s="41"/>
      <c r="T65" s="91"/>
      <c r="U65" s="92"/>
      <c r="V65" s="43">
        <f t="shared" si="0"/>
        <v>0</v>
      </c>
      <c r="W65" s="36"/>
      <c r="X65" s="87"/>
      <c r="Y65" s="37" t="b">
        <f t="shared" si="1"/>
        <v>1</v>
      </c>
      <c r="Z65" s="84" t="e">
        <f>VLOOKUP($B65,APOIO!$A:$F,5,FALSE)</f>
        <v>#N/A</v>
      </c>
    </row>
    <row r="66" spans="1:26" ht="15" x14ac:dyDescent="0.25">
      <c r="A66" s="36"/>
      <c r="B66" s="37" t="e">
        <f>VLOOKUP($A66,APOIO!$A:$E,1,FALSE)</f>
        <v>#N/A</v>
      </c>
      <c r="C66" s="36"/>
      <c r="D66" s="37" t="e">
        <f>INDEX(APOIO!$D:$D,MATCH(CONCATENATE($B66,$C66),APOIO!$F:$F,0))</f>
        <v>#N/A</v>
      </c>
      <c r="E66" s="36"/>
      <c r="F66" s="37" t="e">
        <f>VLOOKUP($E66,APOIO!$Z:$AC,2,FALSE)</f>
        <v>#N/A</v>
      </c>
      <c r="G66" s="38" t="e">
        <f>VLOOKUP($E66,APOIO!$Z:$AC,4,FALSE)</f>
        <v>#N/A</v>
      </c>
      <c r="H66" s="39"/>
      <c r="I66" s="40" t="e">
        <f>VLOOKUP($H66,APOIO!$W:$X,2,FALSE)</f>
        <v>#N/A</v>
      </c>
      <c r="J66" s="36"/>
      <c r="K66" s="40" t="e">
        <f>VLOOKUP($J66,APOIO!$AE:$AG,2,FALSE)</f>
        <v>#N/A</v>
      </c>
      <c r="L66" s="38" t="e">
        <f>VLOOKUP($J66,APOIO!$AE:$AG,3,FALSE)</f>
        <v>#N/A</v>
      </c>
      <c r="M66" s="36"/>
      <c r="N66" s="37" t="e">
        <f>VLOOKUP($M66,APOIO!$I:$J,2,FALSE)</f>
        <v>#N/A</v>
      </c>
      <c r="O66" s="37"/>
      <c r="P66" s="37"/>
      <c r="Q66" s="37"/>
      <c r="R66" s="37"/>
      <c r="S66" s="41"/>
      <c r="T66" s="91"/>
      <c r="U66" s="92"/>
      <c r="V66" s="43">
        <f t="shared" si="0"/>
        <v>0</v>
      </c>
      <c r="W66" s="36"/>
      <c r="X66" s="87"/>
      <c r="Y66" s="37" t="b">
        <f t="shared" si="1"/>
        <v>1</v>
      </c>
      <c r="Z66" s="84" t="e">
        <f>VLOOKUP($B66,APOIO!$A:$F,5,FALSE)</f>
        <v>#N/A</v>
      </c>
    </row>
    <row r="67" spans="1:26" ht="15" x14ac:dyDescent="0.25">
      <c r="A67" s="36"/>
      <c r="B67" s="37" t="e">
        <f>VLOOKUP($A67,APOIO!$A:$E,1,FALSE)</f>
        <v>#N/A</v>
      </c>
      <c r="C67" s="36"/>
      <c r="D67" s="37" t="e">
        <f>INDEX(APOIO!$D:$D,MATCH(CONCATENATE($B67,$C67),APOIO!$F:$F,0))</f>
        <v>#N/A</v>
      </c>
      <c r="E67" s="36"/>
      <c r="F67" s="37" t="e">
        <f>VLOOKUP($E67,APOIO!$Z:$AC,2,FALSE)</f>
        <v>#N/A</v>
      </c>
      <c r="G67" s="38" t="e">
        <f>VLOOKUP($E67,APOIO!$Z:$AC,4,FALSE)</f>
        <v>#N/A</v>
      </c>
      <c r="H67" s="39"/>
      <c r="I67" s="40" t="e">
        <f>VLOOKUP($H67,APOIO!$W:$X,2,FALSE)</f>
        <v>#N/A</v>
      </c>
      <c r="J67" s="36"/>
      <c r="K67" s="40" t="e">
        <f>VLOOKUP($J67,APOIO!$AE:$AG,2,FALSE)</f>
        <v>#N/A</v>
      </c>
      <c r="L67" s="38" t="e">
        <f>VLOOKUP($J67,APOIO!$AE:$AG,3,FALSE)</f>
        <v>#N/A</v>
      </c>
      <c r="M67" s="36"/>
      <c r="N67" s="37" t="e">
        <f>VLOOKUP($M67,APOIO!$I:$J,2,FALSE)</f>
        <v>#N/A</v>
      </c>
      <c r="O67" s="37"/>
      <c r="P67" s="37"/>
      <c r="Q67" s="37"/>
      <c r="R67" s="37"/>
      <c r="S67" s="41"/>
      <c r="T67" s="91"/>
      <c r="U67" s="92"/>
      <c r="V67" s="43">
        <f t="shared" si="0"/>
        <v>0</v>
      </c>
      <c r="W67" s="36"/>
      <c r="X67" s="87"/>
      <c r="Y67" s="37" t="b">
        <f t="shared" si="1"/>
        <v>1</v>
      </c>
      <c r="Z67" s="84" t="e">
        <f>VLOOKUP($B67,APOIO!$A:$F,5,FALSE)</f>
        <v>#N/A</v>
      </c>
    </row>
    <row r="68" spans="1:26" ht="15" x14ac:dyDescent="0.25">
      <c r="A68" s="36"/>
      <c r="B68" s="37" t="e">
        <f>VLOOKUP($A68,APOIO!$A:$E,1,FALSE)</f>
        <v>#N/A</v>
      </c>
      <c r="C68" s="36"/>
      <c r="D68" s="37" t="e">
        <f>INDEX(APOIO!$D:$D,MATCH(CONCATENATE($B68,$C68),APOIO!$F:$F,0))</f>
        <v>#N/A</v>
      </c>
      <c r="E68" s="36"/>
      <c r="F68" s="37" t="e">
        <f>VLOOKUP($E68,APOIO!$Z:$AC,2,FALSE)</f>
        <v>#N/A</v>
      </c>
      <c r="G68" s="38" t="e">
        <f>VLOOKUP($E68,APOIO!$Z:$AC,4,FALSE)</f>
        <v>#N/A</v>
      </c>
      <c r="H68" s="39"/>
      <c r="I68" s="40" t="e">
        <f>VLOOKUP($H68,APOIO!$W:$X,2,FALSE)</f>
        <v>#N/A</v>
      </c>
      <c r="J68" s="36"/>
      <c r="K68" s="40" t="e">
        <f>VLOOKUP($J68,APOIO!$AE:$AG,2,FALSE)</f>
        <v>#N/A</v>
      </c>
      <c r="L68" s="38" t="e">
        <f>VLOOKUP($J68,APOIO!$AE:$AG,3,FALSE)</f>
        <v>#N/A</v>
      </c>
      <c r="M68" s="36"/>
      <c r="N68" s="37" t="e">
        <f>VLOOKUP($M68,APOIO!$I:$J,2,FALSE)</f>
        <v>#N/A</v>
      </c>
      <c r="O68" s="37"/>
      <c r="P68" s="37"/>
      <c r="Q68" s="37"/>
      <c r="R68" s="37"/>
      <c r="S68" s="41"/>
      <c r="T68" s="91"/>
      <c r="U68" s="92"/>
      <c r="V68" s="43">
        <f t="shared" si="0"/>
        <v>0</v>
      </c>
      <c r="W68" s="36"/>
      <c r="X68" s="87"/>
      <c r="Y68" s="37" t="b">
        <f t="shared" si="1"/>
        <v>1</v>
      </c>
      <c r="Z68" s="84" t="e">
        <f>VLOOKUP($B68,APOIO!$A:$F,5,FALSE)</f>
        <v>#N/A</v>
      </c>
    </row>
    <row r="69" spans="1:26" ht="15" x14ac:dyDescent="0.25">
      <c r="A69" s="36"/>
      <c r="B69" s="37" t="e">
        <f>VLOOKUP($A69,APOIO!$A:$E,1,FALSE)</f>
        <v>#N/A</v>
      </c>
      <c r="C69" s="36"/>
      <c r="D69" s="37" t="e">
        <f>INDEX(APOIO!$D:$D,MATCH(CONCATENATE($B69,$C69),APOIO!$F:$F,0))</f>
        <v>#N/A</v>
      </c>
      <c r="E69" s="36"/>
      <c r="F69" s="37" t="e">
        <f>VLOOKUP($E69,APOIO!$Z:$AC,2,FALSE)</f>
        <v>#N/A</v>
      </c>
      <c r="G69" s="38" t="e">
        <f>VLOOKUP($E69,APOIO!$Z:$AC,4,FALSE)</f>
        <v>#N/A</v>
      </c>
      <c r="H69" s="39"/>
      <c r="I69" s="40" t="e">
        <f>VLOOKUP($H69,APOIO!$W:$X,2,FALSE)</f>
        <v>#N/A</v>
      </c>
      <c r="J69" s="36"/>
      <c r="K69" s="40" t="e">
        <f>VLOOKUP($J69,APOIO!$AE:$AG,2,FALSE)</f>
        <v>#N/A</v>
      </c>
      <c r="L69" s="38" t="e">
        <f>VLOOKUP($J69,APOIO!$AE:$AG,3,FALSE)</f>
        <v>#N/A</v>
      </c>
      <c r="M69" s="36"/>
      <c r="N69" s="37" t="e">
        <f>VLOOKUP($M69,APOIO!$I:$J,2,FALSE)</f>
        <v>#N/A</v>
      </c>
      <c r="O69" s="37"/>
      <c r="P69" s="37"/>
      <c r="Q69" s="37"/>
      <c r="R69" s="37"/>
      <c r="S69" s="41"/>
      <c r="T69" s="91"/>
      <c r="U69" s="92"/>
      <c r="V69" s="43">
        <f t="shared" si="0"/>
        <v>0</v>
      </c>
      <c r="W69" s="36"/>
      <c r="X69" s="87"/>
      <c r="Y69" s="37" t="b">
        <f t="shared" si="1"/>
        <v>1</v>
      </c>
      <c r="Z69" s="84" t="e">
        <f>VLOOKUP($B69,APOIO!$A:$F,5,FALSE)</f>
        <v>#N/A</v>
      </c>
    </row>
    <row r="70" spans="1:26" ht="15" x14ac:dyDescent="0.25">
      <c r="A70" s="36"/>
      <c r="B70" s="37" t="e">
        <f>VLOOKUP($A70,APOIO!$A:$E,1,FALSE)</f>
        <v>#N/A</v>
      </c>
      <c r="C70" s="36"/>
      <c r="D70" s="37" t="e">
        <f>INDEX(APOIO!$D:$D,MATCH(CONCATENATE($B70,$C70),APOIO!$F:$F,0))</f>
        <v>#N/A</v>
      </c>
      <c r="E70" s="36"/>
      <c r="F70" s="37" t="e">
        <f>VLOOKUP($E70,APOIO!$Z:$AC,2,FALSE)</f>
        <v>#N/A</v>
      </c>
      <c r="G70" s="38" t="e">
        <f>VLOOKUP($E70,APOIO!$Z:$AC,4,FALSE)</f>
        <v>#N/A</v>
      </c>
      <c r="H70" s="39"/>
      <c r="I70" s="40" t="e">
        <f>VLOOKUP($H70,APOIO!$W:$X,2,FALSE)</f>
        <v>#N/A</v>
      </c>
      <c r="J70" s="36"/>
      <c r="K70" s="40" t="e">
        <f>VLOOKUP($J70,APOIO!$AE:$AG,2,FALSE)</f>
        <v>#N/A</v>
      </c>
      <c r="L70" s="38" t="e">
        <f>VLOOKUP($J70,APOIO!$AE:$AG,3,FALSE)</f>
        <v>#N/A</v>
      </c>
      <c r="M70" s="36"/>
      <c r="N70" s="37" t="e">
        <f>VLOOKUP($M70,APOIO!$I:$J,2,FALSE)</f>
        <v>#N/A</v>
      </c>
      <c r="O70" s="37"/>
      <c r="P70" s="37"/>
      <c r="Q70" s="37"/>
      <c r="R70" s="37"/>
      <c r="S70" s="41"/>
      <c r="T70" s="91"/>
      <c r="U70" s="92"/>
      <c r="V70" s="43">
        <f t="shared" si="0"/>
        <v>0</v>
      </c>
      <c r="W70" s="36"/>
      <c r="X70" s="87"/>
      <c r="Y70" s="37" t="b">
        <f t="shared" si="1"/>
        <v>1</v>
      </c>
      <c r="Z70" s="84" t="e">
        <f>VLOOKUP($B70,APOIO!$A:$F,5,FALSE)</f>
        <v>#N/A</v>
      </c>
    </row>
    <row r="71" spans="1:26" ht="15" x14ac:dyDescent="0.25">
      <c r="A71" s="36"/>
      <c r="B71" s="37" t="e">
        <f>VLOOKUP($A71,APOIO!$A:$E,1,FALSE)</f>
        <v>#N/A</v>
      </c>
      <c r="C71" s="36"/>
      <c r="D71" s="37" t="e">
        <f>INDEX(APOIO!$D:$D,MATCH(CONCATENATE($B71,$C71),APOIO!$F:$F,0))</f>
        <v>#N/A</v>
      </c>
      <c r="E71" s="36"/>
      <c r="F71" s="37" t="e">
        <f>VLOOKUP($E71,APOIO!$Z:$AC,2,FALSE)</f>
        <v>#N/A</v>
      </c>
      <c r="G71" s="38" t="e">
        <f>VLOOKUP($E71,APOIO!$Z:$AC,4,FALSE)</f>
        <v>#N/A</v>
      </c>
      <c r="H71" s="39"/>
      <c r="I71" s="40" t="e">
        <f>VLOOKUP($H71,APOIO!$W:$X,2,FALSE)</f>
        <v>#N/A</v>
      </c>
      <c r="J71" s="36"/>
      <c r="K71" s="40" t="e">
        <f>VLOOKUP($J71,APOIO!$AE:$AG,2,FALSE)</f>
        <v>#N/A</v>
      </c>
      <c r="L71" s="38" t="e">
        <f>VLOOKUP($J71,APOIO!$AE:$AG,3,FALSE)</f>
        <v>#N/A</v>
      </c>
      <c r="M71" s="36"/>
      <c r="N71" s="37" t="e">
        <f>VLOOKUP($M71,APOIO!$I:$J,2,FALSE)</f>
        <v>#N/A</v>
      </c>
      <c r="O71" s="37"/>
      <c r="P71" s="37"/>
      <c r="Q71" s="37"/>
      <c r="R71" s="37"/>
      <c r="S71" s="41"/>
      <c r="T71" s="91"/>
      <c r="U71" s="92"/>
      <c r="V71" s="43">
        <f t="shared" si="0"/>
        <v>0</v>
      </c>
      <c r="W71" s="36"/>
      <c r="X71" s="87"/>
      <c r="Y71" s="37" t="b">
        <f t="shared" si="1"/>
        <v>1</v>
      </c>
      <c r="Z71" s="84" t="e">
        <f>VLOOKUP($B71,APOIO!$A:$F,5,FALSE)</f>
        <v>#N/A</v>
      </c>
    </row>
    <row r="72" spans="1:26" ht="15" x14ac:dyDescent="0.25">
      <c r="A72" s="36"/>
      <c r="B72" s="37" t="e">
        <f>VLOOKUP($A72,APOIO!$A:$E,1,FALSE)</f>
        <v>#N/A</v>
      </c>
      <c r="C72" s="36"/>
      <c r="D72" s="37" t="e">
        <f>INDEX(APOIO!$D:$D,MATCH(CONCATENATE($B72,$C72),APOIO!$F:$F,0))</f>
        <v>#N/A</v>
      </c>
      <c r="E72" s="36"/>
      <c r="F72" s="37" t="e">
        <f>VLOOKUP($E72,APOIO!$Z:$AC,2,FALSE)</f>
        <v>#N/A</v>
      </c>
      <c r="G72" s="38" t="e">
        <f>VLOOKUP($E72,APOIO!$Z:$AC,4,FALSE)</f>
        <v>#N/A</v>
      </c>
      <c r="H72" s="39"/>
      <c r="I72" s="40" t="e">
        <f>VLOOKUP($H72,APOIO!$W:$X,2,FALSE)</f>
        <v>#N/A</v>
      </c>
      <c r="J72" s="36"/>
      <c r="K72" s="40" t="e">
        <f>VLOOKUP($J72,APOIO!$AE:$AG,2,FALSE)</f>
        <v>#N/A</v>
      </c>
      <c r="L72" s="38" t="e">
        <f>VLOOKUP($J72,APOIO!$AE:$AG,3,FALSE)</f>
        <v>#N/A</v>
      </c>
      <c r="M72" s="36"/>
      <c r="N72" s="37" t="e">
        <f>VLOOKUP($M72,APOIO!$I:$J,2,FALSE)</f>
        <v>#N/A</v>
      </c>
      <c r="O72" s="37"/>
      <c r="P72" s="37"/>
      <c r="Q72" s="37"/>
      <c r="R72" s="37"/>
      <c r="S72" s="41"/>
      <c r="T72" s="91"/>
      <c r="U72" s="92"/>
      <c r="V72" s="43">
        <f t="shared" si="0"/>
        <v>0</v>
      </c>
      <c r="W72" s="36"/>
      <c r="X72" s="87"/>
      <c r="Y72" s="37" t="b">
        <f t="shared" si="1"/>
        <v>1</v>
      </c>
      <c r="Z72" s="84" t="e">
        <f>VLOOKUP($B72,APOIO!$A:$F,5,FALSE)</f>
        <v>#N/A</v>
      </c>
    </row>
    <row r="73" spans="1:26" ht="15" x14ac:dyDescent="0.25">
      <c r="A73" s="36"/>
      <c r="B73" s="37" t="e">
        <f>VLOOKUP($A73,APOIO!$A:$E,1,FALSE)</f>
        <v>#N/A</v>
      </c>
      <c r="C73" s="36"/>
      <c r="D73" s="37" t="e">
        <f>INDEX(APOIO!$D:$D,MATCH(CONCATENATE($B73,$C73),APOIO!$F:$F,0))</f>
        <v>#N/A</v>
      </c>
      <c r="E73" s="36"/>
      <c r="F73" s="37" t="e">
        <f>VLOOKUP($E73,APOIO!$Z:$AC,2,FALSE)</f>
        <v>#N/A</v>
      </c>
      <c r="G73" s="38" t="e">
        <f>VLOOKUP($E73,APOIO!$Z:$AC,4,FALSE)</f>
        <v>#N/A</v>
      </c>
      <c r="H73" s="39"/>
      <c r="I73" s="40" t="e">
        <f>VLOOKUP($H73,APOIO!$W:$X,2,FALSE)</f>
        <v>#N/A</v>
      </c>
      <c r="J73" s="36"/>
      <c r="K73" s="40" t="e">
        <f>VLOOKUP($J73,APOIO!$AE:$AG,2,FALSE)</f>
        <v>#N/A</v>
      </c>
      <c r="L73" s="38" t="e">
        <f>VLOOKUP($J73,APOIO!$AE:$AG,3,FALSE)</f>
        <v>#N/A</v>
      </c>
      <c r="M73" s="36"/>
      <c r="N73" s="37" t="e">
        <f>VLOOKUP($M73,APOIO!$I:$J,2,FALSE)</f>
        <v>#N/A</v>
      </c>
      <c r="O73" s="37"/>
      <c r="P73" s="37"/>
      <c r="Q73" s="37"/>
      <c r="R73" s="37"/>
      <c r="S73" s="41"/>
      <c r="T73" s="91"/>
      <c r="U73" s="92"/>
      <c r="V73" s="43">
        <f t="shared" si="0"/>
        <v>0</v>
      </c>
      <c r="W73" s="36"/>
      <c r="X73" s="87"/>
      <c r="Y73" s="37" t="b">
        <f t="shared" si="1"/>
        <v>1</v>
      </c>
      <c r="Z73" s="84" t="e">
        <f>VLOOKUP($B73,APOIO!$A:$F,5,FALSE)</f>
        <v>#N/A</v>
      </c>
    </row>
    <row r="74" spans="1:26" ht="15" x14ac:dyDescent="0.25">
      <c r="A74" s="36"/>
      <c r="B74" s="37" t="e">
        <f>VLOOKUP($A74,APOIO!$A:$E,1,FALSE)</f>
        <v>#N/A</v>
      </c>
      <c r="C74" s="36"/>
      <c r="D74" s="37" t="e">
        <f>INDEX(APOIO!$D:$D,MATCH(CONCATENATE($B74,$C74),APOIO!$F:$F,0))</f>
        <v>#N/A</v>
      </c>
      <c r="E74" s="36"/>
      <c r="F74" s="37" t="e">
        <f>VLOOKUP($E74,APOIO!$Z:$AC,2,FALSE)</f>
        <v>#N/A</v>
      </c>
      <c r="G74" s="38" t="e">
        <f>VLOOKUP($E74,APOIO!$Z:$AC,4,FALSE)</f>
        <v>#N/A</v>
      </c>
      <c r="H74" s="39"/>
      <c r="I74" s="40" t="e">
        <f>VLOOKUP($H74,APOIO!$W:$X,2,FALSE)</f>
        <v>#N/A</v>
      </c>
      <c r="J74" s="36"/>
      <c r="K74" s="40" t="e">
        <f>VLOOKUP($J74,APOIO!$AE:$AG,2,FALSE)</f>
        <v>#N/A</v>
      </c>
      <c r="L74" s="38" t="e">
        <f>VLOOKUP($J74,APOIO!$AE:$AG,3,FALSE)</f>
        <v>#N/A</v>
      </c>
      <c r="M74" s="36"/>
      <c r="N74" s="37" t="e">
        <f>VLOOKUP($M74,APOIO!$I:$J,2,FALSE)</f>
        <v>#N/A</v>
      </c>
      <c r="O74" s="37"/>
      <c r="P74" s="37"/>
      <c r="Q74" s="37"/>
      <c r="R74" s="37"/>
      <c r="S74" s="41"/>
      <c r="T74" s="91"/>
      <c r="U74" s="92"/>
      <c r="V74" s="43">
        <f t="shared" ref="V74:V137" si="2">T74*U74</f>
        <v>0</v>
      </c>
      <c r="W74" s="36"/>
      <c r="X74" s="87"/>
      <c r="Y74" s="37" t="b">
        <f t="shared" ref="Y74:Y137" si="3">ISERROR($B74)</f>
        <v>1</v>
      </c>
      <c r="Z74" s="84" t="e">
        <f>VLOOKUP($B74,APOIO!$A:$F,5,FALSE)</f>
        <v>#N/A</v>
      </c>
    </row>
    <row r="75" spans="1:26" ht="15" x14ac:dyDescent="0.25">
      <c r="A75" s="36"/>
      <c r="B75" s="37" t="e">
        <f>VLOOKUP($A75,APOIO!$A:$E,1,FALSE)</f>
        <v>#N/A</v>
      </c>
      <c r="C75" s="36"/>
      <c r="D75" s="37" t="e">
        <f>INDEX(APOIO!$D:$D,MATCH(CONCATENATE($B75,$C75),APOIO!$F:$F,0))</f>
        <v>#N/A</v>
      </c>
      <c r="E75" s="36"/>
      <c r="F75" s="37" t="e">
        <f>VLOOKUP($E75,APOIO!$Z:$AC,2,FALSE)</f>
        <v>#N/A</v>
      </c>
      <c r="G75" s="38" t="e">
        <f>VLOOKUP($E75,APOIO!$Z:$AC,4,FALSE)</f>
        <v>#N/A</v>
      </c>
      <c r="H75" s="39"/>
      <c r="I75" s="40" t="e">
        <f>VLOOKUP($H75,APOIO!$W:$X,2,FALSE)</f>
        <v>#N/A</v>
      </c>
      <c r="J75" s="36"/>
      <c r="K75" s="40" t="e">
        <f>VLOOKUP($J75,APOIO!$AE:$AG,2,FALSE)</f>
        <v>#N/A</v>
      </c>
      <c r="L75" s="38" t="e">
        <f>VLOOKUP($J75,APOIO!$AE:$AG,3,FALSE)</f>
        <v>#N/A</v>
      </c>
      <c r="M75" s="36"/>
      <c r="N75" s="37" t="e">
        <f>VLOOKUP($M75,APOIO!$I:$J,2,FALSE)</f>
        <v>#N/A</v>
      </c>
      <c r="O75" s="37"/>
      <c r="P75" s="37"/>
      <c r="Q75" s="37"/>
      <c r="R75" s="37"/>
      <c r="S75" s="41"/>
      <c r="T75" s="91"/>
      <c r="U75" s="92"/>
      <c r="V75" s="43">
        <f t="shared" si="2"/>
        <v>0</v>
      </c>
      <c r="W75" s="36"/>
      <c r="X75" s="87"/>
      <c r="Y75" s="37" t="b">
        <f t="shared" si="3"/>
        <v>1</v>
      </c>
      <c r="Z75" s="84" t="e">
        <f>VLOOKUP($B75,APOIO!$A:$F,5,FALSE)</f>
        <v>#N/A</v>
      </c>
    </row>
    <row r="76" spans="1:26" ht="15" x14ac:dyDescent="0.25">
      <c r="A76" s="36"/>
      <c r="B76" s="37" t="e">
        <f>VLOOKUP($A76,APOIO!$A:$E,1,FALSE)</f>
        <v>#N/A</v>
      </c>
      <c r="C76" s="36"/>
      <c r="D76" s="37" t="e">
        <f>INDEX(APOIO!$D:$D,MATCH(CONCATENATE($B76,$C76),APOIO!$F:$F,0))</f>
        <v>#N/A</v>
      </c>
      <c r="E76" s="36"/>
      <c r="F76" s="37" t="e">
        <f>VLOOKUP($E76,APOIO!$Z:$AC,2,FALSE)</f>
        <v>#N/A</v>
      </c>
      <c r="G76" s="38" t="e">
        <f>VLOOKUP($E76,APOIO!$Z:$AC,4,FALSE)</f>
        <v>#N/A</v>
      </c>
      <c r="H76" s="39"/>
      <c r="I76" s="40" t="e">
        <f>VLOOKUP($H76,APOIO!$W:$X,2,FALSE)</f>
        <v>#N/A</v>
      </c>
      <c r="J76" s="36"/>
      <c r="K76" s="40" t="e">
        <f>VLOOKUP($J76,APOIO!$AE:$AG,2,FALSE)</f>
        <v>#N/A</v>
      </c>
      <c r="L76" s="38" t="e">
        <f>VLOOKUP($J76,APOIO!$AE:$AG,3,FALSE)</f>
        <v>#N/A</v>
      </c>
      <c r="M76" s="36"/>
      <c r="N76" s="37" t="e">
        <f>VLOOKUP($M76,APOIO!$I:$J,2,FALSE)</f>
        <v>#N/A</v>
      </c>
      <c r="O76" s="37"/>
      <c r="P76" s="37"/>
      <c r="Q76" s="37"/>
      <c r="R76" s="37"/>
      <c r="S76" s="41"/>
      <c r="T76" s="91"/>
      <c r="U76" s="92"/>
      <c r="V76" s="43">
        <f t="shared" si="2"/>
        <v>0</v>
      </c>
      <c r="W76" s="36"/>
      <c r="X76" s="87"/>
      <c r="Y76" s="37" t="b">
        <f t="shared" si="3"/>
        <v>1</v>
      </c>
      <c r="Z76" s="84" t="e">
        <f>VLOOKUP($B76,APOIO!$A:$F,5,FALSE)</f>
        <v>#N/A</v>
      </c>
    </row>
    <row r="77" spans="1:26" ht="15" x14ac:dyDescent="0.25">
      <c r="A77" s="36"/>
      <c r="B77" s="37" t="e">
        <f>VLOOKUP($A77,APOIO!$A:$E,1,FALSE)</f>
        <v>#N/A</v>
      </c>
      <c r="C77" s="36"/>
      <c r="D77" s="37" t="e">
        <f>INDEX(APOIO!$D:$D,MATCH(CONCATENATE($B77,$C77),APOIO!$F:$F,0))</f>
        <v>#N/A</v>
      </c>
      <c r="E77" s="36"/>
      <c r="F77" s="37" t="e">
        <f>VLOOKUP($E77,APOIO!$Z:$AC,2,FALSE)</f>
        <v>#N/A</v>
      </c>
      <c r="G77" s="38" t="e">
        <f>VLOOKUP($E77,APOIO!$Z:$AC,4,FALSE)</f>
        <v>#N/A</v>
      </c>
      <c r="H77" s="39"/>
      <c r="I77" s="40" t="e">
        <f>VLOOKUP($H77,APOIO!$W:$X,2,FALSE)</f>
        <v>#N/A</v>
      </c>
      <c r="J77" s="36"/>
      <c r="K77" s="40" t="e">
        <f>VLOOKUP($J77,APOIO!$AE:$AG,2,FALSE)</f>
        <v>#N/A</v>
      </c>
      <c r="L77" s="38" t="e">
        <f>VLOOKUP($J77,APOIO!$AE:$AG,3,FALSE)</f>
        <v>#N/A</v>
      </c>
      <c r="M77" s="36"/>
      <c r="N77" s="37" t="e">
        <f>VLOOKUP($M77,APOIO!$I:$J,2,FALSE)</f>
        <v>#N/A</v>
      </c>
      <c r="O77" s="37"/>
      <c r="P77" s="37"/>
      <c r="Q77" s="37"/>
      <c r="R77" s="37"/>
      <c r="S77" s="41"/>
      <c r="T77" s="91"/>
      <c r="U77" s="92"/>
      <c r="V77" s="43">
        <f t="shared" si="2"/>
        <v>0</v>
      </c>
      <c r="W77" s="36"/>
      <c r="X77" s="87"/>
      <c r="Y77" s="37" t="b">
        <f t="shared" si="3"/>
        <v>1</v>
      </c>
      <c r="Z77" s="84" t="e">
        <f>VLOOKUP($B77,APOIO!$A:$F,5,FALSE)</f>
        <v>#N/A</v>
      </c>
    </row>
    <row r="78" spans="1:26" ht="15" x14ac:dyDescent="0.25">
      <c r="A78" s="36"/>
      <c r="B78" s="37" t="e">
        <f>VLOOKUP($A78,APOIO!$A:$E,1,FALSE)</f>
        <v>#N/A</v>
      </c>
      <c r="C78" s="36"/>
      <c r="D78" s="37" t="e">
        <f>INDEX(APOIO!$D:$D,MATCH(CONCATENATE($B78,$C78),APOIO!$F:$F,0))</f>
        <v>#N/A</v>
      </c>
      <c r="E78" s="36"/>
      <c r="F78" s="37" t="e">
        <f>VLOOKUP($E78,APOIO!$Z:$AC,2,FALSE)</f>
        <v>#N/A</v>
      </c>
      <c r="G78" s="38" t="e">
        <f>VLOOKUP($E78,APOIO!$Z:$AC,4,FALSE)</f>
        <v>#N/A</v>
      </c>
      <c r="H78" s="39"/>
      <c r="I78" s="40" t="e">
        <f>VLOOKUP($H78,APOIO!$W:$X,2,FALSE)</f>
        <v>#N/A</v>
      </c>
      <c r="J78" s="36"/>
      <c r="K78" s="40" t="e">
        <f>VLOOKUP($J78,APOIO!$AE:$AG,2,FALSE)</f>
        <v>#N/A</v>
      </c>
      <c r="L78" s="38" t="e">
        <f>VLOOKUP($J78,APOIO!$AE:$AG,3,FALSE)</f>
        <v>#N/A</v>
      </c>
      <c r="M78" s="36"/>
      <c r="N78" s="37" t="e">
        <f>VLOOKUP($M78,APOIO!$I:$J,2,FALSE)</f>
        <v>#N/A</v>
      </c>
      <c r="O78" s="37"/>
      <c r="P78" s="37"/>
      <c r="Q78" s="37"/>
      <c r="R78" s="37"/>
      <c r="S78" s="41"/>
      <c r="T78" s="91"/>
      <c r="U78" s="92"/>
      <c r="V78" s="43">
        <f t="shared" si="2"/>
        <v>0</v>
      </c>
      <c r="W78" s="36"/>
      <c r="X78" s="87"/>
      <c r="Y78" s="37" t="b">
        <f t="shared" si="3"/>
        <v>1</v>
      </c>
      <c r="Z78" s="84" t="e">
        <f>VLOOKUP($B78,APOIO!$A:$F,5,FALSE)</f>
        <v>#N/A</v>
      </c>
    </row>
    <row r="79" spans="1:26" ht="15" x14ac:dyDescent="0.25">
      <c r="A79" s="36"/>
      <c r="B79" s="37" t="e">
        <f>VLOOKUP($A79,APOIO!$A:$E,1,FALSE)</f>
        <v>#N/A</v>
      </c>
      <c r="C79" s="36"/>
      <c r="D79" s="37" t="e">
        <f>INDEX(APOIO!$D:$D,MATCH(CONCATENATE($B79,$C79),APOIO!$F:$F,0))</f>
        <v>#N/A</v>
      </c>
      <c r="E79" s="36"/>
      <c r="F79" s="37" t="e">
        <f>VLOOKUP($E79,APOIO!$Z:$AC,2,FALSE)</f>
        <v>#N/A</v>
      </c>
      <c r="G79" s="38" t="e">
        <f>VLOOKUP($E79,APOIO!$Z:$AC,4,FALSE)</f>
        <v>#N/A</v>
      </c>
      <c r="H79" s="39"/>
      <c r="I79" s="40" t="e">
        <f>VLOOKUP($H79,APOIO!$W:$X,2,FALSE)</f>
        <v>#N/A</v>
      </c>
      <c r="J79" s="36"/>
      <c r="K79" s="40" t="e">
        <f>VLOOKUP($J79,APOIO!$AE:$AG,2,FALSE)</f>
        <v>#N/A</v>
      </c>
      <c r="L79" s="38" t="e">
        <f>VLOOKUP($J79,APOIO!$AE:$AG,3,FALSE)</f>
        <v>#N/A</v>
      </c>
      <c r="M79" s="36"/>
      <c r="N79" s="37" t="e">
        <f>VLOOKUP($M79,APOIO!$I:$J,2,FALSE)</f>
        <v>#N/A</v>
      </c>
      <c r="O79" s="37"/>
      <c r="P79" s="37"/>
      <c r="Q79" s="37"/>
      <c r="R79" s="37"/>
      <c r="S79" s="41"/>
      <c r="T79" s="91"/>
      <c r="U79" s="92"/>
      <c r="V79" s="43">
        <f t="shared" si="2"/>
        <v>0</v>
      </c>
      <c r="W79" s="36"/>
      <c r="X79" s="87"/>
      <c r="Y79" s="37" t="b">
        <f t="shared" si="3"/>
        <v>1</v>
      </c>
      <c r="Z79" s="84" t="e">
        <f>VLOOKUP($B79,APOIO!$A:$F,5,FALSE)</f>
        <v>#N/A</v>
      </c>
    </row>
    <row r="80" spans="1:26" ht="15" x14ac:dyDescent="0.25">
      <c r="A80" s="36"/>
      <c r="B80" s="37" t="e">
        <f>VLOOKUP($A80,APOIO!$A:$E,1,FALSE)</f>
        <v>#N/A</v>
      </c>
      <c r="C80" s="36"/>
      <c r="D80" s="37" t="e">
        <f>INDEX(APOIO!$D:$D,MATCH(CONCATENATE($B80,$C80),APOIO!$F:$F,0))</f>
        <v>#N/A</v>
      </c>
      <c r="E80" s="36"/>
      <c r="F80" s="37" t="e">
        <f>VLOOKUP($E80,APOIO!$Z:$AC,2,FALSE)</f>
        <v>#N/A</v>
      </c>
      <c r="G80" s="38" t="e">
        <f>VLOOKUP($E80,APOIO!$Z:$AC,4,FALSE)</f>
        <v>#N/A</v>
      </c>
      <c r="H80" s="39"/>
      <c r="I80" s="40" t="e">
        <f>VLOOKUP($H80,APOIO!$W:$X,2,FALSE)</f>
        <v>#N/A</v>
      </c>
      <c r="J80" s="36"/>
      <c r="K80" s="40" t="e">
        <f>VLOOKUP($J80,APOIO!$AE:$AG,2,FALSE)</f>
        <v>#N/A</v>
      </c>
      <c r="L80" s="38" t="e">
        <f>VLOOKUP($J80,APOIO!$AE:$AG,3,FALSE)</f>
        <v>#N/A</v>
      </c>
      <c r="M80" s="36"/>
      <c r="N80" s="37" t="e">
        <f>VLOOKUP($M80,APOIO!$I:$J,2,FALSE)</f>
        <v>#N/A</v>
      </c>
      <c r="O80" s="37"/>
      <c r="P80" s="37"/>
      <c r="Q80" s="37"/>
      <c r="R80" s="37"/>
      <c r="S80" s="41"/>
      <c r="T80" s="91"/>
      <c r="U80" s="92"/>
      <c r="V80" s="43">
        <f t="shared" si="2"/>
        <v>0</v>
      </c>
      <c r="W80" s="36"/>
      <c r="X80" s="87"/>
      <c r="Y80" s="37" t="b">
        <f t="shared" si="3"/>
        <v>1</v>
      </c>
      <c r="Z80" s="84" t="e">
        <f>VLOOKUP($B80,APOIO!$A:$F,5,FALSE)</f>
        <v>#N/A</v>
      </c>
    </row>
    <row r="81" spans="1:26" ht="15" x14ac:dyDescent="0.25">
      <c r="A81" s="36"/>
      <c r="B81" s="37" t="e">
        <f>VLOOKUP($A81,APOIO!$A:$E,1,FALSE)</f>
        <v>#N/A</v>
      </c>
      <c r="C81" s="36"/>
      <c r="D81" s="37" t="e">
        <f>INDEX(APOIO!$D:$D,MATCH(CONCATENATE($B81,$C81),APOIO!$F:$F,0))</f>
        <v>#N/A</v>
      </c>
      <c r="E81" s="36"/>
      <c r="F81" s="37" t="e">
        <f>VLOOKUP($E81,APOIO!$Z:$AC,2,FALSE)</f>
        <v>#N/A</v>
      </c>
      <c r="G81" s="38" t="e">
        <f>VLOOKUP($E81,APOIO!$Z:$AC,4,FALSE)</f>
        <v>#N/A</v>
      </c>
      <c r="H81" s="39"/>
      <c r="I81" s="40" t="e">
        <f>VLOOKUP($H81,APOIO!$W:$X,2,FALSE)</f>
        <v>#N/A</v>
      </c>
      <c r="J81" s="36"/>
      <c r="K81" s="40" t="e">
        <f>VLOOKUP($J81,APOIO!$AE:$AG,2,FALSE)</f>
        <v>#N/A</v>
      </c>
      <c r="L81" s="38" t="e">
        <f>VLOOKUP($J81,APOIO!$AE:$AG,3,FALSE)</f>
        <v>#N/A</v>
      </c>
      <c r="M81" s="36"/>
      <c r="N81" s="37" t="e">
        <f>VLOOKUP($M81,APOIO!$I:$J,2,FALSE)</f>
        <v>#N/A</v>
      </c>
      <c r="O81" s="37"/>
      <c r="P81" s="37"/>
      <c r="Q81" s="37"/>
      <c r="R81" s="37"/>
      <c r="S81" s="41"/>
      <c r="T81" s="91"/>
      <c r="U81" s="92"/>
      <c r="V81" s="43">
        <f t="shared" si="2"/>
        <v>0</v>
      </c>
      <c r="W81" s="36"/>
      <c r="X81" s="87"/>
      <c r="Y81" s="37" t="b">
        <f t="shared" si="3"/>
        <v>1</v>
      </c>
      <c r="Z81" s="84" t="e">
        <f>VLOOKUP($B81,APOIO!$A:$F,5,FALSE)</f>
        <v>#N/A</v>
      </c>
    </row>
    <row r="82" spans="1:26" ht="15" x14ac:dyDescent="0.25">
      <c r="A82" s="36"/>
      <c r="B82" s="37" t="e">
        <f>VLOOKUP($A82,APOIO!$A:$E,1,FALSE)</f>
        <v>#N/A</v>
      </c>
      <c r="C82" s="36"/>
      <c r="D82" s="37" t="e">
        <f>INDEX(APOIO!$D:$D,MATCH(CONCATENATE($B82,$C82),APOIO!$F:$F,0))</f>
        <v>#N/A</v>
      </c>
      <c r="E82" s="36"/>
      <c r="F82" s="37" t="e">
        <f>VLOOKUP($E82,APOIO!$Z:$AC,2,FALSE)</f>
        <v>#N/A</v>
      </c>
      <c r="G82" s="38" t="e">
        <f>VLOOKUP($E82,APOIO!$Z:$AC,4,FALSE)</f>
        <v>#N/A</v>
      </c>
      <c r="H82" s="39"/>
      <c r="I82" s="40" t="e">
        <f>VLOOKUP($H82,APOIO!$W:$X,2,FALSE)</f>
        <v>#N/A</v>
      </c>
      <c r="J82" s="36"/>
      <c r="K82" s="40" t="e">
        <f>VLOOKUP($J82,APOIO!$AE:$AG,2,FALSE)</f>
        <v>#N/A</v>
      </c>
      <c r="L82" s="38" t="e">
        <f>VLOOKUP($J82,APOIO!$AE:$AG,3,FALSE)</f>
        <v>#N/A</v>
      </c>
      <c r="M82" s="36"/>
      <c r="N82" s="37" t="e">
        <f>VLOOKUP($M82,APOIO!$I:$J,2,FALSE)</f>
        <v>#N/A</v>
      </c>
      <c r="O82" s="37"/>
      <c r="P82" s="37"/>
      <c r="Q82" s="37"/>
      <c r="R82" s="37"/>
      <c r="S82" s="41"/>
      <c r="T82" s="91"/>
      <c r="U82" s="92"/>
      <c r="V82" s="43">
        <f t="shared" si="2"/>
        <v>0</v>
      </c>
      <c r="W82" s="36"/>
      <c r="X82" s="87"/>
      <c r="Y82" s="37" t="b">
        <f t="shared" si="3"/>
        <v>1</v>
      </c>
      <c r="Z82" s="84" t="e">
        <f>VLOOKUP($B82,APOIO!$A:$F,5,FALSE)</f>
        <v>#N/A</v>
      </c>
    </row>
    <row r="83" spans="1:26" ht="15" x14ac:dyDescent="0.25">
      <c r="A83" s="36"/>
      <c r="B83" s="37" t="e">
        <f>VLOOKUP($A83,APOIO!$A:$E,1,FALSE)</f>
        <v>#N/A</v>
      </c>
      <c r="C83" s="36"/>
      <c r="D83" s="37" t="e">
        <f>INDEX(APOIO!$D:$D,MATCH(CONCATENATE($B83,$C83),APOIO!$F:$F,0))</f>
        <v>#N/A</v>
      </c>
      <c r="E83" s="36"/>
      <c r="F83" s="37" t="e">
        <f>VLOOKUP($E83,APOIO!$Z:$AC,2,FALSE)</f>
        <v>#N/A</v>
      </c>
      <c r="G83" s="38" t="e">
        <f>VLOOKUP($E83,APOIO!$Z:$AC,4,FALSE)</f>
        <v>#N/A</v>
      </c>
      <c r="H83" s="39"/>
      <c r="I83" s="40" t="e">
        <f>VLOOKUP($H83,APOIO!$W:$X,2,FALSE)</f>
        <v>#N/A</v>
      </c>
      <c r="J83" s="36"/>
      <c r="K83" s="40" t="e">
        <f>VLOOKUP($J83,APOIO!$AE:$AG,2,FALSE)</f>
        <v>#N/A</v>
      </c>
      <c r="L83" s="38" t="e">
        <f>VLOOKUP($J83,APOIO!$AE:$AG,3,FALSE)</f>
        <v>#N/A</v>
      </c>
      <c r="M83" s="36"/>
      <c r="N83" s="37" t="e">
        <f>VLOOKUP($M83,APOIO!$I:$J,2,FALSE)</f>
        <v>#N/A</v>
      </c>
      <c r="O83" s="37"/>
      <c r="P83" s="37"/>
      <c r="Q83" s="37"/>
      <c r="R83" s="37"/>
      <c r="S83" s="41"/>
      <c r="T83" s="91"/>
      <c r="U83" s="92"/>
      <c r="V83" s="43">
        <f t="shared" si="2"/>
        <v>0</v>
      </c>
      <c r="W83" s="36"/>
      <c r="X83" s="87"/>
      <c r="Y83" s="37" t="b">
        <f t="shared" si="3"/>
        <v>1</v>
      </c>
      <c r="Z83" s="84" t="e">
        <f>VLOOKUP($B83,APOIO!$A:$F,5,FALSE)</f>
        <v>#N/A</v>
      </c>
    </row>
    <row r="84" spans="1:26" ht="15" x14ac:dyDescent="0.25">
      <c r="A84" s="36"/>
      <c r="B84" s="37" t="e">
        <f>VLOOKUP($A84,APOIO!$A:$E,1,FALSE)</f>
        <v>#N/A</v>
      </c>
      <c r="C84" s="36"/>
      <c r="D84" s="37" t="e">
        <f>INDEX(APOIO!$D:$D,MATCH(CONCATENATE($B84,$C84),APOIO!$F:$F,0))</f>
        <v>#N/A</v>
      </c>
      <c r="E84" s="36"/>
      <c r="F84" s="37" t="e">
        <f>VLOOKUP($E84,APOIO!$Z:$AC,2,FALSE)</f>
        <v>#N/A</v>
      </c>
      <c r="G84" s="38" t="e">
        <f>VLOOKUP($E84,APOIO!$Z:$AC,4,FALSE)</f>
        <v>#N/A</v>
      </c>
      <c r="H84" s="39"/>
      <c r="I84" s="40" t="e">
        <f>VLOOKUP($H84,APOIO!$W:$X,2,FALSE)</f>
        <v>#N/A</v>
      </c>
      <c r="J84" s="36"/>
      <c r="K84" s="40" t="e">
        <f>VLOOKUP($J84,APOIO!$AE:$AG,2,FALSE)</f>
        <v>#N/A</v>
      </c>
      <c r="L84" s="38" t="e">
        <f>VLOOKUP($J84,APOIO!$AE:$AG,3,FALSE)</f>
        <v>#N/A</v>
      </c>
      <c r="M84" s="36"/>
      <c r="N84" s="37" t="e">
        <f>VLOOKUP($M84,APOIO!$I:$J,2,FALSE)</f>
        <v>#N/A</v>
      </c>
      <c r="O84" s="37"/>
      <c r="P84" s="37"/>
      <c r="Q84" s="37"/>
      <c r="R84" s="37"/>
      <c r="S84" s="41"/>
      <c r="T84" s="91"/>
      <c r="U84" s="92"/>
      <c r="V84" s="43">
        <f t="shared" si="2"/>
        <v>0</v>
      </c>
      <c r="W84" s="36"/>
      <c r="X84" s="87"/>
      <c r="Y84" s="37" t="b">
        <f t="shared" si="3"/>
        <v>1</v>
      </c>
      <c r="Z84" s="84" t="e">
        <f>VLOOKUP($B84,APOIO!$A:$F,5,FALSE)</f>
        <v>#N/A</v>
      </c>
    </row>
    <row r="85" spans="1:26" ht="15" x14ac:dyDescent="0.25">
      <c r="A85" s="36"/>
      <c r="B85" s="37" t="e">
        <f>VLOOKUP($A85,APOIO!$A:$E,1,FALSE)</f>
        <v>#N/A</v>
      </c>
      <c r="C85" s="36"/>
      <c r="D85" s="37" t="e">
        <f>INDEX(APOIO!$D:$D,MATCH(CONCATENATE($B85,$C85),APOIO!$F:$F,0))</f>
        <v>#N/A</v>
      </c>
      <c r="E85" s="36"/>
      <c r="F85" s="37" t="e">
        <f>VLOOKUP($E85,APOIO!$Z:$AC,2,FALSE)</f>
        <v>#N/A</v>
      </c>
      <c r="G85" s="38" t="e">
        <f>VLOOKUP($E85,APOIO!$Z:$AC,4,FALSE)</f>
        <v>#N/A</v>
      </c>
      <c r="H85" s="39"/>
      <c r="I85" s="40" t="e">
        <f>VLOOKUP($H85,APOIO!$W:$X,2,FALSE)</f>
        <v>#N/A</v>
      </c>
      <c r="J85" s="36"/>
      <c r="K85" s="40" t="e">
        <f>VLOOKUP($J85,APOIO!$AE:$AG,2,FALSE)</f>
        <v>#N/A</v>
      </c>
      <c r="L85" s="38" t="e">
        <f>VLOOKUP($J85,APOIO!$AE:$AG,3,FALSE)</f>
        <v>#N/A</v>
      </c>
      <c r="M85" s="36"/>
      <c r="N85" s="37" t="e">
        <f>VLOOKUP($M85,APOIO!$I:$J,2,FALSE)</f>
        <v>#N/A</v>
      </c>
      <c r="O85" s="37"/>
      <c r="P85" s="37"/>
      <c r="Q85" s="37"/>
      <c r="R85" s="37"/>
      <c r="S85" s="41"/>
      <c r="T85" s="91"/>
      <c r="U85" s="92"/>
      <c r="V85" s="43">
        <f t="shared" si="2"/>
        <v>0</v>
      </c>
      <c r="W85" s="36"/>
      <c r="X85" s="87"/>
      <c r="Y85" s="37" t="b">
        <f t="shared" si="3"/>
        <v>1</v>
      </c>
      <c r="Z85" s="84" t="e">
        <f>VLOOKUP($B85,APOIO!$A:$F,5,FALSE)</f>
        <v>#N/A</v>
      </c>
    </row>
    <row r="86" spans="1:26" ht="15" x14ac:dyDescent="0.25">
      <c r="A86" s="36"/>
      <c r="B86" s="37" t="e">
        <f>VLOOKUP($A86,APOIO!$A:$E,1,FALSE)</f>
        <v>#N/A</v>
      </c>
      <c r="C86" s="36"/>
      <c r="D86" s="37" t="e">
        <f>INDEX(APOIO!$D:$D,MATCH(CONCATENATE($B86,$C86),APOIO!$F:$F,0))</f>
        <v>#N/A</v>
      </c>
      <c r="E86" s="36"/>
      <c r="F86" s="37" t="e">
        <f>VLOOKUP($E86,APOIO!$Z:$AC,2,FALSE)</f>
        <v>#N/A</v>
      </c>
      <c r="G86" s="38" t="e">
        <f>VLOOKUP($E86,APOIO!$Z:$AC,4,FALSE)</f>
        <v>#N/A</v>
      </c>
      <c r="H86" s="39"/>
      <c r="I86" s="40" t="e">
        <f>VLOOKUP($H86,APOIO!$W:$X,2,FALSE)</f>
        <v>#N/A</v>
      </c>
      <c r="J86" s="36"/>
      <c r="K86" s="40" t="e">
        <f>VLOOKUP($J86,APOIO!$AE:$AG,2,FALSE)</f>
        <v>#N/A</v>
      </c>
      <c r="L86" s="38" t="e">
        <f>VLOOKUP($J86,APOIO!$AE:$AG,3,FALSE)</f>
        <v>#N/A</v>
      </c>
      <c r="M86" s="36"/>
      <c r="N86" s="37" t="e">
        <f>VLOOKUP($M86,APOIO!$I:$J,2,FALSE)</f>
        <v>#N/A</v>
      </c>
      <c r="O86" s="37"/>
      <c r="P86" s="37"/>
      <c r="Q86" s="37"/>
      <c r="R86" s="37"/>
      <c r="S86" s="41"/>
      <c r="T86" s="91"/>
      <c r="U86" s="92"/>
      <c r="V86" s="43">
        <f t="shared" si="2"/>
        <v>0</v>
      </c>
      <c r="W86" s="36"/>
      <c r="X86" s="87"/>
      <c r="Y86" s="37" t="b">
        <f t="shared" si="3"/>
        <v>1</v>
      </c>
      <c r="Z86" s="84" t="e">
        <f>VLOOKUP($B86,APOIO!$A:$F,5,FALSE)</f>
        <v>#N/A</v>
      </c>
    </row>
    <row r="87" spans="1:26" ht="15" x14ac:dyDescent="0.25">
      <c r="A87" s="36"/>
      <c r="B87" s="37" t="e">
        <f>VLOOKUP($A87,APOIO!$A:$E,1,FALSE)</f>
        <v>#N/A</v>
      </c>
      <c r="C87" s="36"/>
      <c r="D87" s="37" t="e">
        <f>INDEX(APOIO!$D:$D,MATCH(CONCATENATE($B87,$C87),APOIO!$F:$F,0))</f>
        <v>#N/A</v>
      </c>
      <c r="E87" s="36"/>
      <c r="F87" s="37" t="e">
        <f>VLOOKUP($E87,APOIO!$Z:$AC,2,FALSE)</f>
        <v>#N/A</v>
      </c>
      <c r="G87" s="38" t="e">
        <f>VLOOKUP($E87,APOIO!$Z:$AC,4,FALSE)</f>
        <v>#N/A</v>
      </c>
      <c r="H87" s="39"/>
      <c r="I87" s="40" t="e">
        <f>VLOOKUP($H87,APOIO!$W:$X,2,FALSE)</f>
        <v>#N/A</v>
      </c>
      <c r="J87" s="36"/>
      <c r="K87" s="40" t="e">
        <f>VLOOKUP($J87,APOIO!$AE:$AG,2,FALSE)</f>
        <v>#N/A</v>
      </c>
      <c r="L87" s="38" t="e">
        <f>VLOOKUP($J87,APOIO!$AE:$AG,3,FALSE)</f>
        <v>#N/A</v>
      </c>
      <c r="M87" s="36"/>
      <c r="N87" s="37" t="e">
        <f>VLOOKUP($M87,APOIO!$I:$J,2,FALSE)</f>
        <v>#N/A</v>
      </c>
      <c r="O87" s="37"/>
      <c r="P87" s="37"/>
      <c r="Q87" s="37"/>
      <c r="R87" s="37"/>
      <c r="S87" s="41"/>
      <c r="T87" s="91"/>
      <c r="U87" s="92"/>
      <c r="V87" s="43">
        <f t="shared" si="2"/>
        <v>0</v>
      </c>
      <c r="W87" s="36"/>
      <c r="X87" s="87"/>
      <c r="Y87" s="37" t="b">
        <f t="shared" si="3"/>
        <v>1</v>
      </c>
      <c r="Z87" s="84" t="e">
        <f>VLOOKUP($B87,APOIO!$A:$F,5,FALSE)</f>
        <v>#N/A</v>
      </c>
    </row>
    <row r="88" spans="1:26" ht="15" x14ac:dyDescent="0.25">
      <c r="A88" s="36"/>
      <c r="B88" s="37" t="e">
        <f>VLOOKUP($A88,APOIO!$A:$E,1,FALSE)</f>
        <v>#N/A</v>
      </c>
      <c r="C88" s="36"/>
      <c r="D88" s="37" t="e">
        <f>INDEX(APOIO!$D:$D,MATCH(CONCATENATE($B88,$C88),APOIO!$F:$F,0))</f>
        <v>#N/A</v>
      </c>
      <c r="E88" s="36"/>
      <c r="F88" s="37" t="e">
        <f>VLOOKUP($E88,APOIO!$Z:$AC,2,FALSE)</f>
        <v>#N/A</v>
      </c>
      <c r="G88" s="38" t="e">
        <f>VLOOKUP($E88,APOIO!$Z:$AC,4,FALSE)</f>
        <v>#N/A</v>
      </c>
      <c r="H88" s="39"/>
      <c r="I88" s="40" t="e">
        <f>VLOOKUP($H88,APOIO!$W:$X,2,FALSE)</f>
        <v>#N/A</v>
      </c>
      <c r="J88" s="36"/>
      <c r="K88" s="40" t="e">
        <f>VLOOKUP($J88,APOIO!$AE:$AG,2,FALSE)</f>
        <v>#N/A</v>
      </c>
      <c r="L88" s="38" t="e">
        <f>VLOOKUP($J88,APOIO!$AE:$AG,3,FALSE)</f>
        <v>#N/A</v>
      </c>
      <c r="M88" s="36"/>
      <c r="N88" s="37" t="e">
        <f>VLOOKUP($M88,APOIO!$I:$J,2,FALSE)</f>
        <v>#N/A</v>
      </c>
      <c r="O88" s="37"/>
      <c r="P88" s="37"/>
      <c r="Q88" s="37"/>
      <c r="R88" s="37"/>
      <c r="S88" s="41"/>
      <c r="T88" s="91"/>
      <c r="U88" s="92"/>
      <c r="V88" s="43">
        <f t="shared" si="2"/>
        <v>0</v>
      </c>
      <c r="W88" s="36"/>
      <c r="X88" s="87"/>
      <c r="Y88" s="37" t="b">
        <f t="shared" si="3"/>
        <v>1</v>
      </c>
      <c r="Z88" s="84" t="e">
        <f>VLOOKUP($B88,APOIO!$A:$F,5,FALSE)</f>
        <v>#N/A</v>
      </c>
    </row>
    <row r="89" spans="1:26" ht="15" x14ac:dyDescent="0.25">
      <c r="A89" s="36"/>
      <c r="B89" s="37" t="e">
        <f>VLOOKUP($A89,APOIO!$A:$E,1,FALSE)</f>
        <v>#N/A</v>
      </c>
      <c r="C89" s="36"/>
      <c r="D89" s="37" t="e">
        <f>INDEX(APOIO!$D:$D,MATCH(CONCATENATE($B89,$C89),APOIO!$F:$F,0))</f>
        <v>#N/A</v>
      </c>
      <c r="E89" s="36"/>
      <c r="F89" s="37" t="e">
        <f>VLOOKUP($E89,APOIO!$Z:$AC,2,FALSE)</f>
        <v>#N/A</v>
      </c>
      <c r="G89" s="38" t="e">
        <f>VLOOKUP($E89,APOIO!$Z:$AC,4,FALSE)</f>
        <v>#N/A</v>
      </c>
      <c r="H89" s="39"/>
      <c r="I89" s="40" t="e">
        <f>VLOOKUP($H89,APOIO!$W:$X,2,FALSE)</f>
        <v>#N/A</v>
      </c>
      <c r="J89" s="36"/>
      <c r="K89" s="40" t="e">
        <f>VLOOKUP($J89,APOIO!$AE:$AG,2,FALSE)</f>
        <v>#N/A</v>
      </c>
      <c r="L89" s="38" t="e">
        <f>VLOOKUP($J89,APOIO!$AE:$AG,3,FALSE)</f>
        <v>#N/A</v>
      </c>
      <c r="M89" s="36"/>
      <c r="N89" s="37" t="e">
        <f>VLOOKUP($M89,APOIO!$I:$J,2,FALSE)</f>
        <v>#N/A</v>
      </c>
      <c r="O89" s="37"/>
      <c r="P89" s="37"/>
      <c r="Q89" s="37"/>
      <c r="R89" s="37"/>
      <c r="S89" s="41"/>
      <c r="T89" s="91"/>
      <c r="U89" s="92"/>
      <c r="V89" s="43">
        <f t="shared" si="2"/>
        <v>0</v>
      </c>
      <c r="W89" s="36"/>
      <c r="X89" s="87"/>
      <c r="Y89" s="37" t="b">
        <f t="shared" si="3"/>
        <v>1</v>
      </c>
      <c r="Z89" s="84" t="e">
        <f>VLOOKUP($B89,APOIO!$A:$F,5,FALSE)</f>
        <v>#N/A</v>
      </c>
    </row>
    <row r="90" spans="1:26" ht="15" x14ac:dyDescent="0.25">
      <c r="A90" s="36"/>
      <c r="B90" s="37" t="e">
        <f>VLOOKUP($A90,APOIO!$A:$E,1,FALSE)</f>
        <v>#N/A</v>
      </c>
      <c r="C90" s="36"/>
      <c r="D90" s="37" t="e">
        <f>INDEX(APOIO!$D:$D,MATCH(CONCATENATE($B90,$C90),APOIO!$F:$F,0))</f>
        <v>#N/A</v>
      </c>
      <c r="E90" s="36"/>
      <c r="F90" s="37" t="e">
        <f>VLOOKUP($E90,APOIO!$Z:$AC,2,FALSE)</f>
        <v>#N/A</v>
      </c>
      <c r="G90" s="38" t="e">
        <f>VLOOKUP($E90,APOIO!$Z:$AC,4,FALSE)</f>
        <v>#N/A</v>
      </c>
      <c r="H90" s="39"/>
      <c r="I90" s="40" t="e">
        <f>VLOOKUP($H90,APOIO!$W:$X,2,FALSE)</f>
        <v>#N/A</v>
      </c>
      <c r="J90" s="36"/>
      <c r="K90" s="40" t="e">
        <f>VLOOKUP($J90,APOIO!$AE:$AG,2,FALSE)</f>
        <v>#N/A</v>
      </c>
      <c r="L90" s="38" t="e">
        <f>VLOOKUP($J90,APOIO!$AE:$AG,3,FALSE)</f>
        <v>#N/A</v>
      </c>
      <c r="M90" s="36"/>
      <c r="N90" s="37" t="e">
        <f>VLOOKUP($M90,APOIO!$I:$J,2,FALSE)</f>
        <v>#N/A</v>
      </c>
      <c r="O90" s="37"/>
      <c r="P90" s="37"/>
      <c r="Q90" s="37"/>
      <c r="R90" s="37"/>
      <c r="S90" s="41"/>
      <c r="T90" s="91"/>
      <c r="U90" s="92"/>
      <c r="V90" s="43">
        <f t="shared" si="2"/>
        <v>0</v>
      </c>
      <c r="W90" s="36"/>
      <c r="X90" s="87"/>
      <c r="Y90" s="37" t="b">
        <f t="shared" si="3"/>
        <v>1</v>
      </c>
      <c r="Z90" s="84" t="e">
        <f>VLOOKUP($B90,APOIO!$A:$F,5,FALSE)</f>
        <v>#N/A</v>
      </c>
    </row>
    <row r="91" spans="1:26" ht="15" x14ac:dyDescent="0.25">
      <c r="A91" s="36"/>
      <c r="B91" s="37" t="e">
        <f>VLOOKUP($A91,APOIO!$A:$E,1,FALSE)</f>
        <v>#N/A</v>
      </c>
      <c r="C91" s="36"/>
      <c r="D91" s="37" t="e">
        <f>INDEX(APOIO!$D:$D,MATCH(CONCATENATE($B91,$C91),APOIO!$F:$F,0))</f>
        <v>#N/A</v>
      </c>
      <c r="E91" s="36"/>
      <c r="F91" s="37" t="e">
        <f>VLOOKUP($E91,APOIO!$Z:$AC,2,FALSE)</f>
        <v>#N/A</v>
      </c>
      <c r="G91" s="38" t="e">
        <f>VLOOKUP($E91,APOIO!$Z:$AC,4,FALSE)</f>
        <v>#N/A</v>
      </c>
      <c r="H91" s="39"/>
      <c r="I91" s="40" t="e">
        <f>VLOOKUP($H91,APOIO!$W:$X,2,FALSE)</f>
        <v>#N/A</v>
      </c>
      <c r="J91" s="36"/>
      <c r="K91" s="40" t="e">
        <f>VLOOKUP($J91,APOIO!$AE:$AG,2,FALSE)</f>
        <v>#N/A</v>
      </c>
      <c r="L91" s="38" t="e">
        <f>VLOOKUP($J91,APOIO!$AE:$AG,3,FALSE)</f>
        <v>#N/A</v>
      </c>
      <c r="M91" s="36"/>
      <c r="N91" s="37" t="e">
        <f>VLOOKUP($M91,APOIO!$I:$J,2,FALSE)</f>
        <v>#N/A</v>
      </c>
      <c r="O91" s="37"/>
      <c r="P91" s="37"/>
      <c r="Q91" s="37"/>
      <c r="R91" s="37"/>
      <c r="S91" s="41"/>
      <c r="T91" s="91"/>
      <c r="U91" s="92"/>
      <c r="V91" s="43">
        <f t="shared" si="2"/>
        <v>0</v>
      </c>
      <c r="W91" s="36"/>
      <c r="X91" s="87"/>
      <c r="Y91" s="37" t="b">
        <f t="shared" si="3"/>
        <v>1</v>
      </c>
      <c r="Z91" s="84" t="e">
        <f>VLOOKUP($B91,APOIO!$A:$F,5,FALSE)</f>
        <v>#N/A</v>
      </c>
    </row>
    <row r="92" spans="1:26" ht="15" x14ac:dyDescent="0.25">
      <c r="A92" s="36"/>
      <c r="B92" s="37" t="e">
        <f>VLOOKUP($A92,APOIO!$A:$E,1,FALSE)</f>
        <v>#N/A</v>
      </c>
      <c r="C92" s="36"/>
      <c r="D92" s="37" t="e">
        <f>INDEX(APOIO!$D:$D,MATCH(CONCATENATE($B92,$C92),APOIO!$F:$F,0))</f>
        <v>#N/A</v>
      </c>
      <c r="E92" s="36"/>
      <c r="F92" s="37" t="e">
        <f>VLOOKUP($E92,APOIO!$Z:$AC,2,FALSE)</f>
        <v>#N/A</v>
      </c>
      <c r="G92" s="38" t="e">
        <f>VLOOKUP($E92,APOIO!$Z:$AC,4,FALSE)</f>
        <v>#N/A</v>
      </c>
      <c r="H92" s="39"/>
      <c r="I92" s="40" t="e">
        <f>VLOOKUP($H92,APOIO!$W:$X,2,FALSE)</f>
        <v>#N/A</v>
      </c>
      <c r="J92" s="36"/>
      <c r="K92" s="40" t="e">
        <f>VLOOKUP($J92,APOIO!$AE:$AG,2,FALSE)</f>
        <v>#N/A</v>
      </c>
      <c r="L92" s="38" t="e">
        <f>VLOOKUP($J92,APOIO!$AE:$AG,3,FALSE)</f>
        <v>#N/A</v>
      </c>
      <c r="M92" s="36"/>
      <c r="N92" s="37" t="e">
        <f>VLOOKUP($M92,APOIO!$I:$J,2,FALSE)</f>
        <v>#N/A</v>
      </c>
      <c r="O92" s="37"/>
      <c r="P92" s="37"/>
      <c r="Q92" s="37"/>
      <c r="R92" s="37"/>
      <c r="S92" s="41"/>
      <c r="T92" s="91"/>
      <c r="U92" s="92"/>
      <c r="V92" s="43">
        <f t="shared" si="2"/>
        <v>0</v>
      </c>
      <c r="W92" s="36"/>
      <c r="X92" s="87"/>
      <c r="Y92" s="37" t="b">
        <f t="shared" si="3"/>
        <v>1</v>
      </c>
      <c r="Z92" s="84" t="e">
        <f>VLOOKUP($B92,APOIO!$A:$F,5,FALSE)</f>
        <v>#N/A</v>
      </c>
    </row>
    <row r="93" spans="1:26" ht="15" x14ac:dyDescent="0.25">
      <c r="A93" s="36"/>
      <c r="B93" s="37" t="e">
        <f>VLOOKUP($A93,APOIO!$A:$E,1,FALSE)</f>
        <v>#N/A</v>
      </c>
      <c r="C93" s="36"/>
      <c r="D93" s="37" t="e">
        <f>INDEX(APOIO!$D:$D,MATCH(CONCATENATE($B93,$C93),APOIO!$F:$F,0))</f>
        <v>#N/A</v>
      </c>
      <c r="E93" s="36"/>
      <c r="F93" s="37" t="e">
        <f>VLOOKUP($E93,APOIO!$Z:$AC,2,FALSE)</f>
        <v>#N/A</v>
      </c>
      <c r="G93" s="38" t="e">
        <f>VLOOKUP($E93,APOIO!$Z:$AC,4,FALSE)</f>
        <v>#N/A</v>
      </c>
      <c r="H93" s="39"/>
      <c r="I93" s="40" t="e">
        <f>VLOOKUP($H93,APOIO!$W:$X,2,FALSE)</f>
        <v>#N/A</v>
      </c>
      <c r="J93" s="36"/>
      <c r="K93" s="40" t="e">
        <f>VLOOKUP($J93,APOIO!$AE:$AG,2,FALSE)</f>
        <v>#N/A</v>
      </c>
      <c r="L93" s="38" t="e">
        <f>VLOOKUP($J93,APOIO!$AE:$AG,3,FALSE)</f>
        <v>#N/A</v>
      </c>
      <c r="M93" s="36"/>
      <c r="N93" s="37" t="e">
        <f>VLOOKUP($M93,APOIO!$I:$J,2,FALSE)</f>
        <v>#N/A</v>
      </c>
      <c r="O93" s="37"/>
      <c r="P93" s="37"/>
      <c r="Q93" s="37"/>
      <c r="R93" s="37"/>
      <c r="S93" s="41"/>
      <c r="T93" s="91"/>
      <c r="U93" s="92"/>
      <c r="V93" s="43">
        <f t="shared" si="2"/>
        <v>0</v>
      </c>
      <c r="W93" s="36"/>
      <c r="X93" s="87"/>
      <c r="Y93" s="37" t="b">
        <f t="shared" si="3"/>
        <v>1</v>
      </c>
      <c r="Z93" s="84" t="e">
        <f>VLOOKUP($B93,APOIO!$A:$F,5,FALSE)</f>
        <v>#N/A</v>
      </c>
    </row>
    <row r="94" spans="1:26" ht="15" x14ac:dyDescent="0.25">
      <c r="A94" s="36"/>
      <c r="B94" s="37" t="e">
        <f>VLOOKUP($A94,APOIO!$A:$E,1,FALSE)</f>
        <v>#N/A</v>
      </c>
      <c r="C94" s="36"/>
      <c r="D94" s="37" t="e">
        <f>INDEX(APOIO!$D:$D,MATCH(CONCATENATE($B94,$C94),APOIO!$F:$F,0))</f>
        <v>#N/A</v>
      </c>
      <c r="E94" s="36"/>
      <c r="F94" s="37" t="e">
        <f>VLOOKUP($E94,APOIO!$Z:$AC,2,FALSE)</f>
        <v>#N/A</v>
      </c>
      <c r="G94" s="38" t="e">
        <f>VLOOKUP($E94,APOIO!$Z:$AC,4,FALSE)</f>
        <v>#N/A</v>
      </c>
      <c r="H94" s="39"/>
      <c r="I94" s="40" t="e">
        <f>VLOOKUP($H94,APOIO!$W:$X,2,FALSE)</f>
        <v>#N/A</v>
      </c>
      <c r="J94" s="36"/>
      <c r="K94" s="40" t="e">
        <f>VLOOKUP($J94,APOIO!$AE:$AG,2,FALSE)</f>
        <v>#N/A</v>
      </c>
      <c r="L94" s="38" t="e">
        <f>VLOOKUP($J94,APOIO!$AE:$AG,3,FALSE)</f>
        <v>#N/A</v>
      </c>
      <c r="M94" s="36"/>
      <c r="N94" s="37" t="e">
        <f>VLOOKUP($M94,APOIO!$I:$J,2,FALSE)</f>
        <v>#N/A</v>
      </c>
      <c r="O94" s="37"/>
      <c r="P94" s="37"/>
      <c r="Q94" s="37"/>
      <c r="R94" s="37"/>
      <c r="S94" s="41"/>
      <c r="T94" s="91"/>
      <c r="U94" s="92"/>
      <c r="V94" s="43">
        <f t="shared" si="2"/>
        <v>0</v>
      </c>
      <c r="W94" s="36"/>
      <c r="X94" s="87"/>
      <c r="Y94" s="37" t="b">
        <f t="shared" si="3"/>
        <v>1</v>
      </c>
      <c r="Z94" s="84" t="e">
        <f>VLOOKUP($B94,APOIO!$A:$F,5,FALSE)</f>
        <v>#N/A</v>
      </c>
    </row>
    <row r="95" spans="1:26" ht="15" x14ac:dyDescent="0.25">
      <c r="A95" s="36"/>
      <c r="B95" s="37" t="e">
        <f>VLOOKUP($A95,APOIO!$A:$E,1,FALSE)</f>
        <v>#N/A</v>
      </c>
      <c r="C95" s="36"/>
      <c r="D95" s="37" t="e">
        <f>INDEX(APOIO!$D:$D,MATCH(CONCATENATE($B95,$C95),APOIO!$F:$F,0))</f>
        <v>#N/A</v>
      </c>
      <c r="E95" s="36"/>
      <c r="F95" s="37" t="e">
        <f>VLOOKUP($E95,APOIO!$Z:$AC,2,FALSE)</f>
        <v>#N/A</v>
      </c>
      <c r="G95" s="38" t="e">
        <f>VLOOKUP($E95,APOIO!$Z:$AC,4,FALSE)</f>
        <v>#N/A</v>
      </c>
      <c r="H95" s="39"/>
      <c r="I95" s="40" t="e">
        <f>VLOOKUP($H95,APOIO!$W:$X,2,FALSE)</f>
        <v>#N/A</v>
      </c>
      <c r="J95" s="36"/>
      <c r="K95" s="40" t="e">
        <f>VLOOKUP($J95,APOIO!$AE:$AG,2,FALSE)</f>
        <v>#N/A</v>
      </c>
      <c r="L95" s="38" t="e">
        <f>VLOOKUP($J95,APOIO!$AE:$AG,3,FALSE)</f>
        <v>#N/A</v>
      </c>
      <c r="M95" s="36"/>
      <c r="N95" s="37" t="e">
        <f>VLOOKUP($M95,APOIO!$I:$J,2,FALSE)</f>
        <v>#N/A</v>
      </c>
      <c r="O95" s="37"/>
      <c r="P95" s="37"/>
      <c r="Q95" s="37"/>
      <c r="R95" s="37"/>
      <c r="S95" s="41"/>
      <c r="T95" s="91"/>
      <c r="U95" s="92"/>
      <c r="V95" s="43">
        <f t="shared" si="2"/>
        <v>0</v>
      </c>
      <c r="W95" s="36"/>
      <c r="X95" s="87"/>
      <c r="Y95" s="37" t="b">
        <f t="shared" si="3"/>
        <v>1</v>
      </c>
      <c r="Z95" s="84" t="e">
        <f>VLOOKUP($B95,APOIO!$A:$F,5,FALSE)</f>
        <v>#N/A</v>
      </c>
    </row>
    <row r="96" spans="1:26" ht="15" x14ac:dyDescent="0.25">
      <c r="A96" s="36"/>
      <c r="B96" s="37" t="e">
        <f>VLOOKUP($A96,APOIO!$A:$E,1,FALSE)</f>
        <v>#N/A</v>
      </c>
      <c r="C96" s="36"/>
      <c r="D96" s="37" t="e">
        <f>INDEX(APOIO!$D:$D,MATCH(CONCATENATE($B96,$C96),APOIO!$F:$F,0))</f>
        <v>#N/A</v>
      </c>
      <c r="E96" s="36"/>
      <c r="F96" s="37" t="e">
        <f>VLOOKUP($E96,APOIO!$Z:$AC,2,FALSE)</f>
        <v>#N/A</v>
      </c>
      <c r="G96" s="38" t="e">
        <f>VLOOKUP($E96,APOIO!$Z:$AC,4,FALSE)</f>
        <v>#N/A</v>
      </c>
      <c r="H96" s="39"/>
      <c r="I96" s="40" t="e">
        <f>VLOOKUP($H96,APOIO!$W:$X,2,FALSE)</f>
        <v>#N/A</v>
      </c>
      <c r="J96" s="36"/>
      <c r="K96" s="40" t="e">
        <f>VLOOKUP($J96,APOIO!$AE:$AG,2,FALSE)</f>
        <v>#N/A</v>
      </c>
      <c r="L96" s="38" t="e">
        <f>VLOOKUP($J96,APOIO!$AE:$AG,3,FALSE)</f>
        <v>#N/A</v>
      </c>
      <c r="M96" s="36"/>
      <c r="N96" s="37" t="e">
        <f>VLOOKUP($M96,APOIO!$I:$J,2,FALSE)</f>
        <v>#N/A</v>
      </c>
      <c r="O96" s="37"/>
      <c r="P96" s="37"/>
      <c r="Q96" s="37"/>
      <c r="R96" s="37"/>
      <c r="S96" s="41"/>
      <c r="T96" s="91"/>
      <c r="U96" s="92"/>
      <c r="V96" s="43">
        <f t="shared" si="2"/>
        <v>0</v>
      </c>
      <c r="W96" s="36"/>
      <c r="X96" s="87"/>
      <c r="Y96" s="37" t="b">
        <f t="shared" si="3"/>
        <v>1</v>
      </c>
      <c r="Z96" s="84" t="e">
        <f>VLOOKUP($B96,APOIO!$A:$F,5,FALSE)</f>
        <v>#N/A</v>
      </c>
    </row>
    <row r="97" spans="1:26" ht="15" x14ac:dyDescent="0.25">
      <c r="A97" s="36"/>
      <c r="B97" s="37" t="e">
        <f>VLOOKUP($A97,APOIO!$A:$E,1,FALSE)</f>
        <v>#N/A</v>
      </c>
      <c r="C97" s="36"/>
      <c r="D97" s="37" t="e">
        <f>INDEX(APOIO!$D:$D,MATCH(CONCATENATE($B97,$C97),APOIO!$F:$F,0))</f>
        <v>#N/A</v>
      </c>
      <c r="E97" s="36"/>
      <c r="F97" s="37" t="e">
        <f>VLOOKUP($E97,APOIO!$Z:$AC,2,FALSE)</f>
        <v>#N/A</v>
      </c>
      <c r="G97" s="38" t="e">
        <f>VLOOKUP($E97,APOIO!$Z:$AC,4,FALSE)</f>
        <v>#N/A</v>
      </c>
      <c r="H97" s="39"/>
      <c r="I97" s="40" t="e">
        <f>VLOOKUP($H97,APOIO!$W:$X,2,FALSE)</f>
        <v>#N/A</v>
      </c>
      <c r="J97" s="36"/>
      <c r="K97" s="40" t="e">
        <f>VLOOKUP($J97,APOIO!$AE:$AG,2,FALSE)</f>
        <v>#N/A</v>
      </c>
      <c r="L97" s="38" t="e">
        <f>VLOOKUP($J97,APOIO!$AE:$AG,3,FALSE)</f>
        <v>#N/A</v>
      </c>
      <c r="M97" s="36"/>
      <c r="N97" s="37" t="e">
        <f>VLOOKUP($M97,APOIO!$I:$J,2,FALSE)</f>
        <v>#N/A</v>
      </c>
      <c r="O97" s="37"/>
      <c r="P97" s="37"/>
      <c r="Q97" s="37"/>
      <c r="R97" s="37"/>
      <c r="S97" s="41"/>
      <c r="T97" s="91"/>
      <c r="U97" s="92"/>
      <c r="V97" s="43">
        <f t="shared" si="2"/>
        <v>0</v>
      </c>
      <c r="W97" s="36"/>
      <c r="X97" s="87"/>
      <c r="Y97" s="37" t="b">
        <f t="shared" si="3"/>
        <v>1</v>
      </c>
      <c r="Z97" s="84" t="e">
        <f>VLOOKUP($B97,APOIO!$A:$F,5,FALSE)</f>
        <v>#N/A</v>
      </c>
    </row>
    <row r="98" spans="1:26" ht="15" x14ac:dyDescent="0.25">
      <c r="A98" s="36"/>
      <c r="B98" s="37" t="e">
        <f>VLOOKUP($A98,APOIO!$A:$E,1,FALSE)</f>
        <v>#N/A</v>
      </c>
      <c r="C98" s="36"/>
      <c r="D98" s="37" t="e">
        <f>INDEX(APOIO!$D:$D,MATCH(CONCATENATE($B98,$C98),APOIO!$F:$F,0))</f>
        <v>#N/A</v>
      </c>
      <c r="E98" s="36"/>
      <c r="F98" s="37" t="e">
        <f>VLOOKUP($E98,APOIO!$Z:$AC,2,FALSE)</f>
        <v>#N/A</v>
      </c>
      <c r="G98" s="38" t="e">
        <f>VLOOKUP($E98,APOIO!$Z:$AC,4,FALSE)</f>
        <v>#N/A</v>
      </c>
      <c r="H98" s="39"/>
      <c r="I98" s="40" t="e">
        <f>VLOOKUP($H98,APOIO!$W:$X,2,FALSE)</f>
        <v>#N/A</v>
      </c>
      <c r="J98" s="36"/>
      <c r="K98" s="40" t="e">
        <f>VLOOKUP($J98,APOIO!$AE:$AG,2,FALSE)</f>
        <v>#N/A</v>
      </c>
      <c r="L98" s="38" t="e">
        <f>VLOOKUP($J98,APOIO!$AE:$AG,3,FALSE)</f>
        <v>#N/A</v>
      </c>
      <c r="M98" s="36"/>
      <c r="N98" s="37" t="e">
        <f>VLOOKUP($M98,APOIO!$I:$J,2,FALSE)</f>
        <v>#N/A</v>
      </c>
      <c r="O98" s="37"/>
      <c r="P98" s="37"/>
      <c r="Q98" s="37"/>
      <c r="R98" s="37"/>
      <c r="S98" s="41"/>
      <c r="T98" s="91"/>
      <c r="U98" s="92"/>
      <c r="V98" s="43">
        <f t="shared" si="2"/>
        <v>0</v>
      </c>
      <c r="W98" s="36"/>
      <c r="X98" s="87"/>
      <c r="Y98" s="37" t="b">
        <f t="shared" si="3"/>
        <v>1</v>
      </c>
      <c r="Z98" s="84" t="e">
        <f>VLOOKUP($B98,APOIO!$A:$F,5,FALSE)</f>
        <v>#N/A</v>
      </c>
    </row>
    <row r="99" spans="1:26" ht="15" x14ac:dyDescent="0.25">
      <c r="A99" s="36"/>
      <c r="B99" s="37" t="e">
        <f>VLOOKUP($A99,APOIO!$A:$E,1,FALSE)</f>
        <v>#N/A</v>
      </c>
      <c r="C99" s="36"/>
      <c r="D99" s="37" t="e">
        <f>INDEX(APOIO!$D:$D,MATCH(CONCATENATE($B99,$C99),APOIO!$F:$F,0))</f>
        <v>#N/A</v>
      </c>
      <c r="E99" s="36"/>
      <c r="F99" s="37" t="e">
        <f>VLOOKUP($E99,APOIO!$Z:$AC,2,FALSE)</f>
        <v>#N/A</v>
      </c>
      <c r="G99" s="38" t="e">
        <f>VLOOKUP($E99,APOIO!$Z:$AC,4,FALSE)</f>
        <v>#N/A</v>
      </c>
      <c r="H99" s="39"/>
      <c r="I99" s="40" t="e">
        <f>VLOOKUP($H99,APOIO!$W:$X,2,FALSE)</f>
        <v>#N/A</v>
      </c>
      <c r="J99" s="36"/>
      <c r="K99" s="40" t="e">
        <f>VLOOKUP($J99,APOIO!$AE:$AG,2,FALSE)</f>
        <v>#N/A</v>
      </c>
      <c r="L99" s="38" t="e">
        <f>VLOOKUP($J99,APOIO!$AE:$AG,3,FALSE)</f>
        <v>#N/A</v>
      </c>
      <c r="M99" s="36"/>
      <c r="N99" s="37" t="e">
        <f>VLOOKUP($M99,APOIO!$I:$J,2,FALSE)</f>
        <v>#N/A</v>
      </c>
      <c r="O99" s="37"/>
      <c r="P99" s="37"/>
      <c r="Q99" s="37"/>
      <c r="R99" s="37"/>
      <c r="S99" s="41"/>
      <c r="T99" s="91"/>
      <c r="U99" s="92"/>
      <c r="V99" s="43">
        <f t="shared" si="2"/>
        <v>0</v>
      </c>
      <c r="W99" s="36"/>
      <c r="X99" s="87"/>
      <c r="Y99" s="37" t="b">
        <f t="shared" si="3"/>
        <v>1</v>
      </c>
      <c r="Z99" s="84" t="e">
        <f>VLOOKUP($B99,APOIO!$A:$F,5,FALSE)</f>
        <v>#N/A</v>
      </c>
    </row>
    <row r="100" spans="1:26" ht="15" x14ac:dyDescent="0.25">
      <c r="A100" s="36"/>
      <c r="B100" s="37" t="e">
        <f>VLOOKUP($A100,APOIO!$A:$E,1,FALSE)</f>
        <v>#N/A</v>
      </c>
      <c r="C100" s="36"/>
      <c r="D100" s="37" t="e">
        <f>INDEX(APOIO!$D:$D,MATCH(CONCATENATE($B100,$C100),APOIO!$F:$F,0))</f>
        <v>#N/A</v>
      </c>
      <c r="E100" s="36"/>
      <c r="F100" s="37" t="e">
        <f>VLOOKUP($E100,APOIO!$Z:$AC,2,FALSE)</f>
        <v>#N/A</v>
      </c>
      <c r="G100" s="38" t="e">
        <f>VLOOKUP($E100,APOIO!$Z:$AC,4,FALSE)</f>
        <v>#N/A</v>
      </c>
      <c r="H100" s="39"/>
      <c r="I100" s="40" t="e">
        <f>VLOOKUP($H100,APOIO!$W:$X,2,FALSE)</f>
        <v>#N/A</v>
      </c>
      <c r="J100" s="36"/>
      <c r="K100" s="40" t="e">
        <f>VLOOKUP($J100,APOIO!$AE:$AG,2,FALSE)</f>
        <v>#N/A</v>
      </c>
      <c r="L100" s="38" t="e">
        <f>VLOOKUP($J100,APOIO!$AE:$AG,3,FALSE)</f>
        <v>#N/A</v>
      </c>
      <c r="M100" s="36"/>
      <c r="N100" s="37" t="e">
        <f>VLOOKUP($M100,APOIO!$I:$J,2,FALSE)</f>
        <v>#N/A</v>
      </c>
      <c r="O100" s="37"/>
      <c r="P100" s="37"/>
      <c r="Q100" s="37"/>
      <c r="R100" s="37"/>
      <c r="S100" s="41"/>
      <c r="T100" s="91"/>
      <c r="U100" s="92"/>
      <c r="V100" s="43">
        <f t="shared" si="2"/>
        <v>0</v>
      </c>
      <c r="W100" s="36"/>
      <c r="X100" s="87"/>
      <c r="Y100" s="37" t="b">
        <f t="shared" si="3"/>
        <v>1</v>
      </c>
      <c r="Z100" s="84" t="e">
        <f>VLOOKUP($B100,APOIO!$A:$F,5,FALSE)</f>
        <v>#N/A</v>
      </c>
    </row>
    <row r="101" spans="1:26" ht="15" x14ac:dyDescent="0.25">
      <c r="A101" s="36"/>
      <c r="B101" s="37" t="e">
        <f>VLOOKUP($A101,APOIO!$A:$E,1,FALSE)</f>
        <v>#N/A</v>
      </c>
      <c r="C101" s="36"/>
      <c r="D101" s="37" t="e">
        <f>INDEX(APOIO!$D:$D,MATCH(CONCATENATE($B101,$C101),APOIO!$F:$F,0))</f>
        <v>#N/A</v>
      </c>
      <c r="E101" s="36"/>
      <c r="F101" s="37" t="e">
        <f>VLOOKUP($E101,APOIO!$Z:$AC,2,FALSE)</f>
        <v>#N/A</v>
      </c>
      <c r="G101" s="38" t="e">
        <f>VLOOKUP($E101,APOIO!$Z:$AC,4,FALSE)</f>
        <v>#N/A</v>
      </c>
      <c r="H101" s="39"/>
      <c r="I101" s="40" t="e">
        <f>VLOOKUP($H101,APOIO!$W:$X,2,FALSE)</f>
        <v>#N/A</v>
      </c>
      <c r="J101" s="36"/>
      <c r="K101" s="40" t="e">
        <f>VLOOKUP($J101,APOIO!$AE:$AG,2,FALSE)</f>
        <v>#N/A</v>
      </c>
      <c r="L101" s="38" t="e">
        <f>VLOOKUP($J101,APOIO!$AE:$AG,3,FALSE)</f>
        <v>#N/A</v>
      </c>
      <c r="M101" s="36"/>
      <c r="N101" s="37" t="e">
        <f>VLOOKUP($M101,APOIO!$I:$J,2,FALSE)</f>
        <v>#N/A</v>
      </c>
      <c r="O101" s="37"/>
      <c r="P101" s="37"/>
      <c r="Q101" s="37"/>
      <c r="R101" s="37"/>
      <c r="S101" s="41"/>
      <c r="T101" s="91"/>
      <c r="U101" s="92"/>
      <c r="V101" s="43">
        <f t="shared" si="2"/>
        <v>0</v>
      </c>
      <c r="W101" s="36"/>
      <c r="X101" s="87"/>
      <c r="Y101" s="37" t="b">
        <f t="shared" si="3"/>
        <v>1</v>
      </c>
      <c r="Z101" s="84" t="e">
        <f>VLOOKUP($B101,APOIO!$A:$F,5,FALSE)</f>
        <v>#N/A</v>
      </c>
    </row>
    <row r="102" spans="1:26" ht="15" x14ac:dyDescent="0.25">
      <c r="A102" s="36"/>
      <c r="B102" s="37" t="e">
        <f>VLOOKUP($A102,APOIO!$A:$E,1,FALSE)</f>
        <v>#N/A</v>
      </c>
      <c r="C102" s="36"/>
      <c r="D102" s="37" t="e">
        <f>INDEX(APOIO!$D:$D,MATCH(CONCATENATE($B102,$C102),APOIO!$F:$F,0))</f>
        <v>#N/A</v>
      </c>
      <c r="E102" s="36"/>
      <c r="F102" s="37" t="e">
        <f>VLOOKUP($E102,APOIO!$Z:$AC,2,FALSE)</f>
        <v>#N/A</v>
      </c>
      <c r="G102" s="38" t="e">
        <f>VLOOKUP($E102,APOIO!$Z:$AC,4,FALSE)</f>
        <v>#N/A</v>
      </c>
      <c r="H102" s="39"/>
      <c r="I102" s="40" t="e">
        <f>VLOOKUP($H102,APOIO!$W:$X,2,FALSE)</f>
        <v>#N/A</v>
      </c>
      <c r="J102" s="36"/>
      <c r="K102" s="40" t="e">
        <f>VLOOKUP($J102,APOIO!$AE:$AG,2,FALSE)</f>
        <v>#N/A</v>
      </c>
      <c r="L102" s="38" t="e">
        <f>VLOOKUP($J102,APOIO!$AE:$AG,3,FALSE)</f>
        <v>#N/A</v>
      </c>
      <c r="M102" s="36"/>
      <c r="N102" s="37" t="e">
        <f>VLOOKUP($M102,APOIO!$I:$J,2,FALSE)</f>
        <v>#N/A</v>
      </c>
      <c r="O102" s="37"/>
      <c r="P102" s="37"/>
      <c r="Q102" s="37"/>
      <c r="R102" s="37"/>
      <c r="S102" s="41"/>
      <c r="T102" s="91"/>
      <c r="U102" s="92"/>
      <c r="V102" s="43">
        <f t="shared" si="2"/>
        <v>0</v>
      </c>
      <c r="W102" s="36"/>
      <c r="X102" s="87"/>
      <c r="Y102" s="37" t="b">
        <f t="shared" si="3"/>
        <v>1</v>
      </c>
      <c r="Z102" s="84" t="e">
        <f>VLOOKUP($B102,APOIO!$A:$F,5,FALSE)</f>
        <v>#N/A</v>
      </c>
    </row>
    <row r="103" spans="1:26" ht="15" x14ac:dyDescent="0.25">
      <c r="A103" s="36"/>
      <c r="B103" s="37" t="e">
        <f>VLOOKUP($A103,APOIO!$A:$E,1,FALSE)</f>
        <v>#N/A</v>
      </c>
      <c r="C103" s="36"/>
      <c r="D103" s="37" t="e">
        <f>INDEX(APOIO!$D:$D,MATCH(CONCATENATE($B103,$C103),APOIO!$F:$F,0))</f>
        <v>#N/A</v>
      </c>
      <c r="E103" s="36"/>
      <c r="F103" s="37" t="e">
        <f>VLOOKUP($E103,APOIO!$Z:$AC,2,FALSE)</f>
        <v>#N/A</v>
      </c>
      <c r="G103" s="38" t="e">
        <f>VLOOKUP($E103,APOIO!$Z:$AC,4,FALSE)</f>
        <v>#N/A</v>
      </c>
      <c r="H103" s="39"/>
      <c r="I103" s="40" t="e">
        <f>VLOOKUP($H103,APOIO!$W:$X,2,FALSE)</f>
        <v>#N/A</v>
      </c>
      <c r="J103" s="36"/>
      <c r="K103" s="40" t="e">
        <f>VLOOKUP($J103,APOIO!$AE:$AG,2,FALSE)</f>
        <v>#N/A</v>
      </c>
      <c r="L103" s="38" t="e">
        <f>VLOOKUP($J103,APOIO!$AE:$AG,3,FALSE)</f>
        <v>#N/A</v>
      </c>
      <c r="M103" s="36"/>
      <c r="N103" s="37" t="e">
        <f>VLOOKUP($M103,APOIO!$I:$J,2,FALSE)</f>
        <v>#N/A</v>
      </c>
      <c r="O103" s="37"/>
      <c r="P103" s="37"/>
      <c r="Q103" s="37"/>
      <c r="R103" s="37"/>
      <c r="S103" s="41"/>
      <c r="T103" s="91"/>
      <c r="U103" s="92"/>
      <c r="V103" s="43">
        <f t="shared" si="2"/>
        <v>0</v>
      </c>
      <c r="W103" s="36"/>
      <c r="X103" s="87"/>
      <c r="Y103" s="37" t="b">
        <f t="shared" si="3"/>
        <v>1</v>
      </c>
      <c r="Z103" s="84" t="e">
        <f>VLOOKUP($B103,APOIO!$A:$F,5,FALSE)</f>
        <v>#N/A</v>
      </c>
    </row>
    <row r="104" spans="1:26" ht="15" x14ac:dyDescent="0.25">
      <c r="A104" s="36"/>
      <c r="B104" s="37" t="e">
        <f>VLOOKUP($A104,APOIO!$A:$E,1,FALSE)</f>
        <v>#N/A</v>
      </c>
      <c r="C104" s="36"/>
      <c r="D104" s="37" t="e">
        <f>INDEX(APOIO!$D:$D,MATCH(CONCATENATE($B104,$C104),APOIO!$F:$F,0))</f>
        <v>#N/A</v>
      </c>
      <c r="E104" s="36"/>
      <c r="F104" s="37" t="e">
        <f>VLOOKUP($E104,APOIO!$Z:$AC,2,FALSE)</f>
        <v>#N/A</v>
      </c>
      <c r="G104" s="38" t="e">
        <f>VLOOKUP($E104,APOIO!$Z:$AC,4,FALSE)</f>
        <v>#N/A</v>
      </c>
      <c r="H104" s="39"/>
      <c r="I104" s="40" t="e">
        <f>VLOOKUP($H104,APOIO!$W:$X,2,FALSE)</f>
        <v>#N/A</v>
      </c>
      <c r="J104" s="36"/>
      <c r="K104" s="40" t="e">
        <f>VLOOKUP($J104,APOIO!$AE:$AG,2,FALSE)</f>
        <v>#N/A</v>
      </c>
      <c r="L104" s="38" t="e">
        <f>VLOOKUP($J104,APOIO!$AE:$AG,3,FALSE)</f>
        <v>#N/A</v>
      </c>
      <c r="M104" s="36"/>
      <c r="N104" s="37" t="e">
        <f>VLOOKUP($M104,APOIO!$I:$J,2,FALSE)</f>
        <v>#N/A</v>
      </c>
      <c r="O104" s="37"/>
      <c r="P104" s="37"/>
      <c r="Q104" s="37"/>
      <c r="R104" s="37"/>
      <c r="S104" s="41"/>
      <c r="T104" s="91"/>
      <c r="U104" s="92"/>
      <c r="V104" s="43">
        <f t="shared" si="2"/>
        <v>0</v>
      </c>
      <c r="W104" s="36"/>
      <c r="X104" s="87"/>
      <c r="Y104" s="37" t="b">
        <f t="shared" si="3"/>
        <v>1</v>
      </c>
      <c r="Z104" s="84" t="e">
        <f>VLOOKUP($B104,APOIO!$A:$F,5,FALSE)</f>
        <v>#N/A</v>
      </c>
    </row>
    <row r="105" spans="1:26" ht="15" x14ac:dyDescent="0.25">
      <c r="A105" s="36"/>
      <c r="B105" s="37" t="e">
        <f>VLOOKUP($A105,APOIO!$A:$E,1,FALSE)</f>
        <v>#N/A</v>
      </c>
      <c r="C105" s="36"/>
      <c r="D105" s="37" t="e">
        <f>INDEX(APOIO!$D:$D,MATCH(CONCATENATE($B105,$C105),APOIO!$F:$F,0))</f>
        <v>#N/A</v>
      </c>
      <c r="E105" s="36"/>
      <c r="F105" s="37" t="e">
        <f>VLOOKUP($E105,APOIO!$Z:$AC,2,FALSE)</f>
        <v>#N/A</v>
      </c>
      <c r="G105" s="38" t="e">
        <f>VLOOKUP($E105,APOIO!$Z:$AC,4,FALSE)</f>
        <v>#N/A</v>
      </c>
      <c r="H105" s="39"/>
      <c r="I105" s="40" t="e">
        <f>VLOOKUP($H105,APOIO!$W:$X,2,FALSE)</f>
        <v>#N/A</v>
      </c>
      <c r="J105" s="36"/>
      <c r="K105" s="40" t="e">
        <f>VLOOKUP($J105,APOIO!$AE:$AG,2,FALSE)</f>
        <v>#N/A</v>
      </c>
      <c r="L105" s="38" t="e">
        <f>VLOOKUP($J105,APOIO!$AE:$AG,3,FALSE)</f>
        <v>#N/A</v>
      </c>
      <c r="M105" s="36"/>
      <c r="N105" s="37" t="e">
        <f>VLOOKUP($M105,APOIO!$I:$J,2,FALSE)</f>
        <v>#N/A</v>
      </c>
      <c r="O105" s="37"/>
      <c r="P105" s="37"/>
      <c r="Q105" s="37"/>
      <c r="R105" s="37"/>
      <c r="S105" s="41"/>
      <c r="T105" s="91"/>
      <c r="U105" s="92"/>
      <c r="V105" s="43">
        <f t="shared" si="2"/>
        <v>0</v>
      </c>
      <c r="W105" s="36"/>
      <c r="X105" s="87"/>
      <c r="Y105" s="37" t="b">
        <f t="shared" si="3"/>
        <v>1</v>
      </c>
      <c r="Z105" s="84" t="e">
        <f>VLOOKUP($B105,APOIO!$A:$F,5,FALSE)</f>
        <v>#N/A</v>
      </c>
    </row>
    <row r="106" spans="1:26" ht="15" x14ac:dyDescent="0.25">
      <c r="A106" s="36"/>
      <c r="B106" s="37" t="e">
        <f>VLOOKUP($A106,APOIO!$A:$E,1,FALSE)</f>
        <v>#N/A</v>
      </c>
      <c r="C106" s="36"/>
      <c r="D106" s="37" t="e">
        <f>INDEX(APOIO!$D:$D,MATCH(CONCATENATE($B106,$C106),APOIO!$F:$F,0))</f>
        <v>#N/A</v>
      </c>
      <c r="E106" s="36"/>
      <c r="F106" s="37" t="e">
        <f>VLOOKUP($E106,APOIO!$Z:$AC,2,FALSE)</f>
        <v>#N/A</v>
      </c>
      <c r="G106" s="38" t="e">
        <f>VLOOKUP($E106,APOIO!$Z:$AC,4,FALSE)</f>
        <v>#N/A</v>
      </c>
      <c r="H106" s="39"/>
      <c r="I106" s="40" t="e">
        <f>VLOOKUP($H106,APOIO!$W:$X,2,FALSE)</f>
        <v>#N/A</v>
      </c>
      <c r="J106" s="36"/>
      <c r="K106" s="40" t="e">
        <f>VLOOKUP($J106,APOIO!$AE:$AG,2,FALSE)</f>
        <v>#N/A</v>
      </c>
      <c r="L106" s="38" t="e">
        <f>VLOOKUP($J106,APOIO!$AE:$AG,3,FALSE)</f>
        <v>#N/A</v>
      </c>
      <c r="M106" s="36"/>
      <c r="N106" s="37" t="e">
        <f>VLOOKUP($M106,APOIO!$I:$J,2,FALSE)</f>
        <v>#N/A</v>
      </c>
      <c r="O106" s="37"/>
      <c r="P106" s="37"/>
      <c r="Q106" s="37"/>
      <c r="R106" s="37"/>
      <c r="S106" s="41"/>
      <c r="T106" s="91"/>
      <c r="U106" s="92"/>
      <c r="V106" s="43">
        <f t="shared" si="2"/>
        <v>0</v>
      </c>
      <c r="W106" s="36"/>
      <c r="X106" s="87"/>
      <c r="Y106" s="37" t="b">
        <f t="shared" si="3"/>
        <v>1</v>
      </c>
      <c r="Z106" s="84" t="e">
        <f>VLOOKUP($B106,APOIO!$A:$F,5,FALSE)</f>
        <v>#N/A</v>
      </c>
    </row>
    <row r="107" spans="1:26" ht="15" x14ac:dyDescent="0.25">
      <c r="A107" s="36"/>
      <c r="B107" s="37" t="e">
        <f>VLOOKUP($A107,APOIO!$A:$E,1,FALSE)</f>
        <v>#N/A</v>
      </c>
      <c r="C107" s="36"/>
      <c r="D107" s="37" t="e">
        <f>INDEX(APOIO!$D:$D,MATCH(CONCATENATE($B107,$C107),APOIO!$F:$F,0))</f>
        <v>#N/A</v>
      </c>
      <c r="E107" s="36"/>
      <c r="F107" s="37" t="e">
        <f>VLOOKUP($E107,APOIO!$Z:$AC,2,FALSE)</f>
        <v>#N/A</v>
      </c>
      <c r="G107" s="38" t="e">
        <f>VLOOKUP($E107,APOIO!$Z:$AC,4,FALSE)</f>
        <v>#N/A</v>
      </c>
      <c r="H107" s="39"/>
      <c r="I107" s="40" t="e">
        <f>VLOOKUP($H107,APOIO!$W:$X,2,FALSE)</f>
        <v>#N/A</v>
      </c>
      <c r="J107" s="36"/>
      <c r="K107" s="40" t="e">
        <f>VLOOKUP($J107,APOIO!$AE:$AG,2,FALSE)</f>
        <v>#N/A</v>
      </c>
      <c r="L107" s="38" t="e">
        <f>VLOOKUP($J107,APOIO!$AE:$AG,3,FALSE)</f>
        <v>#N/A</v>
      </c>
      <c r="M107" s="36"/>
      <c r="N107" s="37" t="e">
        <f>VLOOKUP($M107,APOIO!$I:$J,2,FALSE)</f>
        <v>#N/A</v>
      </c>
      <c r="O107" s="37"/>
      <c r="P107" s="37"/>
      <c r="Q107" s="37"/>
      <c r="R107" s="37"/>
      <c r="S107" s="41"/>
      <c r="T107" s="91"/>
      <c r="U107" s="92"/>
      <c r="V107" s="43">
        <f t="shared" si="2"/>
        <v>0</v>
      </c>
      <c r="W107" s="36"/>
      <c r="X107" s="87"/>
      <c r="Y107" s="37" t="b">
        <f t="shared" si="3"/>
        <v>1</v>
      </c>
      <c r="Z107" s="84" t="e">
        <f>VLOOKUP($B107,APOIO!$A:$F,5,FALSE)</f>
        <v>#N/A</v>
      </c>
    </row>
    <row r="108" spans="1:26" ht="15" x14ac:dyDescent="0.25">
      <c r="A108" s="36"/>
      <c r="B108" s="37" t="e">
        <f>VLOOKUP($A108,APOIO!$A:$E,1,FALSE)</f>
        <v>#N/A</v>
      </c>
      <c r="C108" s="36"/>
      <c r="D108" s="37" t="e">
        <f>INDEX(APOIO!$D:$D,MATCH(CONCATENATE($B108,$C108),APOIO!$F:$F,0))</f>
        <v>#N/A</v>
      </c>
      <c r="E108" s="36"/>
      <c r="F108" s="37" t="e">
        <f>VLOOKUP($E108,APOIO!$Z:$AC,2,FALSE)</f>
        <v>#N/A</v>
      </c>
      <c r="G108" s="38" t="e">
        <f>VLOOKUP($E108,APOIO!$Z:$AC,4,FALSE)</f>
        <v>#N/A</v>
      </c>
      <c r="H108" s="39"/>
      <c r="I108" s="40" t="e">
        <f>VLOOKUP($H108,APOIO!$W:$X,2,FALSE)</f>
        <v>#N/A</v>
      </c>
      <c r="J108" s="36"/>
      <c r="K108" s="40" t="e">
        <f>VLOOKUP($J108,APOIO!$AE:$AG,2,FALSE)</f>
        <v>#N/A</v>
      </c>
      <c r="L108" s="38" t="e">
        <f>VLOOKUP($J108,APOIO!$AE:$AG,3,FALSE)</f>
        <v>#N/A</v>
      </c>
      <c r="M108" s="36"/>
      <c r="N108" s="37" t="e">
        <f>VLOOKUP($M108,APOIO!$I:$J,2,FALSE)</f>
        <v>#N/A</v>
      </c>
      <c r="O108" s="37"/>
      <c r="P108" s="37"/>
      <c r="Q108" s="37"/>
      <c r="R108" s="37"/>
      <c r="S108" s="41"/>
      <c r="T108" s="91"/>
      <c r="U108" s="92"/>
      <c r="V108" s="43">
        <f t="shared" si="2"/>
        <v>0</v>
      </c>
      <c r="W108" s="36"/>
      <c r="X108" s="87"/>
      <c r="Y108" s="37" t="b">
        <f t="shared" si="3"/>
        <v>1</v>
      </c>
      <c r="Z108" s="84" t="e">
        <f>VLOOKUP($B108,APOIO!$A:$F,5,FALSE)</f>
        <v>#N/A</v>
      </c>
    </row>
    <row r="109" spans="1:26" ht="15" x14ac:dyDescent="0.25">
      <c r="A109" s="36"/>
      <c r="B109" s="37" t="e">
        <f>VLOOKUP($A109,APOIO!$A:$E,1,FALSE)</f>
        <v>#N/A</v>
      </c>
      <c r="C109" s="36"/>
      <c r="D109" s="37" t="e">
        <f>INDEX(APOIO!$D:$D,MATCH(CONCATENATE($B109,$C109),APOIO!$F:$F,0))</f>
        <v>#N/A</v>
      </c>
      <c r="E109" s="36"/>
      <c r="F109" s="37" t="e">
        <f>VLOOKUP($E109,APOIO!$Z:$AC,2,FALSE)</f>
        <v>#N/A</v>
      </c>
      <c r="G109" s="38" t="e">
        <f>VLOOKUP($E109,APOIO!$Z:$AC,4,FALSE)</f>
        <v>#N/A</v>
      </c>
      <c r="H109" s="39"/>
      <c r="I109" s="40" t="e">
        <f>VLOOKUP($H109,APOIO!$W:$X,2,FALSE)</f>
        <v>#N/A</v>
      </c>
      <c r="J109" s="36"/>
      <c r="K109" s="40" t="e">
        <f>VLOOKUP($J109,APOIO!$AE:$AG,2,FALSE)</f>
        <v>#N/A</v>
      </c>
      <c r="L109" s="38" t="e">
        <f>VLOOKUP($J109,APOIO!$AE:$AG,3,FALSE)</f>
        <v>#N/A</v>
      </c>
      <c r="M109" s="36"/>
      <c r="N109" s="37" t="e">
        <f>VLOOKUP($M109,APOIO!$I:$J,2,FALSE)</f>
        <v>#N/A</v>
      </c>
      <c r="O109" s="37"/>
      <c r="P109" s="37"/>
      <c r="Q109" s="37"/>
      <c r="R109" s="37"/>
      <c r="S109" s="41"/>
      <c r="T109" s="91"/>
      <c r="U109" s="92"/>
      <c r="V109" s="43">
        <f t="shared" si="2"/>
        <v>0</v>
      </c>
      <c r="W109" s="36"/>
      <c r="X109" s="87"/>
      <c r="Y109" s="37" t="b">
        <f t="shared" si="3"/>
        <v>1</v>
      </c>
      <c r="Z109" s="84" t="e">
        <f>VLOOKUP($B109,APOIO!$A:$F,5,FALSE)</f>
        <v>#N/A</v>
      </c>
    </row>
    <row r="110" spans="1:26" ht="15" x14ac:dyDescent="0.25">
      <c r="A110" s="36"/>
      <c r="B110" s="37" t="e">
        <f>VLOOKUP($A110,APOIO!$A:$E,1,FALSE)</f>
        <v>#N/A</v>
      </c>
      <c r="C110" s="36"/>
      <c r="D110" s="37" t="e">
        <f>INDEX(APOIO!$D:$D,MATCH(CONCATENATE($B110,$C110),APOIO!$F:$F,0))</f>
        <v>#N/A</v>
      </c>
      <c r="E110" s="36"/>
      <c r="F110" s="37" t="e">
        <f>VLOOKUP($E110,APOIO!$Z:$AC,2,FALSE)</f>
        <v>#N/A</v>
      </c>
      <c r="G110" s="38" t="e">
        <f>VLOOKUP($E110,APOIO!$Z:$AC,4,FALSE)</f>
        <v>#N/A</v>
      </c>
      <c r="H110" s="39"/>
      <c r="I110" s="40" t="e">
        <f>VLOOKUP($H110,APOIO!$W:$X,2,FALSE)</f>
        <v>#N/A</v>
      </c>
      <c r="J110" s="36"/>
      <c r="K110" s="40" t="e">
        <f>VLOOKUP($J110,APOIO!$AE:$AG,2,FALSE)</f>
        <v>#N/A</v>
      </c>
      <c r="L110" s="38" t="e">
        <f>VLOOKUP($J110,APOIO!$AE:$AG,3,FALSE)</f>
        <v>#N/A</v>
      </c>
      <c r="M110" s="36"/>
      <c r="N110" s="37" t="e">
        <f>VLOOKUP($M110,APOIO!$I:$J,2,FALSE)</f>
        <v>#N/A</v>
      </c>
      <c r="O110" s="37"/>
      <c r="P110" s="37"/>
      <c r="Q110" s="37"/>
      <c r="R110" s="37"/>
      <c r="S110" s="41"/>
      <c r="T110" s="91"/>
      <c r="U110" s="92"/>
      <c r="V110" s="43">
        <f t="shared" si="2"/>
        <v>0</v>
      </c>
      <c r="W110" s="36"/>
      <c r="X110" s="87"/>
      <c r="Y110" s="37" t="b">
        <f t="shared" si="3"/>
        <v>1</v>
      </c>
      <c r="Z110" s="84" t="e">
        <f>VLOOKUP($B110,APOIO!$A:$F,5,FALSE)</f>
        <v>#N/A</v>
      </c>
    </row>
    <row r="111" spans="1:26" ht="15" x14ac:dyDescent="0.25">
      <c r="A111" s="36"/>
      <c r="B111" s="37" t="e">
        <f>VLOOKUP($A111,APOIO!$A:$E,1,FALSE)</f>
        <v>#N/A</v>
      </c>
      <c r="C111" s="36"/>
      <c r="D111" s="37" t="e">
        <f>INDEX(APOIO!$D:$D,MATCH(CONCATENATE($B111,$C111),APOIO!$F:$F,0))</f>
        <v>#N/A</v>
      </c>
      <c r="E111" s="36"/>
      <c r="F111" s="37" t="e">
        <f>VLOOKUP($E111,APOIO!$Z:$AC,2,FALSE)</f>
        <v>#N/A</v>
      </c>
      <c r="G111" s="38" t="e">
        <f>VLOOKUP($E111,APOIO!$Z:$AC,4,FALSE)</f>
        <v>#N/A</v>
      </c>
      <c r="H111" s="39"/>
      <c r="I111" s="40" t="e">
        <f>VLOOKUP($H111,APOIO!$W:$X,2,FALSE)</f>
        <v>#N/A</v>
      </c>
      <c r="J111" s="36"/>
      <c r="K111" s="40" t="e">
        <f>VLOOKUP($J111,APOIO!$AE:$AG,2,FALSE)</f>
        <v>#N/A</v>
      </c>
      <c r="L111" s="38" t="e">
        <f>VLOOKUP($J111,APOIO!$AE:$AG,3,FALSE)</f>
        <v>#N/A</v>
      </c>
      <c r="M111" s="36"/>
      <c r="N111" s="37" t="e">
        <f>VLOOKUP($M111,APOIO!$I:$J,2,FALSE)</f>
        <v>#N/A</v>
      </c>
      <c r="O111" s="37"/>
      <c r="P111" s="37"/>
      <c r="Q111" s="37"/>
      <c r="R111" s="37"/>
      <c r="S111" s="41"/>
      <c r="T111" s="91"/>
      <c r="U111" s="92"/>
      <c r="V111" s="43">
        <f t="shared" si="2"/>
        <v>0</v>
      </c>
      <c r="W111" s="36"/>
      <c r="X111" s="87"/>
      <c r="Y111" s="37" t="b">
        <f t="shared" si="3"/>
        <v>1</v>
      </c>
      <c r="Z111" s="84" t="e">
        <f>VLOOKUP($B111,APOIO!$A:$F,5,FALSE)</f>
        <v>#N/A</v>
      </c>
    </row>
    <row r="112" spans="1:26" ht="15" x14ac:dyDescent="0.25">
      <c r="A112" s="36"/>
      <c r="B112" s="37" t="e">
        <f>VLOOKUP($A112,APOIO!$A:$E,1,FALSE)</f>
        <v>#N/A</v>
      </c>
      <c r="C112" s="36"/>
      <c r="D112" s="37" t="e">
        <f>INDEX(APOIO!$D:$D,MATCH(CONCATENATE($B112,$C112),APOIO!$F:$F,0))</f>
        <v>#N/A</v>
      </c>
      <c r="E112" s="36"/>
      <c r="F112" s="37" t="e">
        <f>VLOOKUP($E112,APOIO!$Z:$AC,2,FALSE)</f>
        <v>#N/A</v>
      </c>
      <c r="G112" s="38" t="e">
        <f>VLOOKUP($E112,APOIO!$Z:$AC,4,FALSE)</f>
        <v>#N/A</v>
      </c>
      <c r="H112" s="39"/>
      <c r="I112" s="40" t="e">
        <f>VLOOKUP($H112,APOIO!$W:$X,2,FALSE)</f>
        <v>#N/A</v>
      </c>
      <c r="J112" s="36"/>
      <c r="K112" s="40" t="e">
        <f>VLOOKUP($J112,APOIO!$AE:$AG,2,FALSE)</f>
        <v>#N/A</v>
      </c>
      <c r="L112" s="38" t="e">
        <f>VLOOKUP($J112,APOIO!$AE:$AG,3,FALSE)</f>
        <v>#N/A</v>
      </c>
      <c r="M112" s="36"/>
      <c r="N112" s="37" t="e">
        <f>VLOOKUP($M112,APOIO!$I:$J,2,FALSE)</f>
        <v>#N/A</v>
      </c>
      <c r="O112" s="37"/>
      <c r="P112" s="37"/>
      <c r="Q112" s="37"/>
      <c r="R112" s="37"/>
      <c r="S112" s="41"/>
      <c r="T112" s="91"/>
      <c r="U112" s="92"/>
      <c r="V112" s="43">
        <f t="shared" si="2"/>
        <v>0</v>
      </c>
      <c r="W112" s="36"/>
      <c r="X112" s="87"/>
      <c r="Y112" s="37" t="b">
        <f t="shared" si="3"/>
        <v>1</v>
      </c>
      <c r="Z112" s="84" t="e">
        <f>VLOOKUP($B112,APOIO!$A:$F,5,FALSE)</f>
        <v>#N/A</v>
      </c>
    </row>
    <row r="113" spans="1:26" ht="15" x14ac:dyDescent="0.25">
      <c r="A113" s="36"/>
      <c r="B113" s="37" t="e">
        <f>VLOOKUP($A113,APOIO!$A:$E,1,FALSE)</f>
        <v>#N/A</v>
      </c>
      <c r="C113" s="36"/>
      <c r="D113" s="37" t="e">
        <f>INDEX(APOIO!$D:$D,MATCH(CONCATENATE($B113,$C113),APOIO!$F:$F,0))</f>
        <v>#N/A</v>
      </c>
      <c r="E113" s="36"/>
      <c r="F113" s="37" t="e">
        <f>VLOOKUP($E113,APOIO!$Z:$AC,2,FALSE)</f>
        <v>#N/A</v>
      </c>
      <c r="G113" s="38" t="e">
        <f>VLOOKUP($E113,APOIO!$Z:$AC,4,FALSE)</f>
        <v>#N/A</v>
      </c>
      <c r="H113" s="39"/>
      <c r="I113" s="40" t="e">
        <f>VLOOKUP($H113,APOIO!$W:$X,2,FALSE)</f>
        <v>#N/A</v>
      </c>
      <c r="J113" s="36"/>
      <c r="K113" s="40" t="e">
        <f>VLOOKUP($J113,APOIO!$AE:$AG,2,FALSE)</f>
        <v>#N/A</v>
      </c>
      <c r="L113" s="38" t="e">
        <f>VLOOKUP($J113,APOIO!$AE:$AG,3,FALSE)</f>
        <v>#N/A</v>
      </c>
      <c r="M113" s="36"/>
      <c r="N113" s="37" t="e">
        <f>VLOOKUP($M113,APOIO!$I:$J,2,FALSE)</f>
        <v>#N/A</v>
      </c>
      <c r="O113" s="37"/>
      <c r="P113" s="37"/>
      <c r="Q113" s="37"/>
      <c r="R113" s="37"/>
      <c r="S113" s="41"/>
      <c r="T113" s="91"/>
      <c r="U113" s="92"/>
      <c r="V113" s="43">
        <f t="shared" si="2"/>
        <v>0</v>
      </c>
      <c r="W113" s="36"/>
      <c r="X113" s="87"/>
      <c r="Y113" s="37" t="b">
        <f t="shared" si="3"/>
        <v>1</v>
      </c>
      <c r="Z113" s="84" t="e">
        <f>VLOOKUP($B113,APOIO!$A:$F,5,FALSE)</f>
        <v>#N/A</v>
      </c>
    </row>
    <row r="114" spans="1:26" ht="15" x14ac:dyDescent="0.25">
      <c r="A114" s="36"/>
      <c r="B114" s="37" t="e">
        <f>VLOOKUP($A114,APOIO!$A:$E,1,FALSE)</f>
        <v>#N/A</v>
      </c>
      <c r="C114" s="36"/>
      <c r="D114" s="37" t="e">
        <f>INDEX(APOIO!$D:$D,MATCH(CONCATENATE($B114,$C114),APOIO!$F:$F,0))</f>
        <v>#N/A</v>
      </c>
      <c r="E114" s="36"/>
      <c r="F114" s="37" t="e">
        <f>VLOOKUP($E114,APOIO!$Z:$AC,2,FALSE)</f>
        <v>#N/A</v>
      </c>
      <c r="G114" s="38" t="e">
        <f>VLOOKUP($E114,APOIO!$Z:$AC,4,FALSE)</f>
        <v>#N/A</v>
      </c>
      <c r="H114" s="39"/>
      <c r="I114" s="40" t="e">
        <f>VLOOKUP($H114,APOIO!$W:$X,2,FALSE)</f>
        <v>#N/A</v>
      </c>
      <c r="J114" s="36"/>
      <c r="K114" s="40" t="e">
        <f>VLOOKUP($J114,APOIO!$AE:$AG,2,FALSE)</f>
        <v>#N/A</v>
      </c>
      <c r="L114" s="38" t="e">
        <f>VLOOKUP($J114,APOIO!$AE:$AG,3,FALSE)</f>
        <v>#N/A</v>
      </c>
      <c r="M114" s="36"/>
      <c r="N114" s="37" t="e">
        <f>VLOOKUP($M114,APOIO!$I:$J,2,FALSE)</f>
        <v>#N/A</v>
      </c>
      <c r="O114" s="37"/>
      <c r="P114" s="37"/>
      <c r="Q114" s="37"/>
      <c r="R114" s="37"/>
      <c r="S114" s="41"/>
      <c r="T114" s="91"/>
      <c r="U114" s="92"/>
      <c r="V114" s="43">
        <f t="shared" si="2"/>
        <v>0</v>
      </c>
      <c r="W114" s="36"/>
      <c r="X114" s="87"/>
      <c r="Y114" s="37" t="b">
        <f t="shared" si="3"/>
        <v>1</v>
      </c>
      <c r="Z114" s="84" t="e">
        <f>VLOOKUP($B114,APOIO!$A:$F,5,FALSE)</f>
        <v>#N/A</v>
      </c>
    </row>
    <row r="115" spans="1:26" ht="15" x14ac:dyDescent="0.25">
      <c r="A115" s="36"/>
      <c r="B115" s="37" t="e">
        <f>VLOOKUP($A115,APOIO!$A:$E,1,FALSE)</f>
        <v>#N/A</v>
      </c>
      <c r="C115" s="36"/>
      <c r="D115" s="37" t="e">
        <f>INDEX(APOIO!$D:$D,MATCH(CONCATENATE($B115,$C115),APOIO!$F:$F,0))</f>
        <v>#N/A</v>
      </c>
      <c r="E115" s="36"/>
      <c r="F115" s="37" t="e">
        <f>VLOOKUP($E115,APOIO!$Z:$AC,2,FALSE)</f>
        <v>#N/A</v>
      </c>
      <c r="G115" s="38" t="e">
        <f>VLOOKUP($E115,APOIO!$Z:$AC,4,FALSE)</f>
        <v>#N/A</v>
      </c>
      <c r="H115" s="39"/>
      <c r="I115" s="40" t="e">
        <f>VLOOKUP($H115,APOIO!$W:$X,2,FALSE)</f>
        <v>#N/A</v>
      </c>
      <c r="J115" s="36"/>
      <c r="K115" s="40" t="e">
        <f>VLOOKUP($J115,APOIO!$AE:$AG,2,FALSE)</f>
        <v>#N/A</v>
      </c>
      <c r="L115" s="38" t="e">
        <f>VLOOKUP($J115,APOIO!$AE:$AG,3,FALSE)</f>
        <v>#N/A</v>
      </c>
      <c r="M115" s="36"/>
      <c r="N115" s="37" t="e">
        <f>VLOOKUP($M115,APOIO!$I:$J,2,FALSE)</f>
        <v>#N/A</v>
      </c>
      <c r="O115" s="37"/>
      <c r="P115" s="37"/>
      <c r="Q115" s="37"/>
      <c r="R115" s="37"/>
      <c r="S115" s="41"/>
      <c r="T115" s="91"/>
      <c r="U115" s="92"/>
      <c r="V115" s="43">
        <f t="shared" si="2"/>
        <v>0</v>
      </c>
      <c r="W115" s="36"/>
      <c r="X115" s="87"/>
      <c r="Y115" s="37" t="b">
        <f t="shared" si="3"/>
        <v>1</v>
      </c>
      <c r="Z115" s="84" t="e">
        <f>VLOOKUP($B115,APOIO!$A:$F,5,FALSE)</f>
        <v>#N/A</v>
      </c>
    </row>
    <row r="116" spans="1:26" ht="15" x14ac:dyDescent="0.25">
      <c r="A116" s="36"/>
      <c r="B116" s="37" t="e">
        <f>VLOOKUP($A116,APOIO!$A:$E,1,FALSE)</f>
        <v>#N/A</v>
      </c>
      <c r="C116" s="36"/>
      <c r="D116" s="37" t="e">
        <f>INDEX(APOIO!$D:$D,MATCH(CONCATENATE($B116,$C116),APOIO!$F:$F,0))</f>
        <v>#N/A</v>
      </c>
      <c r="E116" s="36"/>
      <c r="F116" s="37" t="e">
        <f>VLOOKUP($E116,APOIO!$Z:$AC,2,FALSE)</f>
        <v>#N/A</v>
      </c>
      <c r="G116" s="38" t="e">
        <f>VLOOKUP($E116,APOIO!$Z:$AC,4,FALSE)</f>
        <v>#N/A</v>
      </c>
      <c r="H116" s="39"/>
      <c r="I116" s="40" t="e">
        <f>VLOOKUP($H116,APOIO!$W:$X,2,FALSE)</f>
        <v>#N/A</v>
      </c>
      <c r="J116" s="36"/>
      <c r="K116" s="40" t="e">
        <f>VLOOKUP($J116,APOIO!$AE:$AG,2,FALSE)</f>
        <v>#N/A</v>
      </c>
      <c r="L116" s="38" t="e">
        <f>VLOOKUP($J116,APOIO!$AE:$AG,3,FALSE)</f>
        <v>#N/A</v>
      </c>
      <c r="M116" s="36"/>
      <c r="N116" s="37" t="e">
        <f>VLOOKUP($M116,APOIO!$I:$J,2,FALSE)</f>
        <v>#N/A</v>
      </c>
      <c r="O116" s="37"/>
      <c r="P116" s="37"/>
      <c r="Q116" s="37"/>
      <c r="R116" s="37"/>
      <c r="S116" s="41"/>
      <c r="T116" s="91"/>
      <c r="U116" s="92"/>
      <c r="V116" s="43">
        <f t="shared" si="2"/>
        <v>0</v>
      </c>
      <c r="W116" s="36"/>
      <c r="X116" s="87"/>
      <c r="Y116" s="37" t="b">
        <f t="shared" si="3"/>
        <v>1</v>
      </c>
      <c r="Z116" s="84" t="e">
        <f>VLOOKUP($B116,APOIO!$A:$F,5,FALSE)</f>
        <v>#N/A</v>
      </c>
    </row>
    <row r="117" spans="1:26" ht="15" x14ac:dyDescent="0.25">
      <c r="A117" s="36"/>
      <c r="B117" s="37" t="e">
        <f>VLOOKUP($A117,APOIO!$A:$E,1,FALSE)</f>
        <v>#N/A</v>
      </c>
      <c r="C117" s="36"/>
      <c r="D117" s="37" t="e">
        <f>INDEX(APOIO!$D:$D,MATCH(CONCATENATE($B117,$C117),APOIO!$F:$F,0))</f>
        <v>#N/A</v>
      </c>
      <c r="E117" s="36"/>
      <c r="F117" s="37" t="e">
        <f>VLOOKUP($E117,APOIO!$Z:$AC,2,FALSE)</f>
        <v>#N/A</v>
      </c>
      <c r="G117" s="38" t="e">
        <f>VLOOKUP($E117,APOIO!$Z:$AC,4,FALSE)</f>
        <v>#N/A</v>
      </c>
      <c r="H117" s="39"/>
      <c r="I117" s="40" t="e">
        <f>VLOOKUP($H117,APOIO!$W:$X,2,FALSE)</f>
        <v>#N/A</v>
      </c>
      <c r="J117" s="36"/>
      <c r="K117" s="40" t="e">
        <f>VLOOKUP($J117,APOIO!$AE:$AG,2,FALSE)</f>
        <v>#N/A</v>
      </c>
      <c r="L117" s="38" t="e">
        <f>VLOOKUP($J117,APOIO!$AE:$AG,3,FALSE)</f>
        <v>#N/A</v>
      </c>
      <c r="M117" s="36"/>
      <c r="N117" s="37" t="e">
        <f>VLOOKUP($M117,APOIO!$I:$J,2,FALSE)</f>
        <v>#N/A</v>
      </c>
      <c r="O117" s="37"/>
      <c r="P117" s="37"/>
      <c r="Q117" s="37"/>
      <c r="R117" s="37"/>
      <c r="S117" s="41"/>
      <c r="T117" s="91"/>
      <c r="U117" s="92"/>
      <c r="V117" s="43">
        <f t="shared" si="2"/>
        <v>0</v>
      </c>
      <c r="W117" s="36"/>
      <c r="X117" s="87"/>
      <c r="Y117" s="37" t="b">
        <f t="shared" si="3"/>
        <v>1</v>
      </c>
      <c r="Z117" s="84" t="e">
        <f>VLOOKUP($B117,APOIO!$A:$F,5,FALSE)</f>
        <v>#N/A</v>
      </c>
    </row>
    <row r="118" spans="1:26" ht="15" x14ac:dyDescent="0.25">
      <c r="A118" s="36"/>
      <c r="B118" s="37" t="e">
        <f>VLOOKUP($A118,APOIO!$A:$E,1,FALSE)</f>
        <v>#N/A</v>
      </c>
      <c r="C118" s="36"/>
      <c r="D118" s="37" t="e">
        <f>INDEX(APOIO!$D:$D,MATCH(CONCATENATE($B118,$C118),APOIO!$F:$F,0))</f>
        <v>#N/A</v>
      </c>
      <c r="E118" s="36"/>
      <c r="F118" s="37" t="e">
        <f>VLOOKUP($E118,APOIO!$Z:$AC,2,FALSE)</f>
        <v>#N/A</v>
      </c>
      <c r="G118" s="38" t="e">
        <f>VLOOKUP($E118,APOIO!$Z:$AC,4,FALSE)</f>
        <v>#N/A</v>
      </c>
      <c r="H118" s="39"/>
      <c r="I118" s="40" t="e">
        <f>VLOOKUP($H118,APOIO!$W:$X,2,FALSE)</f>
        <v>#N/A</v>
      </c>
      <c r="J118" s="36"/>
      <c r="K118" s="40" t="e">
        <f>VLOOKUP($J118,APOIO!$AE:$AG,2,FALSE)</f>
        <v>#N/A</v>
      </c>
      <c r="L118" s="38" t="e">
        <f>VLOOKUP($J118,APOIO!$AE:$AG,3,FALSE)</f>
        <v>#N/A</v>
      </c>
      <c r="M118" s="36"/>
      <c r="N118" s="37" t="e">
        <f>VLOOKUP($M118,APOIO!$I:$J,2,FALSE)</f>
        <v>#N/A</v>
      </c>
      <c r="O118" s="37"/>
      <c r="P118" s="37"/>
      <c r="Q118" s="37"/>
      <c r="R118" s="37"/>
      <c r="S118" s="41"/>
      <c r="T118" s="91"/>
      <c r="U118" s="92"/>
      <c r="V118" s="43">
        <f t="shared" si="2"/>
        <v>0</v>
      </c>
      <c r="W118" s="36"/>
      <c r="X118" s="87"/>
      <c r="Y118" s="37" t="b">
        <f t="shared" si="3"/>
        <v>1</v>
      </c>
      <c r="Z118" s="84" t="e">
        <f>VLOOKUP($B118,APOIO!$A:$F,5,FALSE)</f>
        <v>#N/A</v>
      </c>
    </row>
    <row r="119" spans="1:26" ht="15" x14ac:dyDescent="0.25">
      <c r="A119" s="36"/>
      <c r="B119" s="37" t="e">
        <f>VLOOKUP($A119,APOIO!$A:$E,1,FALSE)</f>
        <v>#N/A</v>
      </c>
      <c r="C119" s="36"/>
      <c r="D119" s="37" t="e">
        <f>INDEX(APOIO!$D:$D,MATCH(CONCATENATE($B119,$C119),APOIO!$F:$F,0))</f>
        <v>#N/A</v>
      </c>
      <c r="E119" s="36"/>
      <c r="F119" s="37" t="e">
        <f>VLOOKUP($E119,APOIO!$Z:$AC,2,FALSE)</f>
        <v>#N/A</v>
      </c>
      <c r="G119" s="38" t="e">
        <f>VLOOKUP($E119,APOIO!$Z:$AC,4,FALSE)</f>
        <v>#N/A</v>
      </c>
      <c r="H119" s="39"/>
      <c r="I119" s="40" t="e">
        <f>VLOOKUP($H119,APOIO!$W:$X,2,FALSE)</f>
        <v>#N/A</v>
      </c>
      <c r="J119" s="36"/>
      <c r="K119" s="40" t="e">
        <f>VLOOKUP($J119,APOIO!$AE:$AG,2,FALSE)</f>
        <v>#N/A</v>
      </c>
      <c r="L119" s="38" t="e">
        <f>VLOOKUP($J119,APOIO!$AE:$AG,3,FALSE)</f>
        <v>#N/A</v>
      </c>
      <c r="M119" s="36"/>
      <c r="N119" s="37" t="e">
        <f>VLOOKUP($M119,APOIO!$I:$J,2,FALSE)</f>
        <v>#N/A</v>
      </c>
      <c r="O119" s="37"/>
      <c r="P119" s="37"/>
      <c r="Q119" s="37"/>
      <c r="R119" s="37"/>
      <c r="S119" s="41"/>
      <c r="T119" s="91"/>
      <c r="U119" s="92"/>
      <c r="V119" s="43">
        <f t="shared" si="2"/>
        <v>0</v>
      </c>
      <c r="W119" s="36"/>
      <c r="X119" s="87"/>
      <c r="Y119" s="37" t="b">
        <f t="shared" si="3"/>
        <v>1</v>
      </c>
      <c r="Z119" s="84" t="e">
        <f>VLOOKUP($B119,APOIO!$A:$F,5,FALSE)</f>
        <v>#N/A</v>
      </c>
    </row>
    <row r="120" spans="1:26" ht="15" x14ac:dyDescent="0.25">
      <c r="A120" s="36"/>
      <c r="B120" s="37" t="e">
        <f>VLOOKUP($A120,APOIO!$A:$E,1,FALSE)</f>
        <v>#N/A</v>
      </c>
      <c r="C120" s="36"/>
      <c r="D120" s="37" t="e">
        <f>INDEX(APOIO!$D:$D,MATCH(CONCATENATE($B120,$C120),APOIO!$F:$F,0))</f>
        <v>#N/A</v>
      </c>
      <c r="E120" s="36"/>
      <c r="F120" s="37" t="e">
        <f>VLOOKUP($E120,APOIO!$Z:$AC,2,FALSE)</f>
        <v>#N/A</v>
      </c>
      <c r="G120" s="38" t="e">
        <f>VLOOKUP($E120,APOIO!$Z:$AC,4,FALSE)</f>
        <v>#N/A</v>
      </c>
      <c r="H120" s="39"/>
      <c r="I120" s="40" t="e">
        <f>VLOOKUP($H120,APOIO!$W:$X,2,FALSE)</f>
        <v>#N/A</v>
      </c>
      <c r="J120" s="36"/>
      <c r="K120" s="40" t="e">
        <f>VLOOKUP($J120,APOIO!$AE:$AG,2,FALSE)</f>
        <v>#N/A</v>
      </c>
      <c r="L120" s="38" t="e">
        <f>VLOOKUP($J120,APOIO!$AE:$AG,3,FALSE)</f>
        <v>#N/A</v>
      </c>
      <c r="M120" s="36"/>
      <c r="N120" s="37" t="e">
        <f>VLOOKUP($M120,APOIO!$I:$J,2,FALSE)</f>
        <v>#N/A</v>
      </c>
      <c r="O120" s="37"/>
      <c r="P120" s="37"/>
      <c r="Q120" s="37"/>
      <c r="R120" s="37"/>
      <c r="S120" s="41"/>
      <c r="T120" s="91"/>
      <c r="U120" s="92"/>
      <c r="V120" s="43">
        <f t="shared" si="2"/>
        <v>0</v>
      </c>
      <c r="W120" s="36"/>
      <c r="X120" s="87"/>
      <c r="Y120" s="37" t="b">
        <f t="shared" si="3"/>
        <v>1</v>
      </c>
      <c r="Z120" s="84" t="e">
        <f>VLOOKUP($B120,APOIO!$A:$F,5,FALSE)</f>
        <v>#N/A</v>
      </c>
    </row>
    <row r="121" spans="1:26" ht="15" x14ac:dyDescent="0.25">
      <c r="A121" s="36"/>
      <c r="B121" s="37" t="e">
        <f>VLOOKUP($A121,APOIO!$A:$E,1,FALSE)</f>
        <v>#N/A</v>
      </c>
      <c r="C121" s="36"/>
      <c r="D121" s="37" t="e">
        <f>INDEX(APOIO!$D:$D,MATCH(CONCATENATE($B121,$C121),APOIO!$F:$F,0))</f>
        <v>#N/A</v>
      </c>
      <c r="E121" s="36"/>
      <c r="F121" s="37" t="e">
        <f>VLOOKUP($E121,APOIO!$Z:$AC,2,FALSE)</f>
        <v>#N/A</v>
      </c>
      <c r="G121" s="38" t="e">
        <f>VLOOKUP($E121,APOIO!$Z:$AC,4,FALSE)</f>
        <v>#N/A</v>
      </c>
      <c r="H121" s="39"/>
      <c r="I121" s="40" t="e">
        <f>VLOOKUP($H121,APOIO!$W:$X,2,FALSE)</f>
        <v>#N/A</v>
      </c>
      <c r="J121" s="36"/>
      <c r="K121" s="40" t="e">
        <f>VLOOKUP($J121,APOIO!$AE:$AG,2,FALSE)</f>
        <v>#N/A</v>
      </c>
      <c r="L121" s="38" t="e">
        <f>VLOOKUP($J121,APOIO!$AE:$AG,3,FALSE)</f>
        <v>#N/A</v>
      </c>
      <c r="M121" s="36"/>
      <c r="N121" s="37" t="e">
        <f>VLOOKUP($M121,APOIO!$I:$J,2,FALSE)</f>
        <v>#N/A</v>
      </c>
      <c r="O121" s="37"/>
      <c r="P121" s="37"/>
      <c r="Q121" s="37"/>
      <c r="R121" s="37"/>
      <c r="S121" s="41"/>
      <c r="T121" s="91"/>
      <c r="U121" s="92"/>
      <c r="V121" s="43">
        <f t="shared" si="2"/>
        <v>0</v>
      </c>
      <c r="W121" s="36"/>
      <c r="X121" s="87"/>
      <c r="Y121" s="37" t="b">
        <f t="shared" si="3"/>
        <v>1</v>
      </c>
      <c r="Z121" s="84" t="e">
        <f>VLOOKUP($B121,APOIO!$A:$F,5,FALSE)</f>
        <v>#N/A</v>
      </c>
    </row>
    <row r="122" spans="1:26" ht="15" x14ac:dyDescent="0.25">
      <c r="A122" s="36"/>
      <c r="B122" s="37" t="e">
        <f>VLOOKUP($A122,APOIO!$A:$E,1,FALSE)</f>
        <v>#N/A</v>
      </c>
      <c r="C122" s="36"/>
      <c r="D122" s="37" t="e">
        <f>INDEX(APOIO!$D:$D,MATCH(CONCATENATE($B122,$C122),APOIO!$F:$F,0))</f>
        <v>#N/A</v>
      </c>
      <c r="E122" s="36"/>
      <c r="F122" s="37" t="e">
        <f>VLOOKUP($E122,APOIO!$Z:$AC,2,FALSE)</f>
        <v>#N/A</v>
      </c>
      <c r="G122" s="38" t="e">
        <f>VLOOKUP($E122,APOIO!$Z:$AC,4,FALSE)</f>
        <v>#N/A</v>
      </c>
      <c r="H122" s="39"/>
      <c r="I122" s="40" t="e">
        <f>VLOOKUP($H122,APOIO!$W:$X,2,FALSE)</f>
        <v>#N/A</v>
      </c>
      <c r="J122" s="36"/>
      <c r="K122" s="40" t="e">
        <f>VLOOKUP($J122,APOIO!$AE:$AG,2,FALSE)</f>
        <v>#N/A</v>
      </c>
      <c r="L122" s="38" t="e">
        <f>VLOOKUP($J122,APOIO!$AE:$AG,3,FALSE)</f>
        <v>#N/A</v>
      </c>
      <c r="M122" s="36"/>
      <c r="N122" s="37" t="e">
        <f>VLOOKUP($M122,APOIO!$I:$J,2,FALSE)</f>
        <v>#N/A</v>
      </c>
      <c r="O122" s="37"/>
      <c r="P122" s="37"/>
      <c r="Q122" s="37"/>
      <c r="R122" s="37"/>
      <c r="S122" s="41"/>
      <c r="T122" s="91"/>
      <c r="U122" s="92"/>
      <c r="V122" s="43">
        <f t="shared" si="2"/>
        <v>0</v>
      </c>
      <c r="W122" s="36"/>
      <c r="X122" s="87"/>
      <c r="Y122" s="37" t="b">
        <f t="shared" si="3"/>
        <v>1</v>
      </c>
      <c r="Z122" s="84" t="e">
        <f>VLOOKUP($B122,APOIO!$A:$F,5,FALSE)</f>
        <v>#N/A</v>
      </c>
    </row>
    <row r="123" spans="1:26" ht="15" x14ac:dyDescent="0.25">
      <c r="A123" s="36"/>
      <c r="B123" s="37" t="e">
        <f>VLOOKUP($A123,APOIO!$A:$E,1,FALSE)</f>
        <v>#N/A</v>
      </c>
      <c r="C123" s="36"/>
      <c r="D123" s="37" t="e">
        <f>INDEX(APOIO!$D:$D,MATCH(CONCATENATE($B123,$C123),APOIO!$F:$F,0))</f>
        <v>#N/A</v>
      </c>
      <c r="E123" s="36"/>
      <c r="F123" s="37" t="e">
        <f>VLOOKUP($E123,APOIO!$Z:$AC,2,FALSE)</f>
        <v>#N/A</v>
      </c>
      <c r="G123" s="38" t="e">
        <f>VLOOKUP($E123,APOIO!$Z:$AC,4,FALSE)</f>
        <v>#N/A</v>
      </c>
      <c r="H123" s="39"/>
      <c r="I123" s="40" t="e">
        <f>VLOOKUP($H123,APOIO!$W:$X,2,FALSE)</f>
        <v>#N/A</v>
      </c>
      <c r="J123" s="36"/>
      <c r="K123" s="40" t="e">
        <f>VLOOKUP($J123,APOIO!$AE:$AG,2,FALSE)</f>
        <v>#N/A</v>
      </c>
      <c r="L123" s="38" t="e">
        <f>VLOOKUP($J123,APOIO!$AE:$AG,3,FALSE)</f>
        <v>#N/A</v>
      </c>
      <c r="M123" s="36"/>
      <c r="N123" s="37" t="e">
        <f>VLOOKUP($M123,APOIO!$I:$J,2,FALSE)</f>
        <v>#N/A</v>
      </c>
      <c r="O123" s="37"/>
      <c r="P123" s="37"/>
      <c r="Q123" s="37"/>
      <c r="R123" s="37"/>
      <c r="S123" s="41"/>
      <c r="T123" s="91"/>
      <c r="U123" s="92"/>
      <c r="V123" s="43">
        <f t="shared" si="2"/>
        <v>0</v>
      </c>
      <c r="W123" s="36"/>
      <c r="X123" s="87"/>
      <c r="Y123" s="37" t="b">
        <f t="shared" si="3"/>
        <v>1</v>
      </c>
      <c r="Z123" s="84" t="e">
        <f>VLOOKUP($B123,APOIO!$A:$F,5,FALSE)</f>
        <v>#N/A</v>
      </c>
    </row>
    <row r="124" spans="1:26" ht="15" x14ac:dyDescent="0.25">
      <c r="A124" s="36"/>
      <c r="B124" s="37" t="e">
        <f>VLOOKUP($A124,APOIO!$A:$E,1,FALSE)</f>
        <v>#N/A</v>
      </c>
      <c r="C124" s="36"/>
      <c r="D124" s="37" t="e">
        <f>INDEX(APOIO!$D:$D,MATCH(CONCATENATE($B124,$C124),APOIO!$F:$F,0))</f>
        <v>#N/A</v>
      </c>
      <c r="E124" s="36"/>
      <c r="F124" s="37" t="e">
        <f>VLOOKUP($E124,APOIO!$Z:$AC,2,FALSE)</f>
        <v>#N/A</v>
      </c>
      <c r="G124" s="38" t="e">
        <f>VLOOKUP($E124,APOIO!$Z:$AC,4,FALSE)</f>
        <v>#N/A</v>
      </c>
      <c r="H124" s="39"/>
      <c r="I124" s="40" t="e">
        <f>VLOOKUP($H124,APOIO!$W:$X,2,FALSE)</f>
        <v>#N/A</v>
      </c>
      <c r="J124" s="36"/>
      <c r="K124" s="40" t="e">
        <f>VLOOKUP($J124,APOIO!$AE:$AG,2,FALSE)</f>
        <v>#N/A</v>
      </c>
      <c r="L124" s="38" t="e">
        <f>VLOOKUP($J124,APOIO!$AE:$AG,3,FALSE)</f>
        <v>#N/A</v>
      </c>
      <c r="M124" s="36"/>
      <c r="N124" s="37" t="e">
        <f>VLOOKUP($M124,APOIO!$I:$J,2,FALSE)</f>
        <v>#N/A</v>
      </c>
      <c r="O124" s="37"/>
      <c r="P124" s="37"/>
      <c r="Q124" s="37"/>
      <c r="R124" s="37"/>
      <c r="S124" s="41"/>
      <c r="T124" s="91"/>
      <c r="U124" s="92"/>
      <c r="V124" s="43">
        <f t="shared" si="2"/>
        <v>0</v>
      </c>
      <c r="W124" s="36"/>
      <c r="X124" s="87"/>
      <c r="Y124" s="37" t="b">
        <f t="shared" si="3"/>
        <v>1</v>
      </c>
      <c r="Z124" s="84" t="e">
        <f>VLOOKUP($B124,APOIO!$A:$F,5,FALSE)</f>
        <v>#N/A</v>
      </c>
    </row>
    <row r="125" spans="1:26" ht="15" x14ac:dyDescent="0.25">
      <c r="A125" s="36"/>
      <c r="B125" s="37" t="e">
        <f>VLOOKUP($A125,APOIO!$A:$E,1,FALSE)</f>
        <v>#N/A</v>
      </c>
      <c r="C125" s="36"/>
      <c r="D125" s="37" t="e">
        <f>INDEX(APOIO!$D:$D,MATCH(CONCATENATE($B125,$C125),APOIO!$F:$F,0))</f>
        <v>#N/A</v>
      </c>
      <c r="E125" s="36"/>
      <c r="F125" s="37" t="e">
        <f>VLOOKUP($E125,APOIO!$Z:$AC,2,FALSE)</f>
        <v>#N/A</v>
      </c>
      <c r="G125" s="38" t="e">
        <f>VLOOKUP($E125,APOIO!$Z:$AC,4,FALSE)</f>
        <v>#N/A</v>
      </c>
      <c r="H125" s="39"/>
      <c r="I125" s="40" t="e">
        <f>VLOOKUP($H125,APOIO!$W:$X,2,FALSE)</f>
        <v>#N/A</v>
      </c>
      <c r="J125" s="36"/>
      <c r="K125" s="40" t="e">
        <f>VLOOKUP($J125,APOIO!$AE:$AG,2,FALSE)</f>
        <v>#N/A</v>
      </c>
      <c r="L125" s="38" t="e">
        <f>VLOOKUP($J125,APOIO!$AE:$AG,3,FALSE)</f>
        <v>#N/A</v>
      </c>
      <c r="M125" s="36"/>
      <c r="N125" s="37" t="e">
        <f>VLOOKUP($M125,APOIO!$I:$J,2,FALSE)</f>
        <v>#N/A</v>
      </c>
      <c r="O125" s="37"/>
      <c r="P125" s="37"/>
      <c r="Q125" s="37"/>
      <c r="R125" s="37"/>
      <c r="S125" s="41"/>
      <c r="T125" s="91"/>
      <c r="U125" s="92"/>
      <c r="V125" s="43">
        <f t="shared" si="2"/>
        <v>0</v>
      </c>
      <c r="W125" s="36"/>
      <c r="X125" s="87"/>
      <c r="Y125" s="37" t="b">
        <f t="shared" si="3"/>
        <v>1</v>
      </c>
      <c r="Z125" s="84" t="e">
        <f>VLOOKUP($B125,APOIO!$A:$F,5,FALSE)</f>
        <v>#N/A</v>
      </c>
    </row>
    <row r="126" spans="1:26" ht="15" x14ac:dyDescent="0.25">
      <c r="A126" s="36"/>
      <c r="B126" s="37" t="e">
        <f>VLOOKUP($A126,APOIO!$A:$E,1,FALSE)</f>
        <v>#N/A</v>
      </c>
      <c r="C126" s="36"/>
      <c r="D126" s="37" t="e">
        <f>INDEX(APOIO!$D:$D,MATCH(CONCATENATE($B126,$C126),APOIO!$F:$F,0))</f>
        <v>#N/A</v>
      </c>
      <c r="E126" s="36"/>
      <c r="F126" s="37" t="e">
        <f>VLOOKUP($E126,APOIO!$Z:$AC,2,FALSE)</f>
        <v>#N/A</v>
      </c>
      <c r="G126" s="38" t="e">
        <f>VLOOKUP($E126,APOIO!$Z:$AC,4,FALSE)</f>
        <v>#N/A</v>
      </c>
      <c r="H126" s="39"/>
      <c r="I126" s="40" t="e">
        <f>VLOOKUP($H126,APOIO!$W:$X,2,FALSE)</f>
        <v>#N/A</v>
      </c>
      <c r="J126" s="36"/>
      <c r="K126" s="40" t="e">
        <f>VLOOKUP($J126,APOIO!$AE:$AG,2,FALSE)</f>
        <v>#N/A</v>
      </c>
      <c r="L126" s="38" t="e">
        <f>VLOOKUP($J126,APOIO!$AE:$AG,3,FALSE)</f>
        <v>#N/A</v>
      </c>
      <c r="M126" s="36"/>
      <c r="N126" s="37" t="e">
        <f>VLOOKUP($M126,APOIO!$I:$J,2,FALSE)</f>
        <v>#N/A</v>
      </c>
      <c r="O126" s="37"/>
      <c r="P126" s="37"/>
      <c r="Q126" s="37"/>
      <c r="R126" s="37"/>
      <c r="S126" s="41"/>
      <c r="T126" s="91"/>
      <c r="U126" s="92"/>
      <c r="V126" s="43">
        <f t="shared" si="2"/>
        <v>0</v>
      </c>
      <c r="W126" s="36"/>
      <c r="X126" s="87"/>
      <c r="Y126" s="37" t="b">
        <f t="shared" si="3"/>
        <v>1</v>
      </c>
      <c r="Z126" s="84" t="e">
        <f>VLOOKUP($B126,APOIO!$A:$F,5,FALSE)</f>
        <v>#N/A</v>
      </c>
    </row>
    <row r="127" spans="1:26" ht="15" x14ac:dyDescent="0.25">
      <c r="A127" s="36"/>
      <c r="B127" s="37" t="e">
        <f>VLOOKUP($A127,APOIO!$A:$E,1,FALSE)</f>
        <v>#N/A</v>
      </c>
      <c r="C127" s="36"/>
      <c r="D127" s="37" t="e">
        <f>INDEX(APOIO!$D:$D,MATCH(CONCATENATE($B127,$C127),APOIO!$F:$F,0))</f>
        <v>#N/A</v>
      </c>
      <c r="E127" s="36"/>
      <c r="F127" s="37" t="e">
        <f>VLOOKUP($E127,APOIO!$Z:$AC,2,FALSE)</f>
        <v>#N/A</v>
      </c>
      <c r="G127" s="38" t="e">
        <f>VLOOKUP($E127,APOIO!$Z:$AC,4,FALSE)</f>
        <v>#N/A</v>
      </c>
      <c r="H127" s="39"/>
      <c r="I127" s="40" t="e">
        <f>VLOOKUP($H127,APOIO!$W:$X,2,FALSE)</f>
        <v>#N/A</v>
      </c>
      <c r="J127" s="36"/>
      <c r="K127" s="40" t="e">
        <f>VLOOKUP($J127,APOIO!$AE:$AG,2,FALSE)</f>
        <v>#N/A</v>
      </c>
      <c r="L127" s="38" t="e">
        <f>VLOOKUP($J127,APOIO!$AE:$AG,3,FALSE)</f>
        <v>#N/A</v>
      </c>
      <c r="M127" s="36"/>
      <c r="N127" s="37" t="e">
        <f>VLOOKUP($M127,APOIO!$I:$J,2,FALSE)</f>
        <v>#N/A</v>
      </c>
      <c r="O127" s="37"/>
      <c r="P127" s="37"/>
      <c r="Q127" s="37"/>
      <c r="R127" s="37"/>
      <c r="S127" s="41"/>
      <c r="T127" s="91"/>
      <c r="U127" s="92"/>
      <c r="V127" s="43">
        <f t="shared" si="2"/>
        <v>0</v>
      </c>
      <c r="W127" s="36"/>
      <c r="X127" s="87"/>
      <c r="Y127" s="37" t="b">
        <f t="shared" si="3"/>
        <v>1</v>
      </c>
      <c r="Z127" s="84" t="e">
        <f>VLOOKUP($B127,APOIO!$A:$F,5,FALSE)</f>
        <v>#N/A</v>
      </c>
    </row>
    <row r="128" spans="1:26" ht="15" x14ac:dyDescent="0.25">
      <c r="A128" s="36"/>
      <c r="B128" s="37" t="e">
        <f>VLOOKUP($A128,APOIO!$A:$E,1,FALSE)</f>
        <v>#N/A</v>
      </c>
      <c r="C128" s="36"/>
      <c r="D128" s="37" t="e">
        <f>INDEX(APOIO!$D:$D,MATCH(CONCATENATE($B128,$C128),APOIO!$F:$F,0))</f>
        <v>#N/A</v>
      </c>
      <c r="E128" s="36"/>
      <c r="F128" s="37" t="e">
        <f>VLOOKUP($E128,APOIO!$Z:$AC,2,FALSE)</f>
        <v>#N/A</v>
      </c>
      <c r="G128" s="38" t="e">
        <f>VLOOKUP($E128,APOIO!$Z:$AC,4,FALSE)</f>
        <v>#N/A</v>
      </c>
      <c r="H128" s="39"/>
      <c r="I128" s="40" t="e">
        <f>VLOOKUP($H128,APOIO!$W:$X,2,FALSE)</f>
        <v>#N/A</v>
      </c>
      <c r="J128" s="36"/>
      <c r="K128" s="40" t="e">
        <f>VLOOKUP($J128,APOIO!$AE:$AG,2,FALSE)</f>
        <v>#N/A</v>
      </c>
      <c r="L128" s="38" t="e">
        <f>VLOOKUP($J128,APOIO!$AE:$AG,3,FALSE)</f>
        <v>#N/A</v>
      </c>
      <c r="M128" s="36"/>
      <c r="N128" s="37" t="e">
        <f>VLOOKUP($M128,APOIO!$I:$J,2,FALSE)</f>
        <v>#N/A</v>
      </c>
      <c r="O128" s="37"/>
      <c r="P128" s="37"/>
      <c r="Q128" s="37"/>
      <c r="R128" s="37"/>
      <c r="S128" s="41"/>
      <c r="T128" s="91"/>
      <c r="U128" s="92"/>
      <c r="V128" s="43">
        <f t="shared" si="2"/>
        <v>0</v>
      </c>
      <c r="W128" s="36"/>
      <c r="X128" s="87"/>
      <c r="Y128" s="37" t="b">
        <f t="shared" si="3"/>
        <v>1</v>
      </c>
      <c r="Z128" s="84" t="e">
        <f>VLOOKUP($B128,APOIO!$A:$F,5,FALSE)</f>
        <v>#N/A</v>
      </c>
    </row>
    <row r="129" spans="1:26" ht="15" x14ac:dyDescent="0.25">
      <c r="A129" s="36"/>
      <c r="B129" s="37" t="e">
        <f>VLOOKUP($A129,APOIO!$A:$E,1,FALSE)</f>
        <v>#N/A</v>
      </c>
      <c r="C129" s="36"/>
      <c r="D129" s="37" t="e">
        <f>INDEX(APOIO!$D:$D,MATCH(CONCATENATE($B129,$C129),APOIO!$F:$F,0))</f>
        <v>#N/A</v>
      </c>
      <c r="E129" s="36"/>
      <c r="F129" s="37" t="e">
        <f>VLOOKUP($E129,APOIO!$Z:$AC,2,FALSE)</f>
        <v>#N/A</v>
      </c>
      <c r="G129" s="38" t="e">
        <f>VLOOKUP($E129,APOIO!$Z:$AC,4,FALSE)</f>
        <v>#N/A</v>
      </c>
      <c r="H129" s="39"/>
      <c r="I129" s="40" t="e">
        <f>VLOOKUP($H129,APOIO!$W:$X,2,FALSE)</f>
        <v>#N/A</v>
      </c>
      <c r="J129" s="36"/>
      <c r="K129" s="40" t="e">
        <f>VLOOKUP($J129,APOIO!$AE:$AG,2,FALSE)</f>
        <v>#N/A</v>
      </c>
      <c r="L129" s="38" t="e">
        <f>VLOOKUP($J129,APOIO!$AE:$AG,3,FALSE)</f>
        <v>#N/A</v>
      </c>
      <c r="M129" s="36"/>
      <c r="N129" s="37" t="e">
        <f>VLOOKUP($M129,APOIO!$I:$J,2,FALSE)</f>
        <v>#N/A</v>
      </c>
      <c r="O129" s="37"/>
      <c r="P129" s="37"/>
      <c r="Q129" s="37"/>
      <c r="R129" s="37"/>
      <c r="S129" s="41"/>
      <c r="T129" s="91"/>
      <c r="U129" s="92"/>
      <c r="V129" s="43">
        <f t="shared" si="2"/>
        <v>0</v>
      </c>
      <c r="W129" s="36"/>
      <c r="X129" s="87"/>
      <c r="Y129" s="37" t="b">
        <f t="shared" si="3"/>
        <v>1</v>
      </c>
      <c r="Z129" s="84" t="e">
        <f>VLOOKUP($B129,APOIO!$A:$F,5,FALSE)</f>
        <v>#N/A</v>
      </c>
    </row>
    <row r="130" spans="1:26" ht="15" x14ac:dyDescent="0.25">
      <c r="A130" s="36"/>
      <c r="B130" s="37" t="e">
        <f>VLOOKUP($A130,APOIO!$A:$E,1,FALSE)</f>
        <v>#N/A</v>
      </c>
      <c r="C130" s="36"/>
      <c r="D130" s="37" t="e">
        <f>INDEX(APOIO!$D:$D,MATCH(CONCATENATE($B130,$C130),APOIO!$F:$F,0))</f>
        <v>#N/A</v>
      </c>
      <c r="E130" s="36"/>
      <c r="F130" s="37" t="e">
        <f>VLOOKUP($E130,APOIO!$Z:$AC,2,FALSE)</f>
        <v>#N/A</v>
      </c>
      <c r="G130" s="38" t="e">
        <f>VLOOKUP($E130,APOIO!$Z:$AC,4,FALSE)</f>
        <v>#N/A</v>
      </c>
      <c r="H130" s="39"/>
      <c r="I130" s="40" t="e">
        <f>VLOOKUP($H130,APOIO!$W:$X,2,FALSE)</f>
        <v>#N/A</v>
      </c>
      <c r="J130" s="36"/>
      <c r="K130" s="40" t="e">
        <f>VLOOKUP($J130,APOIO!$AE:$AG,2,FALSE)</f>
        <v>#N/A</v>
      </c>
      <c r="L130" s="38" t="e">
        <f>VLOOKUP($J130,APOIO!$AE:$AG,3,FALSE)</f>
        <v>#N/A</v>
      </c>
      <c r="M130" s="36"/>
      <c r="N130" s="37" t="e">
        <f>VLOOKUP($M130,APOIO!$I:$J,2,FALSE)</f>
        <v>#N/A</v>
      </c>
      <c r="O130" s="37"/>
      <c r="P130" s="37"/>
      <c r="Q130" s="37"/>
      <c r="R130" s="37"/>
      <c r="S130" s="41"/>
      <c r="T130" s="91"/>
      <c r="U130" s="92"/>
      <c r="V130" s="43">
        <f t="shared" si="2"/>
        <v>0</v>
      </c>
      <c r="W130" s="36"/>
      <c r="X130" s="87"/>
      <c r="Y130" s="37" t="b">
        <f t="shared" si="3"/>
        <v>1</v>
      </c>
      <c r="Z130" s="84" t="e">
        <f>VLOOKUP($B130,APOIO!$A:$F,5,FALSE)</f>
        <v>#N/A</v>
      </c>
    </row>
    <row r="131" spans="1:26" ht="15" x14ac:dyDescent="0.25">
      <c r="A131" s="36"/>
      <c r="B131" s="37" t="e">
        <f>VLOOKUP($A131,APOIO!$A:$E,1,FALSE)</f>
        <v>#N/A</v>
      </c>
      <c r="C131" s="36"/>
      <c r="D131" s="37" t="e">
        <f>INDEX(APOIO!$D:$D,MATCH(CONCATENATE($B131,$C131),APOIO!$F:$F,0))</f>
        <v>#N/A</v>
      </c>
      <c r="E131" s="36"/>
      <c r="F131" s="37" t="e">
        <f>VLOOKUP($E131,APOIO!$Z:$AC,2,FALSE)</f>
        <v>#N/A</v>
      </c>
      <c r="G131" s="38" t="e">
        <f>VLOOKUP($E131,APOIO!$Z:$AC,4,FALSE)</f>
        <v>#N/A</v>
      </c>
      <c r="H131" s="39"/>
      <c r="I131" s="40" t="e">
        <f>VLOOKUP($H131,APOIO!$W:$X,2,FALSE)</f>
        <v>#N/A</v>
      </c>
      <c r="J131" s="36"/>
      <c r="K131" s="40" t="e">
        <f>VLOOKUP($J131,APOIO!$AE:$AG,2,FALSE)</f>
        <v>#N/A</v>
      </c>
      <c r="L131" s="38" t="e">
        <f>VLOOKUP($J131,APOIO!$AE:$AG,3,FALSE)</f>
        <v>#N/A</v>
      </c>
      <c r="M131" s="36"/>
      <c r="N131" s="37" t="e">
        <f>VLOOKUP($M131,APOIO!$I:$J,2,FALSE)</f>
        <v>#N/A</v>
      </c>
      <c r="O131" s="37"/>
      <c r="P131" s="37"/>
      <c r="Q131" s="37"/>
      <c r="R131" s="37"/>
      <c r="S131" s="41"/>
      <c r="T131" s="91"/>
      <c r="U131" s="92"/>
      <c r="V131" s="43">
        <f t="shared" si="2"/>
        <v>0</v>
      </c>
      <c r="W131" s="36"/>
      <c r="X131" s="87"/>
      <c r="Y131" s="37" t="b">
        <f t="shared" si="3"/>
        <v>1</v>
      </c>
      <c r="Z131" s="84" t="e">
        <f>VLOOKUP($B131,APOIO!$A:$F,5,FALSE)</f>
        <v>#N/A</v>
      </c>
    </row>
    <row r="132" spans="1:26" ht="15" x14ac:dyDescent="0.25">
      <c r="A132" s="36"/>
      <c r="B132" s="37" t="e">
        <f>VLOOKUP($A132,APOIO!$A:$E,1,FALSE)</f>
        <v>#N/A</v>
      </c>
      <c r="C132" s="36"/>
      <c r="D132" s="37" t="e">
        <f>INDEX(APOIO!$D:$D,MATCH(CONCATENATE($B132,$C132),APOIO!$F:$F,0))</f>
        <v>#N/A</v>
      </c>
      <c r="E132" s="36"/>
      <c r="F132" s="37" t="e">
        <f>VLOOKUP($E132,APOIO!$Z:$AC,2,FALSE)</f>
        <v>#N/A</v>
      </c>
      <c r="G132" s="38" t="e">
        <f>VLOOKUP($E132,APOIO!$Z:$AC,4,FALSE)</f>
        <v>#N/A</v>
      </c>
      <c r="H132" s="39"/>
      <c r="I132" s="40" t="e">
        <f>VLOOKUP($H132,APOIO!$W:$X,2,FALSE)</f>
        <v>#N/A</v>
      </c>
      <c r="J132" s="36"/>
      <c r="K132" s="40" t="e">
        <f>VLOOKUP($J132,APOIO!$AE:$AG,2,FALSE)</f>
        <v>#N/A</v>
      </c>
      <c r="L132" s="38" t="e">
        <f>VLOOKUP($J132,APOIO!$AE:$AG,3,FALSE)</f>
        <v>#N/A</v>
      </c>
      <c r="M132" s="36"/>
      <c r="N132" s="37" t="e">
        <f>VLOOKUP($M132,APOIO!$I:$J,2,FALSE)</f>
        <v>#N/A</v>
      </c>
      <c r="O132" s="37"/>
      <c r="P132" s="37"/>
      <c r="Q132" s="37"/>
      <c r="R132" s="37"/>
      <c r="S132" s="41"/>
      <c r="T132" s="91"/>
      <c r="U132" s="92"/>
      <c r="V132" s="43">
        <f t="shared" si="2"/>
        <v>0</v>
      </c>
      <c r="W132" s="36"/>
      <c r="X132" s="87"/>
      <c r="Y132" s="37" t="b">
        <f t="shared" si="3"/>
        <v>1</v>
      </c>
      <c r="Z132" s="84" t="e">
        <f>VLOOKUP($B132,APOIO!$A:$F,5,FALSE)</f>
        <v>#N/A</v>
      </c>
    </row>
    <row r="133" spans="1:26" ht="15" x14ac:dyDescent="0.25">
      <c r="A133" s="36"/>
      <c r="B133" s="37" t="e">
        <f>VLOOKUP($A133,APOIO!$A:$E,1,FALSE)</f>
        <v>#N/A</v>
      </c>
      <c r="C133" s="36"/>
      <c r="D133" s="37" t="e">
        <f>INDEX(APOIO!$D:$D,MATCH(CONCATENATE($B133,$C133),APOIO!$F:$F,0))</f>
        <v>#N/A</v>
      </c>
      <c r="E133" s="36"/>
      <c r="F133" s="37" t="e">
        <f>VLOOKUP($E133,APOIO!$Z:$AC,2,FALSE)</f>
        <v>#N/A</v>
      </c>
      <c r="G133" s="38" t="e">
        <f>VLOOKUP($E133,APOIO!$Z:$AC,4,FALSE)</f>
        <v>#N/A</v>
      </c>
      <c r="H133" s="39"/>
      <c r="I133" s="40" t="e">
        <f>VLOOKUP($H133,APOIO!$W:$X,2,FALSE)</f>
        <v>#N/A</v>
      </c>
      <c r="J133" s="36"/>
      <c r="K133" s="40" t="e">
        <f>VLOOKUP($J133,APOIO!$AE:$AG,2,FALSE)</f>
        <v>#N/A</v>
      </c>
      <c r="L133" s="38" t="e">
        <f>VLOOKUP($J133,APOIO!$AE:$AG,3,FALSE)</f>
        <v>#N/A</v>
      </c>
      <c r="M133" s="36"/>
      <c r="N133" s="37" t="e">
        <f>VLOOKUP($M133,APOIO!$I:$J,2,FALSE)</f>
        <v>#N/A</v>
      </c>
      <c r="O133" s="37"/>
      <c r="P133" s="37"/>
      <c r="Q133" s="37"/>
      <c r="R133" s="37"/>
      <c r="S133" s="41"/>
      <c r="T133" s="91"/>
      <c r="U133" s="92"/>
      <c r="V133" s="43">
        <f t="shared" si="2"/>
        <v>0</v>
      </c>
      <c r="W133" s="36"/>
      <c r="X133" s="87"/>
      <c r="Y133" s="37" t="b">
        <f t="shared" si="3"/>
        <v>1</v>
      </c>
      <c r="Z133" s="84" t="e">
        <f>VLOOKUP($B133,APOIO!$A:$F,5,FALSE)</f>
        <v>#N/A</v>
      </c>
    </row>
    <row r="134" spans="1:26" ht="15" x14ac:dyDescent="0.25">
      <c r="A134" s="36"/>
      <c r="B134" s="37" t="e">
        <f>VLOOKUP($A134,APOIO!$A:$E,1,FALSE)</f>
        <v>#N/A</v>
      </c>
      <c r="C134" s="36"/>
      <c r="D134" s="37" t="e">
        <f>INDEX(APOIO!$D:$D,MATCH(CONCATENATE($B134,$C134),APOIO!$F:$F,0))</f>
        <v>#N/A</v>
      </c>
      <c r="E134" s="36"/>
      <c r="F134" s="37" t="e">
        <f>VLOOKUP($E134,APOIO!$Z:$AC,2,FALSE)</f>
        <v>#N/A</v>
      </c>
      <c r="G134" s="38" t="e">
        <f>VLOOKUP($E134,APOIO!$Z:$AC,4,FALSE)</f>
        <v>#N/A</v>
      </c>
      <c r="H134" s="39"/>
      <c r="I134" s="40" t="e">
        <f>VLOOKUP($H134,APOIO!$W:$X,2,FALSE)</f>
        <v>#N/A</v>
      </c>
      <c r="J134" s="36"/>
      <c r="K134" s="40" t="e">
        <f>VLOOKUP($J134,APOIO!$AE:$AG,2,FALSE)</f>
        <v>#N/A</v>
      </c>
      <c r="L134" s="38" t="e">
        <f>VLOOKUP($J134,APOIO!$AE:$AG,3,FALSE)</f>
        <v>#N/A</v>
      </c>
      <c r="M134" s="36"/>
      <c r="N134" s="37" t="e">
        <f>VLOOKUP($M134,APOIO!$I:$J,2,FALSE)</f>
        <v>#N/A</v>
      </c>
      <c r="O134" s="37"/>
      <c r="P134" s="37"/>
      <c r="Q134" s="37"/>
      <c r="R134" s="37"/>
      <c r="S134" s="41"/>
      <c r="T134" s="91"/>
      <c r="U134" s="92"/>
      <c r="V134" s="43">
        <f t="shared" si="2"/>
        <v>0</v>
      </c>
      <c r="W134" s="36"/>
      <c r="X134" s="87"/>
      <c r="Y134" s="37" t="b">
        <f t="shared" si="3"/>
        <v>1</v>
      </c>
      <c r="Z134" s="84" t="e">
        <f>VLOOKUP($B134,APOIO!$A:$F,5,FALSE)</f>
        <v>#N/A</v>
      </c>
    </row>
    <row r="135" spans="1:26" ht="15" x14ac:dyDescent="0.25">
      <c r="A135" s="36"/>
      <c r="B135" s="37" t="e">
        <f>VLOOKUP($A135,APOIO!$A:$E,1,FALSE)</f>
        <v>#N/A</v>
      </c>
      <c r="C135" s="36"/>
      <c r="D135" s="37" t="e">
        <f>INDEX(APOIO!$D:$D,MATCH(CONCATENATE($B135,$C135),APOIO!$F:$F,0))</f>
        <v>#N/A</v>
      </c>
      <c r="E135" s="36"/>
      <c r="F135" s="37" t="e">
        <f>VLOOKUP($E135,APOIO!$Z:$AC,2,FALSE)</f>
        <v>#N/A</v>
      </c>
      <c r="G135" s="38" t="e">
        <f>VLOOKUP($E135,APOIO!$Z:$AC,4,FALSE)</f>
        <v>#N/A</v>
      </c>
      <c r="H135" s="39"/>
      <c r="I135" s="40" t="e">
        <f>VLOOKUP($H135,APOIO!$W:$X,2,FALSE)</f>
        <v>#N/A</v>
      </c>
      <c r="J135" s="36"/>
      <c r="K135" s="40" t="e">
        <f>VLOOKUP($J135,APOIO!$AE:$AG,2,FALSE)</f>
        <v>#N/A</v>
      </c>
      <c r="L135" s="38" t="e">
        <f>VLOOKUP($J135,APOIO!$AE:$AG,3,FALSE)</f>
        <v>#N/A</v>
      </c>
      <c r="M135" s="36"/>
      <c r="N135" s="37" t="e">
        <f>VLOOKUP($M135,APOIO!$I:$J,2,FALSE)</f>
        <v>#N/A</v>
      </c>
      <c r="O135" s="37"/>
      <c r="P135" s="37"/>
      <c r="Q135" s="37"/>
      <c r="R135" s="37"/>
      <c r="S135" s="41"/>
      <c r="T135" s="91"/>
      <c r="U135" s="92"/>
      <c r="V135" s="43">
        <f t="shared" si="2"/>
        <v>0</v>
      </c>
      <c r="W135" s="36"/>
      <c r="X135" s="87"/>
      <c r="Y135" s="37" t="b">
        <f t="shared" si="3"/>
        <v>1</v>
      </c>
      <c r="Z135" s="84" t="e">
        <f>VLOOKUP($B135,APOIO!$A:$F,5,FALSE)</f>
        <v>#N/A</v>
      </c>
    </row>
    <row r="136" spans="1:26" ht="15" x14ac:dyDescent="0.25">
      <c r="A136" s="36"/>
      <c r="B136" s="37" t="e">
        <f>VLOOKUP($A136,APOIO!$A:$E,1,FALSE)</f>
        <v>#N/A</v>
      </c>
      <c r="C136" s="36"/>
      <c r="D136" s="37" t="e">
        <f>INDEX(APOIO!$D:$D,MATCH(CONCATENATE($B136,$C136),APOIO!$F:$F,0))</f>
        <v>#N/A</v>
      </c>
      <c r="E136" s="36"/>
      <c r="F136" s="37" t="e">
        <f>VLOOKUP($E136,APOIO!$Z:$AC,2,FALSE)</f>
        <v>#N/A</v>
      </c>
      <c r="G136" s="38" t="e">
        <f>VLOOKUP($E136,APOIO!$Z:$AC,4,FALSE)</f>
        <v>#N/A</v>
      </c>
      <c r="H136" s="39"/>
      <c r="I136" s="40" t="e">
        <f>VLOOKUP($H136,APOIO!$W:$X,2,FALSE)</f>
        <v>#N/A</v>
      </c>
      <c r="J136" s="36"/>
      <c r="K136" s="40" t="e">
        <f>VLOOKUP($J136,APOIO!$AE:$AG,2,FALSE)</f>
        <v>#N/A</v>
      </c>
      <c r="L136" s="38" t="e">
        <f>VLOOKUP($J136,APOIO!$AE:$AG,3,FALSE)</f>
        <v>#N/A</v>
      </c>
      <c r="M136" s="36"/>
      <c r="N136" s="37" t="e">
        <f>VLOOKUP($M136,APOIO!$I:$J,2,FALSE)</f>
        <v>#N/A</v>
      </c>
      <c r="O136" s="37"/>
      <c r="P136" s="37"/>
      <c r="Q136" s="37"/>
      <c r="R136" s="37"/>
      <c r="S136" s="41"/>
      <c r="T136" s="91"/>
      <c r="U136" s="92"/>
      <c r="V136" s="43">
        <f t="shared" si="2"/>
        <v>0</v>
      </c>
      <c r="W136" s="36"/>
      <c r="X136" s="87"/>
      <c r="Y136" s="37" t="b">
        <f t="shared" si="3"/>
        <v>1</v>
      </c>
      <c r="Z136" s="84" t="e">
        <f>VLOOKUP($B136,APOIO!$A:$F,5,FALSE)</f>
        <v>#N/A</v>
      </c>
    </row>
    <row r="137" spans="1:26" ht="15" x14ac:dyDescent="0.25">
      <c r="A137" s="36"/>
      <c r="B137" s="37" t="e">
        <f>VLOOKUP($A137,APOIO!$A:$E,1,FALSE)</f>
        <v>#N/A</v>
      </c>
      <c r="C137" s="36"/>
      <c r="D137" s="37" t="e">
        <f>INDEX(APOIO!$D:$D,MATCH(CONCATENATE($B137,$C137),APOIO!$F:$F,0))</f>
        <v>#N/A</v>
      </c>
      <c r="E137" s="36"/>
      <c r="F137" s="37" t="e">
        <f>VLOOKUP($E137,APOIO!$Z:$AC,2,FALSE)</f>
        <v>#N/A</v>
      </c>
      <c r="G137" s="38" t="e">
        <f>VLOOKUP($E137,APOIO!$Z:$AC,4,FALSE)</f>
        <v>#N/A</v>
      </c>
      <c r="H137" s="39"/>
      <c r="I137" s="40" t="e">
        <f>VLOOKUP($H137,APOIO!$W:$X,2,FALSE)</f>
        <v>#N/A</v>
      </c>
      <c r="J137" s="36"/>
      <c r="K137" s="40" t="e">
        <f>VLOOKUP($J137,APOIO!$AE:$AG,2,FALSE)</f>
        <v>#N/A</v>
      </c>
      <c r="L137" s="38" t="e">
        <f>VLOOKUP($J137,APOIO!$AE:$AG,3,FALSE)</f>
        <v>#N/A</v>
      </c>
      <c r="M137" s="36"/>
      <c r="N137" s="37" t="e">
        <f>VLOOKUP($M137,APOIO!$I:$J,2,FALSE)</f>
        <v>#N/A</v>
      </c>
      <c r="O137" s="37"/>
      <c r="P137" s="37"/>
      <c r="Q137" s="37"/>
      <c r="R137" s="37"/>
      <c r="S137" s="41"/>
      <c r="T137" s="91"/>
      <c r="U137" s="92"/>
      <c r="V137" s="43">
        <f t="shared" si="2"/>
        <v>0</v>
      </c>
      <c r="W137" s="36"/>
      <c r="X137" s="87"/>
      <c r="Y137" s="37" t="b">
        <f t="shared" si="3"/>
        <v>1</v>
      </c>
      <c r="Z137" s="84" t="e">
        <f>VLOOKUP($B137,APOIO!$A:$F,5,FALSE)</f>
        <v>#N/A</v>
      </c>
    </row>
    <row r="138" spans="1:26" ht="15" x14ac:dyDescent="0.25">
      <c r="A138" s="36"/>
      <c r="B138" s="37" t="e">
        <f>VLOOKUP($A138,APOIO!$A:$E,1,FALSE)</f>
        <v>#N/A</v>
      </c>
      <c r="C138" s="36"/>
      <c r="D138" s="37" t="e">
        <f>INDEX(APOIO!$D:$D,MATCH(CONCATENATE($B138,$C138),APOIO!$F:$F,0))</f>
        <v>#N/A</v>
      </c>
      <c r="E138" s="36"/>
      <c r="F138" s="37" t="e">
        <f>VLOOKUP($E138,APOIO!$Z:$AC,2,FALSE)</f>
        <v>#N/A</v>
      </c>
      <c r="G138" s="38" t="e">
        <f>VLOOKUP($E138,APOIO!$Z:$AC,4,FALSE)</f>
        <v>#N/A</v>
      </c>
      <c r="H138" s="39"/>
      <c r="I138" s="40" t="e">
        <f>VLOOKUP($H138,APOIO!$W:$X,2,FALSE)</f>
        <v>#N/A</v>
      </c>
      <c r="J138" s="36"/>
      <c r="K138" s="40" t="e">
        <f>VLOOKUP($J138,APOIO!$AE:$AG,2,FALSE)</f>
        <v>#N/A</v>
      </c>
      <c r="L138" s="38" t="e">
        <f>VLOOKUP($J138,APOIO!$AE:$AG,3,FALSE)</f>
        <v>#N/A</v>
      </c>
      <c r="M138" s="36"/>
      <c r="N138" s="37" t="e">
        <f>VLOOKUP($M138,APOIO!$I:$J,2,FALSE)</f>
        <v>#N/A</v>
      </c>
      <c r="O138" s="37"/>
      <c r="P138" s="37"/>
      <c r="Q138" s="37"/>
      <c r="R138" s="37"/>
      <c r="S138" s="41"/>
      <c r="T138" s="91"/>
      <c r="U138" s="92"/>
      <c r="V138" s="43">
        <f t="shared" ref="V138:V200" si="4">T138*U138</f>
        <v>0</v>
      </c>
      <c r="W138" s="36"/>
      <c r="X138" s="87"/>
      <c r="Y138" s="37" t="b">
        <f t="shared" ref="Y138:Y200" si="5">ISERROR($B138)</f>
        <v>1</v>
      </c>
      <c r="Z138" s="84" t="e">
        <f>VLOOKUP($B138,APOIO!$A:$F,5,FALSE)</f>
        <v>#N/A</v>
      </c>
    </row>
    <row r="139" spans="1:26" ht="15" x14ac:dyDescent="0.25">
      <c r="A139" s="36"/>
      <c r="B139" s="37" t="e">
        <f>VLOOKUP($A139,APOIO!$A:$E,1,FALSE)</f>
        <v>#N/A</v>
      </c>
      <c r="C139" s="36"/>
      <c r="D139" s="37" t="e">
        <f>INDEX(APOIO!$D:$D,MATCH(CONCATENATE($B139,$C139),APOIO!$F:$F,0))</f>
        <v>#N/A</v>
      </c>
      <c r="E139" s="36"/>
      <c r="F139" s="37" t="e">
        <f>VLOOKUP($E139,APOIO!$Z:$AC,2,FALSE)</f>
        <v>#N/A</v>
      </c>
      <c r="G139" s="38" t="e">
        <f>VLOOKUP($E139,APOIO!$Z:$AC,4,FALSE)</f>
        <v>#N/A</v>
      </c>
      <c r="H139" s="39"/>
      <c r="I139" s="40" t="e">
        <f>VLOOKUP($H139,APOIO!$W:$X,2,FALSE)</f>
        <v>#N/A</v>
      </c>
      <c r="J139" s="36"/>
      <c r="K139" s="40" t="e">
        <f>VLOOKUP($J139,APOIO!$AE:$AG,2,FALSE)</f>
        <v>#N/A</v>
      </c>
      <c r="L139" s="38" t="e">
        <f>VLOOKUP($J139,APOIO!$AE:$AG,3,FALSE)</f>
        <v>#N/A</v>
      </c>
      <c r="M139" s="36"/>
      <c r="N139" s="37" t="e">
        <f>VLOOKUP($M139,APOIO!$I:$J,2,FALSE)</f>
        <v>#N/A</v>
      </c>
      <c r="O139" s="37"/>
      <c r="P139" s="37"/>
      <c r="Q139" s="37"/>
      <c r="R139" s="37"/>
      <c r="S139" s="41"/>
      <c r="T139" s="91"/>
      <c r="U139" s="92"/>
      <c r="V139" s="43">
        <f t="shared" si="4"/>
        <v>0</v>
      </c>
      <c r="W139" s="36"/>
      <c r="X139" s="87"/>
      <c r="Y139" s="37" t="b">
        <f t="shared" si="5"/>
        <v>1</v>
      </c>
      <c r="Z139" s="84" t="e">
        <f>VLOOKUP($B139,APOIO!$A:$F,5,FALSE)</f>
        <v>#N/A</v>
      </c>
    </row>
    <row r="140" spans="1:26" ht="15" x14ac:dyDescent="0.25">
      <c r="A140" s="36"/>
      <c r="B140" s="37" t="e">
        <f>VLOOKUP($A140,APOIO!$A:$E,1,FALSE)</f>
        <v>#N/A</v>
      </c>
      <c r="C140" s="36"/>
      <c r="D140" s="37" t="e">
        <f>INDEX(APOIO!$D:$D,MATCH(CONCATENATE($B140,$C140),APOIO!$F:$F,0))</f>
        <v>#N/A</v>
      </c>
      <c r="E140" s="36"/>
      <c r="F140" s="37" t="e">
        <f>VLOOKUP($E140,APOIO!$Z:$AC,2,FALSE)</f>
        <v>#N/A</v>
      </c>
      <c r="G140" s="38" t="e">
        <f>VLOOKUP($E140,APOIO!$Z:$AC,4,FALSE)</f>
        <v>#N/A</v>
      </c>
      <c r="H140" s="39"/>
      <c r="I140" s="40" t="e">
        <f>VLOOKUP($H140,APOIO!$W:$X,2,FALSE)</f>
        <v>#N/A</v>
      </c>
      <c r="J140" s="36"/>
      <c r="K140" s="40" t="e">
        <f>VLOOKUP($J140,APOIO!$AE:$AG,2,FALSE)</f>
        <v>#N/A</v>
      </c>
      <c r="L140" s="38" t="e">
        <f>VLOOKUP($J140,APOIO!$AE:$AG,3,FALSE)</f>
        <v>#N/A</v>
      </c>
      <c r="M140" s="36"/>
      <c r="N140" s="37" t="e">
        <f>VLOOKUP($M140,APOIO!$I:$J,2,FALSE)</f>
        <v>#N/A</v>
      </c>
      <c r="O140" s="37"/>
      <c r="P140" s="37"/>
      <c r="Q140" s="37"/>
      <c r="R140" s="37"/>
      <c r="S140" s="41"/>
      <c r="T140" s="91"/>
      <c r="U140" s="92"/>
      <c r="V140" s="43">
        <f t="shared" si="4"/>
        <v>0</v>
      </c>
      <c r="W140" s="36"/>
      <c r="X140" s="87"/>
      <c r="Y140" s="37" t="b">
        <f t="shared" si="5"/>
        <v>1</v>
      </c>
      <c r="Z140" s="84" t="e">
        <f>VLOOKUP($B140,APOIO!$A:$F,5,FALSE)</f>
        <v>#N/A</v>
      </c>
    </row>
    <row r="141" spans="1:26" ht="15" x14ac:dyDescent="0.25">
      <c r="A141" s="36"/>
      <c r="B141" s="37" t="e">
        <f>VLOOKUP($A141,APOIO!$A:$E,1,FALSE)</f>
        <v>#N/A</v>
      </c>
      <c r="C141" s="36"/>
      <c r="D141" s="37" t="e">
        <f>INDEX(APOIO!$D:$D,MATCH(CONCATENATE($B141,$C141),APOIO!$F:$F,0))</f>
        <v>#N/A</v>
      </c>
      <c r="E141" s="36"/>
      <c r="F141" s="37" t="e">
        <f>VLOOKUP($E141,APOIO!$Z:$AC,2,FALSE)</f>
        <v>#N/A</v>
      </c>
      <c r="G141" s="38" t="e">
        <f>VLOOKUP($E141,APOIO!$Z:$AC,4,FALSE)</f>
        <v>#N/A</v>
      </c>
      <c r="H141" s="39"/>
      <c r="I141" s="40" t="e">
        <f>VLOOKUP($H141,APOIO!$W:$X,2,FALSE)</f>
        <v>#N/A</v>
      </c>
      <c r="J141" s="36"/>
      <c r="K141" s="40" t="e">
        <f>VLOOKUP($J141,APOIO!$AE:$AG,2,FALSE)</f>
        <v>#N/A</v>
      </c>
      <c r="L141" s="38" t="e">
        <f>VLOOKUP($J141,APOIO!$AE:$AG,3,FALSE)</f>
        <v>#N/A</v>
      </c>
      <c r="M141" s="36"/>
      <c r="N141" s="37" t="e">
        <f>VLOOKUP($M141,APOIO!$I:$J,2,FALSE)</f>
        <v>#N/A</v>
      </c>
      <c r="O141" s="37"/>
      <c r="P141" s="37"/>
      <c r="Q141" s="37"/>
      <c r="R141" s="37"/>
      <c r="S141" s="41"/>
      <c r="T141" s="91"/>
      <c r="U141" s="92"/>
      <c r="V141" s="43">
        <f t="shared" si="4"/>
        <v>0</v>
      </c>
      <c r="W141" s="36"/>
      <c r="X141" s="87"/>
      <c r="Y141" s="37" t="b">
        <f t="shared" si="5"/>
        <v>1</v>
      </c>
      <c r="Z141" s="84" t="e">
        <f>VLOOKUP($B141,APOIO!$A:$F,5,FALSE)</f>
        <v>#N/A</v>
      </c>
    </row>
    <row r="142" spans="1:26" ht="15" x14ac:dyDescent="0.25">
      <c r="A142" s="36"/>
      <c r="B142" s="37" t="e">
        <f>VLOOKUP($A142,APOIO!$A:$E,1,FALSE)</f>
        <v>#N/A</v>
      </c>
      <c r="C142" s="36"/>
      <c r="D142" s="37" t="e">
        <f>INDEX(APOIO!$D:$D,MATCH(CONCATENATE($B142,$C142),APOIO!$F:$F,0))</f>
        <v>#N/A</v>
      </c>
      <c r="E142" s="36"/>
      <c r="F142" s="37" t="e">
        <f>VLOOKUP($E142,APOIO!$Z:$AC,2,FALSE)</f>
        <v>#N/A</v>
      </c>
      <c r="G142" s="38" t="e">
        <f>VLOOKUP($E142,APOIO!$Z:$AC,4,FALSE)</f>
        <v>#N/A</v>
      </c>
      <c r="H142" s="39"/>
      <c r="I142" s="40" t="e">
        <f>VLOOKUP($H142,APOIO!$W:$X,2,FALSE)</f>
        <v>#N/A</v>
      </c>
      <c r="J142" s="36"/>
      <c r="K142" s="40" t="e">
        <f>VLOOKUP($J142,APOIO!$AE:$AG,2,FALSE)</f>
        <v>#N/A</v>
      </c>
      <c r="L142" s="38" t="e">
        <f>VLOOKUP($J142,APOIO!$AE:$AG,3,FALSE)</f>
        <v>#N/A</v>
      </c>
      <c r="M142" s="36"/>
      <c r="N142" s="37" t="e">
        <f>VLOOKUP($M142,APOIO!$I:$J,2,FALSE)</f>
        <v>#N/A</v>
      </c>
      <c r="O142" s="37"/>
      <c r="P142" s="37"/>
      <c r="Q142" s="37"/>
      <c r="R142" s="37"/>
      <c r="S142" s="41"/>
      <c r="T142" s="91"/>
      <c r="U142" s="92"/>
      <c r="V142" s="43">
        <f t="shared" si="4"/>
        <v>0</v>
      </c>
      <c r="W142" s="36"/>
      <c r="X142" s="87"/>
      <c r="Y142" s="37" t="b">
        <f t="shared" si="5"/>
        <v>1</v>
      </c>
      <c r="Z142" s="84" t="e">
        <f>VLOOKUP($B142,APOIO!$A:$F,5,FALSE)</f>
        <v>#N/A</v>
      </c>
    </row>
    <row r="143" spans="1:26" ht="15" x14ac:dyDescent="0.25">
      <c r="A143" s="36"/>
      <c r="B143" s="37" t="e">
        <f>VLOOKUP($A143,APOIO!$A:$E,1,FALSE)</f>
        <v>#N/A</v>
      </c>
      <c r="C143" s="36"/>
      <c r="D143" s="37" t="e">
        <f>INDEX(APOIO!$D:$D,MATCH(CONCATENATE($B143,$C143),APOIO!$F:$F,0))</f>
        <v>#N/A</v>
      </c>
      <c r="E143" s="36"/>
      <c r="F143" s="37" t="e">
        <f>VLOOKUP($E143,APOIO!$Z:$AC,2,FALSE)</f>
        <v>#N/A</v>
      </c>
      <c r="G143" s="38" t="e">
        <f>VLOOKUP($E143,APOIO!$Z:$AC,4,FALSE)</f>
        <v>#N/A</v>
      </c>
      <c r="H143" s="39"/>
      <c r="I143" s="40" t="e">
        <f>VLOOKUP($H143,APOIO!$W:$X,2,FALSE)</f>
        <v>#N/A</v>
      </c>
      <c r="J143" s="36"/>
      <c r="K143" s="40" t="e">
        <f>VLOOKUP($J143,APOIO!$AE:$AG,2,FALSE)</f>
        <v>#N/A</v>
      </c>
      <c r="L143" s="38" t="e">
        <f>VLOOKUP($J143,APOIO!$AE:$AG,3,FALSE)</f>
        <v>#N/A</v>
      </c>
      <c r="M143" s="36"/>
      <c r="N143" s="37" t="e">
        <f>VLOOKUP($M143,APOIO!$I:$J,2,FALSE)</f>
        <v>#N/A</v>
      </c>
      <c r="O143" s="37"/>
      <c r="P143" s="37"/>
      <c r="Q143" s="37"/>
      <c r="R143" s="37"/>
      <c r="S143" s="41"/>
      <c r="T143" s="91"/>
      <c r="U143" s="92"/>
      <c r="V143" s="43">
        <f t="shared" si="4"/>
        <v>0</v>
      </c>
      <c r="W143" s="36"/>
      <c r="X143" s="87"/>
      <c r="Y143" s="37" t="b">
        <f t="shared" si="5"/>
        <v>1</v>
      </c>
      <c r="Z143" s="84" t="e">
        <f>VLOOKUP($B143,APOIO!$A:$F,5,FALSE)</f>
        <v>#N/A</v>
      </c>
    </row>
    <row r="144" spans="1:26" ht="15" x14ac:dyDescent="0.25">
      <c r="A144" s="36"/>
      <c r="B144" s="37" t="e">
        <f>VLOOKUP($A144,APOIO!$A:$E,1,FALSE)</f>
        <v>#N/A</v>
      </c>
      <c r="C144" s="36"/>
      <c r="D144" s="37" t="e">
        <f>INDEX(APOIO!$D:$D,MATCH(CONCATENATE($B144,$C144),APOIO!$F:$F,0))</f>
        <v>#N/A</v>
      </c>
      <c r="E144" s="36"/>
      <c r="F144" s="37" t="e">
        <f>VLOOKUP($E144,APOIO!$Z:$AC,2,FALSE)</f>
        <v>#N/A</v>
      </c>
      <c r="G144" s="38" t="e">
        <f>VLOOKUP($E144,APOIO!$Z:$AC,4,FALSE)</f>
        <v>#N/A</v>
      </c>
      <c r="H144" s="39"/>
      <c r="I144" s="40" t="e">
        <f>VLOOKUP($H144,APOIO!$W:$X,2,FALSE)</f>
        <v>#N/A</v>
      </c>
      <c r="J144" s="36"/>
      <c r="K144" s="40" t="e">
        <f>VLOOKUP($J144,APOIO!$AE:$AG,2,FALSE)</f>
        <v>#N/A</v>
      </c>
      <c r="L144" s="38" t="e">
        <f>VLOOKUP($J144,APOIO!$AE:$AG,3,FALSE)</f>
        <v>#N/A</v>
      </c>
      <c r="M144" s="36"/>
      <c r="N144" s="37" t="e">
        <f>VLOOKUP($M144,APOIO!$I:$J,2,FALSE)</f>
        <v>#N/A</v>
      </c>
      <c r="O144" s="37"/>
      <c r="P144" s="37"/>
      <c r="Q144" s="37"/>
      <c r="R144" s="37"/>
      <c r="S144" s="41"/>
      <c r="T144" s="91"/>
      <c r="U144" s="92"/>
      <c r="V144" s="43">
        <f t="shared" si="4"/>
        <v>0</v>
      </c>
      <c r="W144" s="36"/>
      <c r="X144" s="87"/>
      <c r="Y144" s="37" t="b">
        <f t="shared" si="5"/>
        <v>1</v>
      </c>
      <c r="Z144" s="84" t="e">
        <f>VLOOKUP($B144,APOIO!$A:$F,5,FALSE)</f>
        <v>#N/A</v>
      </c>
    </row>
    <row r="145" spans="1:26" ht="15" x14ac:dyDescent="0.25">
      <c r="A145" s="36"/>
      <c r="B145" s="37" t="e">
        <f>VLOOKUP($A145,APOIO!$A:$E,1,FALSE)</f>
        <v>#N/A</v>
      </c>
      <c r="C145" s="36"/>
      <c r="D145" s="37" t="e">
        <f>INDEX(APOIO!$D:$D,MATCH(CONCATENATE($B145,$C145),APOIO!$F:$F,0))</f>
        <v>#N/A</v>
      </c>
      <c r="E145" s="36"/>
      <c r="F145" s="37" t="e">
        <f>VLOOKUP($E145,APOIO!$Z:$AC,2,FALSE)</f>
        <v>#N/A</v>
      </c>
      <c r="G145" s="38" t="e">
        <f>VLOOKUP($E145,APOIO!$Z:$AC,4,FALSE)</f>
        <v>#N/A</v>
      </c>
      <c r="H145" s="39"/>
      <c r="I145" s="40" t="e">
        <f>VLOOKUP($H145,APOIO!$W:$X,2,FALSE)</f>
        <v>#N/A</v>
      </c>
      <c r="J145" s="36"/>
      <c r="K145" s="40" t="e">
        <f>VLOOKUP($J145,APOIO!$AE:$AG,2,FALSE)</f>
        <v>#N/A</v>
      </c>
      <c r="L145" s="38" t="e">
        <f>VLOOKUP($J145,APOIO!$AE:$AG,3,FALSE)</f>
        <v>#N/A</v>
      </c>
      <c r="M145" s="36"/>
      <c r="N145" s="37" t="e">
        <f>VLOOKUP($M145,APOIO!$I:$J,2,FALSE)</f>
        <v>#N/A</v>
      </c>
      <c r="O145" s="37"/>
      <c r="P145" s="37"/>
      <c r="Q145" s="37"/>
      <c r="R145" s="37"/>
      <c r="S145" s="41"/>
      <c r="T145" s="91"/>
      <c r="U145" s="92"/>
      <c r="V145" s="43">
        <f t="shared" si="4"/>
        <v>0</v>
      </c>
      <c r="W145" s="36"/>
      <c r="X145" s="87"/>
      <c r="Y145" s="37" t="b">
        <f t="shared" si="5"/>
        <v>1</v>
      </c>
      <c r="Z145" s="84" t="e">
        <f>VLOOKUP($B145,APOIO!$A:$F,5,FALSE)</f>
        <v>#N/A</v>
      </c>
    </row>
    <row r="146" spans="1:26" ht="15" x14ac:dyDescent="0.25">
      <c r="A146" s="36"/>
      <c r="B146" s="37" t="e">
        <f>VLOOKUP($A146,APOIO!$A:$E,1,FALSE)</f>
        <v>#N/A</v>
      </c>
      <c r="C146" s="36"/>
      <c r="D146" s="37" t="e">
        <f>INDEX(APOIO!$D:$D,MATCH(CONCATENATE($B146,$C146),APOIO!$F:$F,0))</f>
        <v>#N/A</v>
      </c>
      <c r="E146" s="36"/>
      <c r="F146" s="37" t="e">
        <f>VLOOKUP($E146,APOIO!$Z:$AC,2,FALSE)</f>
        <v>#N/A</v>
      </c>
      <c r="G146" s="38" t="e">
        <f>VLOOKUP($E146,APOIO!$Z:$AC,4,FALSE)</f>
        <v>#N/A</v>
      </c>
      <c r="H146" s="39"/>
      <c r="I146" s="40" t="e">
        <f>VLOOKUP($H146,APOIO!$W:$X,2,FALSE)</f>
        <v>#N/A</v>
      </c>
      <c r="J146" s="36"/>
      <c r="K146" s="40" t="e">
        <f>VLOOKUP($J146,APOIO!$AE:$AG,2,FALSE)</f>
        <v>#N/A</v>
      </c>
      <c r="L146" s="38" t="e">
        <f>VLOOKUP($J146,APOIO!$AE:$AG,3,FALSE)</f>
        <v>#N/A</v>
      </c>
      <c r="M146" s="36"/>
      <c r="N146" s="37" t="e">
        <f>VLOOKUP($M146,APOIO!$I:$J,2,FALSE)</f>
        <v>#N/A</v>
      </c>
      <c r="O146" s="37"/>
      <c r="P146" s="37"/>
      <c r="Q146" s="37"/>
      <c r="R146" s="37"/>
      <c r="S146" s="41"/>
      <c r="T146" s="91"/>
      <c r="U146" s="92"/>
      <c r="V146" s="43">
        <f t="shared" si="4"/>
        <v>0</v>
      </c>
      <c r="W146" s="36"/>
      <c r="X146" s="87"/>
      <c r="Y146" s="37" t="b">
        <f t="shared" si="5"/>
        <v>1</v>
      </c>
      <c r="Z146" s="84" t="e">
        <f>VLOOKUP($B146,APOIO!$A:$F,5,FALSE)</f>
        <v>#N/A</v>
      </c>
    </row>
    <row r="147" spans="1:26" ht="15" x14ac:dyDescent="0.25">
      <c r="A147" s="36"/>
      <c r="B147" s="37" t="e">
        <f>VLOOKUP($A147,APOIO!$A:$E,1,FALSE)</f>
        <v>#N/A</v>
      </c>
      <c r="C147" s="36"/>
      <c r="D147" s="37" t="e">
        <f>INDEX(APOIO!$D:$D,MATCH(CONCATENATE($B147,$C147),APOIO!$F:$F,0))</f>
        <v>#N/A</v>
      </c>
      <c r="E147" s="36"/>
      <c r="F147" s="37" t="e">
        <f>VLOOKUP($E147,APOIO!$Z:$AC,2,FALSE)</f>
        <v>#N/A</v>
      </c>
      <c r="G147" s="38" t="e">
        <f>VLOOKUP($E147,APOIO!$Z:$AC,4,FALSE)</f>
        <v>#N/A</v>
      </c>
      <c r="H147" s="39"/>
      <c r="I147" s="40" t="e">
        <f>VLOOKUP($H147,APOIO!$W:$X,2,FALSE)</f>
        <v>#N/A</v>
      </c>
      <c r="J147" s="36"/>
      <c r="K147" s="40" t="e">
        <f>VLOOKUP($J147,APOIO!$AE:$AG,2,FALSE)</f>
        <v>#N/A</v>
      </c>
      <c r="L147" s="38" t="e">
        <f>VLOOKUP($J147,APOIO!$AE:$AG,3,FALSE)</f>
        <v>#N/A</v>
      </c>
      <c r="M147" s="36"/>
      <c r="N147" s="37" t="e">
        <f>VLOOKUP($M147,APOIO!$I:$J,2,FALSE)</f>
        <v>#N/A</v>
      </c>
      <c r="O147" s="37"/>
      <c r="P147" s="37"/>
      <c r="Q147" s="37"/>
      <c r="R147" s="37"/>
      <c r="S147" s="41"/>
      <c r="T147" s="91"/>
      <c r="U147" s="92"/>
      <c r="V147" s="43">
        <f t="shared" si="4"/>
        <v>0</v>
      </c>
      <c r="W147" s="36"/>
      <c r="X147" s="87"/>
      <c r="Y147" s="37" t="b">
        <f t="shared" si="5"/>
        <v>1</v>
      </c>
      <c r="Z147" s="84" t="e">
        <f>VLOOKUP($B147,APOIO!$A:$F,5,FALSE)</f>
        <v>#N/A</v>
      </c>
    </row>
    <row r="148" spans="1:26" ht="15" x14ac:dyDescent="0.25">
      <c r="A148" s="36"/>
      <c r="B148" s="37" t="e">
        <f>VLOOKUP($A148,APOIO!$A:$E,1,FALSE)</f>
        <v>#N/A</v>
      </c>
      <c r="C148" s="36"/>
      <c r="D148" s="37" t="e">
        <f>INDEX(APOIO!$D:$D,MATCH(CONCATENATE($B148,$C148),APOIO!$F:$F,0))</f>
        <v>#N/A</v>
      </c>
      <c r="E148" s="36"/>
      <c r="F148" s="37" t="e">
        <f>VLOOKUP($E148,APOIO!$Z:$AC,2,FALSE)</f>
        <v>#N/A</v>
      </c>
      <c r="G148" s="38" t="e">
        <f>VLOOKUP($E148,APOIO!$Z:$AC,4,FALSE)</f>
        <v>#N/A</v>
      </c>
      <c r="H148" s="39"/>
      <c r="I148" s="40" t="e">
        <f>VLOOKUP($H148,APOIO!$W:$X,2,FALSE)</f>
        <v>#N/A</v>
      </c>
      <c r="J148" s="36"/>
      <c r="K148" s="40" t="e">
        <f>VLOOKUP($J148,APOIO!$AE:$AG,2,FALSE)</f>
        <v>#N/A</v>
      </c>
      <c r="L148" s="38" t="e">
        <f>VLOOKUP($J148,APOIO!$AE:$AG,3,FALSE)</f>
        <v>#N/A</v>
      </c>
      <c r="M148" s="36"/>
      <c r="N148" s="37" t="e">
        <f>VLOOKUP($M148,APOIO!$I:$J,2,FALSE)</f>
        <v>#N/A</v>
      </c>
      <c r="O148" s="37"/>
      <c r="P148" s="37"/>
      <c r="Q148" s="37"/>
      <c r="R148" s="37"/>
      <c r="S148" s="41"/>
      <c r="T148" s="91"/>
      <c r="U148" s="92"/>
      <c r="V148" s="43">
        <f t="shared" si="4"/>
        <v>0</v>
      </c>
      <c r="W148" s="36"/>
      <c r="X148" s="87"/>
      <c r="Y148" s="37" t="b">
        <f t="shared" si="5"/>
        <v>1</v>
      </c>
      <c r="Z148" s="84" t="e">
        <f>VLOOKUP($B148,APOIO!$A:$F,5,FALSE)</f>
        <v>#N/A</v>
      </c>
    </row>
    <row r="149" spans="1:26" ht="15" x14ac:dyDescent="0.25">
      <c r="A149" s="36"/>
      <c r="B149" s="37" t="e">
        <f>VLOOKUP($A149,APOIO!$A:$E,1,FALSE)</f>
        <v>#N/A</v>
      </c>
      <c r="C149" s="36"/>
      <c r="D149" s="37" t="e">
        <f>INDEX(APOIO!$D:$D,MATCH(CONCATENATE($B149,$C149),APOIO!$F:$F,0))</f>
        <v>#N/A</v>
      </c>
      <c r="E149" s="36"/>
      <c r="F149" s="37" t="e">
        <f>VLOOKUP($E149,APOIO!$Z:$AC,2,FALSE)</f>
        <v>#N/A</v>
      </c>
      <c r="G149" s="38" t="e">
        <f>VLOOKUP($E149,APOIO!$Z:$AC,4,FALSE)</f>
        <v>#N/A</v>
      </c>
      <c r="H149" s="39"/>
      <c r="I149" s="40" t="e">
        <f>VLOOKUP($H149,APOIO!$W:$X,2,FALSE)</f>
        <v>#N/A</v>
      </c>
      <c r="J149" s="36"/>
      <c r="K149" s="40" t="e">
        <f>VLOOKUP($J149,APOIO!$AE:$AG,2,FALSE)</f>
        <v>#N/A</v>
      </c>
      <c r="L149" s="38" t="e">
        <f>VLOOKUP($J149,APOIO!$AE:$AG,3,FALSE)</f>
        <v>#N/A</v>
      </c>
      <c r="M149" s="36"/>
      <c r="N149" s="37" t="e">
        <f>VLOOKUP($M149,APOIO!$I:$J,2,FALSE)</f>
        <v>#N/A</v>
      </c>
      <c r="O149" s="37"/>
      <c r="P149" s="37"/>
      <c r="Q149" s="37"/>
      <c r="R149" s="37"/>
      <c r="S149" s="41"/>
      <c r="T149" s="91"/>
      <c r="U149" s="92"/>
      <c r="V149" s="43">
        <f t="shared" si="4"/>
        <v>0</v>
      </c>
      <c r="W149" s="36"/>
      <c r="X149" s="87"/>
      <c r="Y149" s="37" t="b">
        <f t="shared" si="5"/>
        <v>1</v>
      </c>
      <c r="Z149" s="84" t="e">
        <f>VLOOKUP($B149,APOIO!$A:$F,5,FALSE)</f>
        <v>#N/A</v>
      </c>
    </row>
    <row r="150" spans="1:26" ht="15" x14ac:dyDescent="0.25">
      <c r="A150" s="36"/>
      <c r="B150" s="37" t="e">
        <f>VLOOKUP($A150,APOIO!$A:$E,1,FALSE)</f>
        <v>#N/A</v>
      </c>
      <c r="C150" s="36"/>
      <c r="D150" s="37" t="e">
        <f>INDEX(APOIO!$D:$D,MATCH(CONCATENATE($B150,$C150),APOIO!$F:$F,0))</f>
        <v>#N/A</v>
      </c>
      <c r="E150" s="36"/>
      <c r="F150" s="37" t="e">
        <f>VLOOKUP($E150,APOIO!$Z:$AC,2,FALSE)</f>
        <v>#N/A</v>
      </c>
      <c r="G150" s="38" t="e">
        <f>VLOOKUP($E150,APOIO!$Z:$AC,4,FALSE)</f>
        <v>#N/A</v>
      </c>
      <c r="H150" s="39"/>
      <c r="I150" s="40" t="e">
        <f>VLOOKUP($H150,APOIO!$W:$X,2,FALSE)</f>
        <v>#N/A</v>
      </c>
      <c r="J150" s="36"/>
      <c r="K150" s="40" t="e">
        <f>VLOOKUP($J150,APOIO!$AE:$AG,2,FALSE)</f>
        <v>#N/A</v>
      </c>
      <c r="L150" s="38" t="e">
        <f>VLOOKUP($J150,APOIO!$AE:$AG,3,FALSE)</f>
        <v>#N/A</v>
      </c>
      <c r="M150" s="36"/>
      <c r="N150" s="37" t="e">
        <f>VLOOKUP($M150,APOIO!$I:$J,2,FALSE)</f>
        <v>#N/A</v>
      </c>
      <c r="O150" s="37"/>
      <c r="P150" s="37"/>
      <c r="Q150" s="37"/>
      <c r="R150" s="37"/>
      <c r="S150" s="41"/>
      <c r="T150" s="91"/>
      <c r="U150" s="92"/>
      <c r="V150" s="43">
        <f t="shared" si="4"/>
        <v>0</v>
      </c>
      <c r="W150" s="36"/>
      <c r="X150" s="87"/>
      <c r="Y150" s="37" t="b">
        <f t="shared" si="5"/>
        <v>1</v>
      </c>
      <c r="Z150" s="84" t="e">
        <f>VLOOKUP($B150,APOIO!$A:$F,5,FALSE)</f>
        <v>#N/A</v>
      </c>
    </row>
    <row r="151" spans="1:26" ht="15" x14ac:dyDescent="0.25">
      <c r="A151" s="36"/>
      <c r="B151" s="37" t="e">
        <f>VLOOKUP($A151,APOIO!$A:$E,1,FALSE)</f>
        <v>#N/A</v>
      </c>
      <c r="C151" s="36"/>
      <c r="D151" s="37" t="e">
        <f>INDEX(APOIO!$D:$D,MATCH(CONCATENATE($B151,$C151),APOIO!$F:$F,0))</f>
        <v>#N/A</v>
      </c>
      <c r="E151" s="36"/>
      <c r="F151" s="37" t="e">
        <f>VLOOKUP($E151,APOIO!$Z:$AC,2,FALSE)</f>
        <v>#N/A</v>
      </c>
      <c r="G151" s="38" t="e">
        <f>VLOOKUP($E151,APOIO!$Z:$AC,4,FALSE)</f>
        <v>#N/A</v>
      </c>
      <c r="H151" s="39"/>
      <c r="I151" s="40" t="e">
        <f>VLOOKUP($H151,APOIO!$W:$X,2,FALSE)</f>
        <v>#N/A</v>
      </c>
      <c r="J151" s="36"/>
      <c r="K151" s="40" t="e">
        <f>VLOOKUP($J151,APOIO!$AE:$AG,2,FALSE)</f>
        <v>#N/A</v>
      </c>
      <c r="L151" s="38" t="e">
        <f>VLOOKUP($J151,APOIO!$AE:$AG,3,FALSE)</f>
        <v>#N/A</v>
      </c>
      <c r="M151" s="36"/>
      <c r="N151" s="37" t="e">
        <f>VLOOKUP($M151,APOIO!$I:$J,2,FALSE)</f>
        <v>#N/A</v>
      </c>
      <c r="O151" s="37"/>
      <c r="P151" s="37"/>
      <c r="Q151" s="37"/>
      <c r="R151" s="37"/>
      <c r="S151" s="41"/>
      <c r="T151" s="91"/>
      <c r="U151" s="92"/>
      <c r="V151" s="43">
        <f t="shared" si="4"/>
        <v>0</v>
      </c>
      <c r="W151" s="36"/>
      <c r="X151" s="87"/>
      <c r="Y151" s="37" t="b">
        <f t="shared" si="5"/>
        <v>1</v>
      </c>
      <c r="Z151" s="84" t="e">
        <f>VLOOKUP($B151,APOIO!$A:$F,5,FALSE)</f>
        <v>#N/A</v>
      </c>
    </row>
    <row r="152" spans="1:26" ht="15" x14ac:dyDescent="0.25">
      <c r="A152" s="36"/>
      <c r="B152" s="37" t="e">
        <f>VLOOKUP($A152,APOIO!$A:$E,1,FALSE)</f>
        <v>#N/A</v>
      </c>
      <c r="C152" s="36"/>
      <c r="D152" s="37" t="e">
        <f>INDEX(APOIO!$D:$D,MATCH(CONCATENATE($B152,$C152),APOIO!$F:$F,0))</f>
        <v>#N/A</v>
      </c>
      <c r="E152" s="36"/>
      <c r="F152" s="37" t="e">
        <f>VLOOKUP($E152,APOIO!$Z:$AC,2,FALSE)</f>
        <v>#N/A</v>
      </c>
      <c r="G152" s="38" t="e">
        <f>VLOOKUP($E152,APOIO!$Z:$AC,4,FALSE)</f>
        <v>#N/A</v>
      </c>
      <c r="H152" s="39"/>
      <c r="I152" s="40" t="e">
        <f>VLOOKUP($H152,APOIO!$W:$X,2,FALSE)</f>
        <v>#N/A</v>
      </c>
      <c r="J152" s="36"/>
      <c r="K152" s="40" t="e">
        <f>VLOOKUP($J152,APOIO!$AE:$AG,2,FALSE)</f>
        <v>#N/A</v>
      </c>
      <c r="L152" s="38" t="e">
        <f>VLOOKUP($J152,APOIO!$AE:$AG,3,FALSE)</f>
        <v>#N/A</v>
      </c>
      <c r="M152" s="36"/>
      <c r="N152" s="37" t="e">
        <f>VLOOKUP($M152,APOIO!$I:$J,2,FALSE)</f>
        <v>#N/A</v>
      </c>
      <c r="O152" s="37"/>
      <c r="P152" s="37"/>
      <c r="Q152" s="37"/>
      <c r="R152" s="37"/>
      <c r="S152" s="41"/>
      <c r="T152" s="91"/>
      <c r="U152" s="92"/>
      <c r="V152" s="43">
        <f t="shared" si="4"/>
        <v>0</v>
      </c>
      <c r="W152" s="36"/>
      <c r="X152" s="87"/>
      <c r="Y152" s="37" t="b">
        <f t="shared" si="5"/>
        <v>1</v>
      </c>
      <c r="Z152" s="84" t="e">
        <f>VLOOKUP($B152,APOIO!$A:$F,5,FALSE)</f>
        <v>#N/A</v>
      </c>
    </row>
    <row r="153" spans="1:26" ht="15" x14ac:dyDescent="0.25">
      <c r="A153" s="36"/>
      <c r="B153" s="37" t="e">
        <f>VLOOKUP($A153,APOIO!$A:$E,1,FALSE)</f>
        <v>#N/A</v>
      </c>
      <c r="C153" s="36"/>
      <c r="D153" s="37" t="e">
        <f>INDEX(APOIO!$D:$D,MATCH(CONCATENATE($B153,$C153),APOIO!$F:$F,0))</f>
        <v>#N/A</v>
      </c>
      <c r="E153" s="36"/>
      <c r="F153" s="37" t="e">
        <f>VLOOKUP($E153,APOIO!$Z:$AC,2,FALSE)</f>
        <v>#N/A</v>
      </c>
      <c r="G153" s="38" t="e">
        <f>VLOOKUP($E153,APOIO!$Z:$AC,4,FALSE)</f>
        <v>#N/A</v>
      </c>
      <c r="H153" s="39"/>
      <c r="I153" s="40" t="e">
        <f>VLOOKUP($H153,APOIO!$W:$X,2,FALSE)</f>
        <v>#N/A</v>
      </c>
      <c r="J153" s="36"/>
      <c r="K153" s="40" t="e">
        <f>VLOOKUP($J153,APOIO!$AE:$AG,2,FALSE)</f>
        <v>#N/A</v>
      </c>
      <c r="L153" s="38" t="e">
        <f>VLOOKUP($J153,APOIO!$AE:$AG,3,FALSE)</f>
        <v>#N/A</v>
      </c>
      <c r="M153" s="36"/>
      <c r="N153" s="37" t="e">
        <f>VLOOKUP($M153,APOIO!$I:$J,2,FALSE)</f>
        <v>#N/A</v>
      </c>
      <c r="O153" s="37"/>
      <c r="P153" s="37"/>
      <c r="Q153" s="37"/>
      <c r="R153" s="37"/>
      <c r="S153" s="41"/>
      <c r="T153" s="91"/>
      <c r="U153" s="92"/>
      <c r="V153" s="43">
        <f t="shared" si="4"/>
        <v>0</v>
      </c>
      <c r="W153" s="36"/>
      <c r="X153" s="87"/>
      <c r="Y153" s="37" t="b">
        <f t="shared" si="5"/>
        <v>1</v>
      </c>
      <c r="Z153" s="84" t="e">
        <f>VLOOKUP($B153,APOIO!$A:$F,5,FALSE)</f>
        <v>#N/A</v>
      </c>
    </row>
    <row r="154" spans="1:26" ht="15" x14ac:dyDescent="0.25">
      <c r="A154" s="36"/>
      <c r="B154" s="37" t="e">
        <f>VLOOKUP($A154,APOIO!$A:$E,1,FALSE)</f>
        <v>#N/A</v>
      </c>
      <c r="C154" s="36"/>
      <c r="D154" s="37" t="e">
        <f>INDEX(APOIO!$D:$D,MATCH(CONCATENATE($B154,$C154),APOIO!$F:$F,0))</f>
        <v>#N/A</v>
      </c>
      <c r="E154" s="36"/>
      <c r="F154" s="37" t="e">
        <f>VLOOKUP($E154,APOIO!$Z:$AC,2,FALSE)</f>
        <v>#N/A</v>
      </c>
      <c r="G154" s="38" t="e">
        <f>VLOOKUP($E154,APOIO!$Z:$AC,4,FALSE)</f>
        <v>#N/A</v>
      </c>
      <c r="H154" s="39"/>
      <c r="I154" s="40" t="e">
        <f>VLOOKUP($H154,APOIO!$W:$X,2,FALSE)</f>
        <v>#N/A</v>
      </c>
      <c r="J154" s="36"/>
      <c r="K154" s="40" t="e">
        <f>VLOOKUP($J154,APOIO!$AE:$AG,2,FALSE)</f>
        <v>#N/A</v>
      </c>
      <c r="L154" s="38" t="e">
        <f>VLOOKUP($J154,APOIO!$AE:$AG,3,FALSE)</f>
        <v>#N/A</v>
      </c>
      <c r="M154" s="36"/>
      <c r="N154" s="37" t="e">
        <f>VLOOKUP($M154,APOIO!$I:$J,2,FALSE)</f>
        <v>#N/A</v>
      </c>
      <c r="O154" s="37"/>
      <c r="P154" s="37"/>
      <c r="Q154" s="37"/>
      <c r="R154" s="37"/>
      <c r="S154" s="41"/>
      <c r="T154" s="91"/>
      <c r="U154" s="92"/>
      <c r="V154" s="43">
        <f t="shared" si="4"/>
        <v>0</v>
      </c>
      <c r="W154" s="36"/>
      <c r="X154" s="87"/>
      <c r="Y154" s="37" t="b">
        <f t="shared" si="5"/>
        <v>1</v>
      </c>
      <c r="Z154" s="84" t="e">
        <f>VLOOKUP($B154,APOIO!$A:$F,5,FALSE)</f>
        <v>#N/A</v>
      </c>
    </row>
    <row r="155" spans="1:26" ht="15" x14ac:dyDescent="0.25">
      <c r="A155" s="36"/>
      <c r="B155" s="37" t="e">
        <f>VLOOKUP($A155,APOIO!$A:$E,1,FALSE)</f>
        <v>#N/A</v>
      </c>
      <c r="C155" s="36"/>
      <c r="D155" s="37" t="e">
        <f>INDEX(APOIO!$D:$D,MATCH(CONCATENATE($B155,$C155),APOIO!$F:$F,0))</f>
        <v>#N/A</v>
      </c>
      <c r="E155" s="36"/>
      <c r="F155" s="37" t="e">
        <f>VLOOKUP($E155,APOIO!$Z:$AC,2,FALSE)</f>
        <v>#N/A</v>
      </c>
      <c r="G155" s="38" t="e">
        <f>VLOOKUP($E155,APOIO!$Z:$AC,4,FALSE)</f>
        <v>#N/A</v>
      </c>
      <c r="H155" s="39"/>
      <c r="I155" s="40" t="e">
        <f>VLOOKUP($H155,APOIO!$W:$X,2,FALSE)</f>
        <v>#N/A</v>
      </c>
      <c r="J155" s="36"/>
      <c r="K155" s="40" t="e">
        <f>VLOOKUP($J155,APOIO!$AE:$AG,2,FALSE)</f>
        <v>#N/A</v>
      </c>
      <c r="L155" s="38" t="e">
        <f>VLOOKUP($J155,APOIO!$AE:$AG,3,FALSE)</f>
        <v>#N/A</v>
      </c>
      <c r="M155" s="36"/>
      <c r="N155" s="37" t="e">
        <f>VLOOKUP($M155,APOIO!$I:$J,2,FALSE)</f>
        <v>#N/A</v>
      </c>
      <c r="O155" s="37"/>
      <c r="P155" s="37"/>
      <c r="Q155" s="37"/>
      <c r="R155" s="37"/>
      <c r="S155" s="41"/>
      <c r="T155" s="91"/>
      <c r="U155" s="92"/>
      <c r="V155" s="43">
        <f t="shared" si="4"/>
        <v>0</v>
      </c>
      <c r="W155" s="36"/>
      <c r="X155" s="87"/>
      <c r="Y155" s="37" t="b">
        <f t="shared" si="5"/>
        <v>1</v>
      </c>
      <c r="Z155" s="84" t="e">
        <f>VLOOKUP($B155,APOIO!$A:$F,5,FALSE)</f>
        <v>#N/A</v>
      </c>
    </row>
    <row r="156" spans="1:26" ht="15" x14ac:dyDescent="0.25">
      <c r="A156" s="36"/>
      <c r="B156" s="37" t="e">
        <f>VLOOKUP($A156,APOIO!$A:$E,1,FALSE)</f>
        <v>#N/A</v>
      </c>
      <c r="C156" s="36"/>
      <c r="D156" s="37" t="e">
        <f>INDEX(APOIO!$D:$D,MATCH(CONCATENATE($B156,$C156),APOIO!$F:$F,0))</f>
        <v>#N/A</v>
      </c>
      <c r="E156" s="36"/>
      <c r="F156" s="37" t="e">
        <f>VLOOKUP($E156,APOIO!$Z:$AC,2,FALSE)</f>
        <v>#N/A</v>
      </c>
      <c r="G156" s="38" t="e">
        <f>VLOOKUP($E156,APOIO!$Z:$AC,4,FALSE)</f>
        <v>#N/A</v>
      </c>
      <c r="H156" s="39"/>
      <c r="I156" s="40" t="e">
        <f>VLOOKUP($H156,APOIO!$W:$X,2,FALSE)</f>
        <v>#N/A</v>
      </c>
      <c r="J156" s="36"/>
      <c r="K156" s="40" t="e">
        <f>VLOOKUP($J156,APOIO!$AE:$AG,2,FALSE)</f>
        <v>#N/A</v>
      </c>
      <c r="L156" s="38" t="e">
        <f>VLOOKUP($J156,APOIO!$AE:$AG,3,FALSE)</f>
        <v>#N/A</v>
      </c>
      <c r="M156" s="36"/>
      <c r="N156" s="37" t="e">
        <f>VLOOKUP($M156,APOIO!$I:$J,2,FALSE)</f>
        <v>#N/A</v>
      </c>
      <c r="O156" s="37"/>
      <c r="P156" s="37"/>
      <c r="Q156" s="37"/>
      <c r="R156" s="37"/>
      <c r="S156" s="41"/>
      <c r="T156" s="91"/>
      <c r="U156" s="92"/>
      <c r="V156" s="43">
        <f t="shared" si="4"/>
        <v>0</v>
      </c>
      <c r="W156" s="36"/>
      <c r="X156" s="87"/>
      <c r="Y156" s="37" t="b">
        <f t="shared" si="5"/>
        <v>1</v>
      </c>
      <c r="Z156" s="84" t="e">
        <f>VLOOKUP($B156,APOIO!$A:$F,5,FALSE)</f>
        <v>#N/A</v>
      </c>
    </row>
    <row r="157" spans="1:26" ht="15" x14ac:dyDescent="0.25">
      <c r="A157" s="36"/>
      <c r="B157" s="37" t="e">
        <f>VLOOKUP($A157,APOIO!$A:$E,1,FALSE)</f>
        <v>#N/A</v>
      </c>
      <c r="C157" s="36"/>
      <c r="D157" s="37" t="e">
        <f>INDEX(APOIO!$D:$D,MATCH(CONCATENATE($B157,$C157),APOIO!$F:$F,0))</f>
        <v>#N/A</v>
      </c>
      <c r="E157" s="36"/>
      <c r="F157" s="37" t="e">
        <f>VLOOKUP($E157,APOIO!$Z:$AC,2,FALSE)</f>
        <v>#N/A</v>
      </c>
      <c r="G157" s="38" t="e">
        <f>VLOOKUP($E157,APOIO!$Z:$AC,4,FALSE)</f>
        <v>#N/A</v>
      </c>
      <c r="H157" s="39"/>
      <c r="I157" s="40" t="e">
        <f>VLOOKUP($H157,APOIO!$W:$X,2,FALSE)</f>
        <v>#N/A</v>
      </c>
      <c r="J157" s="36"/>
      <c r="K157" s="40" t="e">
        <f>VLOOKUP($J157,APOIO!$AE:$AG,2,FALSE)</f>
        <v>#N/A</v>
      </c>
      <c r="L157" s="38" t="e">
        <f>VLOOKUP($J157,APOIO!$AE:$AG,3,FALSE)</f>
        <v>#N/A</v>
      </c>
      <c r="M157" s="36"/>
      <c r="N157" s="37" t="e">
        <f>VLOOKUP($M157,APOIO!$I:$J,2,FALSE)</f>
        <v>#N/A</v>
      </c>
      <c r="O157" s="37"/>
      <c r="P157" s="37"/>
      <c r="Q157" s="37"/>
      <c r="R157" s="37"/>
      <c r="S157" s="41"/>
      <c r="T157" s="91"/>
      <c r="U157" s="92"/>
      <c r="V157" s="43">
        <f t="shared" si="4"/>
        <v>0</v>
      </c>
      <c r="W157" s="36"/>
      <c r="X157" s="87"/>
      <c r="Y157" s="37" t="b">
        <f t="shared" si="5"/>
        <v>1</v>
      </c>
      <c r="Z157" s="84" t="e">
        <f>VLOOKUP($B157,APOIO!$A:$F,5,FALSE)</f>
        <v>#N/A</v>
      </c>
    </row>
    <row r="158" spans="1:26" ht="15" x14ac:dyDescent="0.25">
      <c r="A158" s="36"/>
      <c r="B158" s="37" t="e">
        <f>VLOOKUP($A158,APOIO!$A:$E,1,FALSE)</f>
        <v>#N/A</v>
      </c>
      <c r="C158" s="36"/>
      <c r="D158" s="37" t="e">
        <f>INDEX(APOIO!$D:$D,MATCH(CONCATENATE($B158,$C158),APOIO!$F:$F,0))</f>
        <v>#N/A</v>
      </c>
      <c r="E158" s="36"/>
      <c r="F158" s="37" t="e">
        <f>VLOOKUP($E158,APOIO!$Z:$AC,2,FALSE)</f>
        <v>#N/A</v>
      </c>
      <c r="G158" s="38" t="e">
        <f>VLOOKUP($E158,APOIO!$Z:$AC,4,FALSE)</f>
        <v>#N/A</v>
      </c>
      <c r="H158" s="39"/>
      <c r="I158" s="40" t="e">
        <f>VLOOKUP($H158,APOIO!$W:$X,2,FALSE)</f>
        <v>#N/A</v>
      </c>
      <c r="J158" s="36"/>
      <c r="K158" s="40" t="e">
        <f>VLOOKUP($J158,APOIO!$AE:$AG,2,FALSE)</f>
        <v>#N/A</v>
      </c>
      <c r="L158" s="38" t="e">
        <f>VLOOKUP($J158,APOIO!$AE:$AG,3,FALSE)</f>
        <v>#N/A</v>
      </c>
      <c r="M158" s="36"/>
      <c r="N158" s="37" t="e">
        <f>VLOOKUP($M158,APOIO!$I:$J,2,FALSE)</f>
        <v>#N/A</v>
      </c>
      <c r="O158" s="37"/>
      <c r="P158" s="37"/>
      <c r="Q158" s="37"/>
      <c r="R158" s="37"/>
      <c r="S158" s="41"/>
      <c r="T158" s="91"/>
      <c r="U158" s="92"/>
      <c r="V158" s="43">
        <f t="shared" si="4"/>
        <v>0</v>
      </c>
      <c r="W158" s="36"/>
      <c r="X158" s="87"/>
      <c r="Y158" s="37" t="b">
        <f t="shared" si="5"/>
        <v>1</v>
      </c>
      <c r="Z158" s="84" t="e">
        <f>VLOOKUP($B158,APOIO!$A:$F,5,FALSE)</f>
        <v>#N/A</v>
      </c>
    </row>
    <row r="159" spans="1:26" ht="15" x14ac:dyDescent="0.25">
      <c r="A159" s="36"/>
      <c r="B159" s="37" t="e">
        <f>VLOOKUP($A159,APOIO!$A:$E,1,FALSE)</f>
        <v>#N/A</v>
      </c>
      <c r="C159" s="36"/>
      <c r="D159" s="37" t="e">
        <f>INDEX(APOIO!$D:$D,MATCH(CONCATENATE($B159,$C159),APOIO!$F:$F,0))</f>
        <v>#N/A</v>
      </c>
      <c r="E159" s="36"/>
      <c r="F159" s="37" t="e">
        <f>VLOOKUP($E159,APOIO!$Z:$AC,2,FALSE)</f>
        <v>#N/A</v>
      </c>
      <c r="G159" s="38" t="e">
        <f>VLOOKUP($E159,APOIO!$Z:$AC,4,FALSE)</f>
        <v>#N/A</v>
      </c>
      <c r="H159" s="39"/>
      <c r="I159" s="40" t="e">
        <f>VLOOKUP($H159,APOIO!$W:$X,2,FALSE)</f>
        <v>#N/A</v>
      </c>
      <c r="J159" s="36"/>
      <c r="K159" s="40" t="e">
        <f>VLOOKUP($J159,APOIO!$AE:$AG,2,FALSE)</f>
        <v>#N/A</v>
      </c>
      <c r="L159" s="38" t="e">
        <f>VLOOKUP($J159,APOIO!$AE:$AG,3,FALSE)</f>
        <v>#N/A</v>
      </c>
      <c r="M159" s="36"/>
      <c r="N159" s="37" t="e">
        <f>VLOOKUP($M159,APOIO!$I:$J,2,FALSE)</f>
        <v>#N/A</v>
      </c>
      <c r="O159" s="37"/>
      <c r="P159" s="37"/>
      <c r="Q159" s="37"/>
      <c r="R159" s="37"/>
      <c r="S159" s="41"/>
      <c r="T159" s="91"/>
      <c r="U159" s="92"/>
      <c r="V159" s="43">
        <f t="shared" si="4"/>
        <v>0</v>
      </c>
      <c r="W159" s="36"/>
      <c r="X159" s="87"/>
      <c r="Y159" s="37" t="b">
        <f t="shared" si="5"/>
        <v>1</v>
      </c>
      <c r="Z159" s="84" t="e">
        <f>VLOOKUP($B159,APOIO!$A:$F,5,FALSE)</f>
        <v>#N/A</v>
      </c>
    </row>
    <row r="160" spans="1:26" ht="15" x14ac:dyDescent="0.25">
      <c r="A160" s="36"/>
      <c r="B160" s="37" t="e">
        <f>VLOOKUP($A160,APOIO!$A:$E,1,FALSE)</f>
        <v>#N/A</v>
      </c>
      <c r="C160" s="36"/>
      <c r="D160" s="37" t="e">
        <f>INDEX(APOIO!$D:$D,MATCH(CONCATENATE($B160,$C160),APOIO!$F:$F,0))</f>
        <v>#N/A</v>
      </c>
      <c r="E160" s="36"/>
      <c r="F160" s="37" t="e">
        <f>VLOOKUP($E160,APOIO!$Z:$AC,2,FALSE)</f>
        <v>#N/A</v>
      </c>
      <c r="G160" s="38" t="e">
        <f>VLOOKUP($E160,APOIO!$Z:$AC,4,FALSE)</f>
        <v>#N/A</v>
      </c>
      <c r="H160" s="39"/>
      <c r="I160" s="40" t="e">
        <f>VLOOKUP($H160,APOIO!$W:$X,2,FALSE)</f>
        <v>#N/A</v>
      </c>
      <c r="J160" s="36"/>
      <c r="K160" s="40" t="e">
        <f>VLOOKUP($J160,APOIO!$AE:$AG,2,FALSE)</f>
        <v>#N/A</v>
      </c>
      <c r="L160" s="38" t="e">
        <f>VLOOKUP($J160,APOIO!$AE:$AG,3,FALSE)</f>
        <v>#N/A</v>
      </c>
      <c r="M160" s="36"/>
      <c r="N160" s="37" t="e">
        <f>VLOOKUP($M160,APOIO!$I:$J,2,FALSE)</f>
        <v>#N/A</v>
      </c>
      <c r="O160" s="37"/>
      <c r="P160" s="37"/>
      <c r="Q160" s="37"/>
      <c r="R160" s="37"/>
      <c r="S160" s="41"/>
      <c r="T160" s="91"/>
      <c r="U160" s="92"/>
      <c r="V160" s="43">
        <f t="shared" si="4"/>
        <v>0</v>
      </c>
      <c r="W160" s="36"/>
      <c r="X160" s="87"/>
      <c r="Y160" s="37" t="b">
        <f t="shared" si="5"/>
        <v>1</v>
      </c>
      <c r="Z160" s="84" t="e">
        <f>VLOOKUP($B160,APOIO!$A:$F,5,FALSE)</f>
        <v>#N/A</v>
      </c>
    </row>
    <row r="161" spans="1:26" ht="15" x14ac:dyDescent="0.25">
      <c r="A161" s="36"/>
      <c r="B161" s="37" t="e">
        <f>VLOOKUP($A161,APOIO!$A:$E,1,FALSE)</f>
        <v>#N/A</v>
      </c>
      <c r="C161" s="36"/>
      <c r="D161" s="37" t="e">
        <f>INDEX(APOIO!$D:$D,MATCH(CONCATENATE($B161,$C161),APOIO!$F:$F,0))</f>
        <v>#N/A</v>
      </c>
      <c r="E161" s="36"/>
      <c r="F161" s="37" t="e">
        <f>VLOOKUP($E161,APOIO!$Z:$AC,2,FALSE)</f>
        <v>#N/A</v>
      </c>
      <c r="G161" s="38" t="e">
        <f>VLOOKUP($E161,APOIO!$Z:$AC,4,FALSE)</f>
        <v>#N/A</v>
      </c>
      <c r="H161" s="39"/>
      <c r="I161" s="40" t="e">
        <f>VLOOKUP($H161,APOIO!$W:$X,2,FALSE)</f>
        <v>#N/A</v>
      </c>
      <c r="J161" s="36"/>
      <c r="K161" s="40" t="e">
        <f>VLOOKUP($J161,APOIO!$AE:$AG,2,FALSE)</f>
        <v>#N/A</v>
      </c>
      <c r="L161" s="38" t="e">
        <f>VLOOKUP($J161,APOIO!$AE:$AG,3,FALSE)</f>
        <v>#N/A</v>
      </c>
      <c r="M161" s="36"/>
      <c r="N161" s="37" t="e">
        <f>VLOOKUP($M161,APOIO!$I:$J,2,FALSE)</f>
        <v>#N/A</v>
      </c>
      <c r="O161" s="37"/>
      <c r="P161" s="37"/>
      <c r="Q161" s="37"/>
      <c r="R161" s="37"/>
      <c r="S161" s="41"/>
      <c r="T161" s="91"/>
      <c r="U161" s="92"/>
      <c r="V161" s="43">
        <f t="shared" si="4"/>
        <v>0</v>
      </c>
      <c r="W161" s="36"/>
      <c r="X161" s="87"/>
      <c r="Y161" s="37" t="b">
        <f t="shared" si="5"/>
        <v>1</v>
      </c>
      <c r="Z161" s="84" t="e">
        <f>VLOOKUP($B161,APOIO!$A:$F,5,FALSE)</f>
        <v>#N/A</v>
      </c>
    </row>
    <row r="162" spans="1:26" ht="15" x14ac:dyDescent="0.25">
      <c r="A162" s="36"/>
      <c r="B162" s="37" t="e">
        <f>VLOOKUP($A162,APOIO!$A:$E,1,FALSE)</f>
        <v>#N/A</v>
      </c>
      <c r="C162" s="36"/>
      <c r="D162" s="37" t="e">
        <f>INDEX(APOIO!$D:$D,MATCH(CONCATENATE($B162,$C162),APOIO!$F:$F,0))</f>
        <v>#N/A</v>
      </c>
      <c r="E162" s="36"/>
      <c r="F162" s="37" t="e">
        <f>VLOOKUP($E162,APOIO!$Z:$AC,2,FALSE)</f>
        <v>#N/A</v>
      </c>
      <c r="G162" s="38" t="e">
        <f>VLOOKUP($E162,APOIO!$Z:$AC,4,FALSE)</f>
        <v>#N/A</v>
      </c>
      <c r="H162" s="39"/>
      <c r="I162" s="40" t="e">
        <f>VLOOKUP($H162,APOIO!$W:$X,2,FALSE)</f>
        <v>#N/A</v>
      </c>
      <c r="J162" s="36"/>
      <c r="K162" s="40" t="e">
        <f>VLOOKUP($J162,APOIO!$AE:$AG,2,FALSE)</f>
        <v>#N/A</v>
      </c>
      <c r="L162" s="38" t="e">
        <f>VLOOKUP($J162,APOIO!$AE:$AG,3,FALSE)</f>
        <v>#N/A</v>
      </c>
      <c r="M162" s="36"/>
      <c r="N162" s="37" t="e">
        <f>VLOOKUP($M162,APOIO!$I:$J,2,FALSE)</f>
        <v>#N/A</v>
      </c>
      <c r="O162" s="37"/>
      <c r="P162" s="37"/>
      <c r="Q162" s="37"/>
      <c r="R162" s="37"/>
      <c r="S162" s="41"/>
      <c r="T162" s="91"/>
      <c r="U162" s="92"/>
      <c r="V162" s="43">
        <f t="shared" si="4"/>
        <v>0</v>
      </c>
      <c r="W162" s="36"/>
      <c r="X162" s="87"/>
      <c r="Y162" s="37" t="b">
        <f t="shared" si="5"/>
        <v>1</v>
      </c>
      <c r="Z162" s="84" t="e">
        <f>VLOOKUP($B162,APOIO!$A:$F,5,FALSE)</f>
        <v>#N/A</v>
      </c>
    </row>
    <row r="163" spans="1:26" ht="15" x14ac:dyDescent="0.25">
      <c r="A163" s="36"/>
      <c r="B163" s="37" t="e">
        <f>VLOOKUP($A163,APOIO!$A:$E,1,FALSE)</f>
        <v>#N/A</v>
      </c>
      <c r="C163" s="36"/>
      <c r="D163" s="37" t="e">
        <f>INDEX(APOIO!$D:$D,MATCH(CONCATENATE($B163,$C163),APOIO!$F:$F,0))</f>
        <v>#N/A</v>
      </c>
      <c r="E163" s="36"/>
      <c r="F163" s="37" t="e">
        <f>VLOOKUP($E163,APOIO!$Z:$AC,2,FALSE)</f>
        <v>#N/A</v>
      </c>
      <c r="G163" s="38" t="e">
        <f>VLOOKUP($E163,APOIO!$Z:$AC,4,FALSE)</f>
        <v>#N/A</v>
      </c>
      <c r="H163" s="39"/>
      <c r="I163" s="40" t="e">
        <f>VLOOKUP($H163,APOIO!$W:$X,2,FALSE)</f>
        <v>#N/A</v>
      </c>
      <c r="J163" s="36"/>
      <c r="K163" s="40" t="e">
        <f>VLOOKUP($J163,APOIO!$AE:$AG,2,FALSE)</f>
        <v>#N/A</v>
      </c>
      <c r="L163" s="38" t="e">
        <f>VLOOKUP($J163,APOIO!$AE:$AG,3,FALSE)</f>
        <v>#N/A</v>
      </c>
      <c r="M163" s="36"/>
      <c r="N163" s="37" t="e">
        <f>VLOOKUP($M163,APOIO!$I:$J,2,FALSE)</f>
        <v>#N/A</v>
      </c>
      <c r="O163" s="37"/>
      <c r="P163" s="37"/>
      <c r="Q163" s="37"/>
      <c r="R163" s="37"/>
      <c r="S163" s="41"/>
      <c r="T163" s="91"/>
      <c r="U163" s="92"/>
      <c r="V163" s="43">
        <f t="shared" si="4"/>
        <v>0</v>
      </c>
      <c r="W163" s="36"/>
      <c r="X163" s="87"/>
      <c r="Y163" s="37" t="b">
        <f t="shared" si="5"/>
        <v>1</v>
      </c>
      <c r="Z163" s="84" t="e">
        <f>VLOOKUP($B163,APOIO!$A:$F,5,FALSE)</f>
        <v>#N/A</v>
      </c>
    </row>
    <row r="164" spans="1:26" ht="15" x14ac:dyDescent="0.25">
      <c r="A164" s="36"/>
      <c r="B164" s="37" t="e">
        <f>VLOOKUP($A164,APOIO!$A:$E,1,FALSE)</f>
        <v>#N/A</v>
      </c>
      <c r="C164" s="36"/>
      <c r="D164" s="37" t="e">
        <f>INDEX(APOIO!$D:$D,MATCH(CONCATENATE($B164,$C164),APOIO!$F:$F,0))</f>
        <v>#N/A</v>
      </c>
      <c r="E164" s="36"/>
      <c r="F164" s="37" t="e">
        <f>VLOOKUP($E164,APOIO!$Z:$AC,2,FALSE)</f>
        <v>#N/A</v>
      </c>
      <c r="G164" s="38" t="e">
        <f>VLOOKUP($E164,APOIO!$Z:$AC,4,FALSE)</f>
        <v>#N/A</v>
      </c>
      <c r="H164" s="39"/>
      <c r="I164" s="40" t="e">
        <f>VLOOKUP($H164,APOIO!$W:$X,2,FALSE)</f>
        <v>#N/A</v>
      </c>
      <c r="J164" s="36"/>
      <c r="K164" s="40" t="e">
        <f>VLOOKUP($J164,APOIO!$AE:$AG,2,FALSE)</f>
        <v>#N/A</v>
      </c>
      <c r="L164" s="38" t="e">
        <f>VLOOKUP($J164,APOIO!$AE:$AG,3,FALSE)</f>
        <v>#N/A</v>
      </c>
      <c r="M164" s="36"/>
      <c r="N164" s="37" t="e">
        <f>VLOOKUP($M164,APOIO!$I:$J,2,FALSE)</f>
        <v>#N/A</v>
      </c>
      <c r="O164" s="37"/>
      <c r="P164" s="37"/>
      <c r="Q164" s="37"/>
      <c r="R164" s="37"/>
      <c r="S164" s="41"/>
      <c r="T164" s="91"/>
      <c r="U164" s="92"/>
      <c r="V164" s="43">
        <f t="shared" si="4"/>
        <v>0</v>
      </c>
      <c r="W164" s="36"/>
      <c r="X164" s="87"/>
      <c r="Y164" s="37" t="b">
        <f t="shared" si="5"/>
        <v>1</v>
      </c>
      <c r="Z164" s="84" t="e">
        <f>VLOOKUP($B164,APOIO!$A:$F,5,FALSE)</f>
        <v>#N/A</v>
      </c>
    </row>
    <row r="165" spans="1:26" ht="15" x14ac:dyDescent="0.25">
      <c r="A165" s="36"/>
      <c r="B165" s="37" t="e">
        <f>VLOOKUP($A165,APOIO!$A:$E,1,FALSE)</f>
        <v>#N/A</v>
      </c>
      <c r="C165" s="36"/>
      <c r="D165" s="37" t="e">
        <f>INDEX(APOIO!$D:$D,MATCH(CONCATENATE($B165,$C165),APOIO!$F:$F,0))</f>
        <v>#N/A</v>
      </c>
      <c r="E165" s="36"/>
      <c r="F165" s="37" t="e">
        <f>VLOOKUP($E165,APOIO!$Z:$AC,2,FALSE)</f>
        <v>#N/A</v>
      </c>
      <c r="G165" s="38" t="e">
        <f>VLOOKUP($E165,APOIO!$Z:$AC,4,FALSE)</f>
        <v>#N/A</v>
      </c>
      <c r="H165" s="39"/>
      <c r="I165" s="40" t="e">
        <f>VLOOKUP($H165,APOIO!$W:$X,2,FALSE)</f>
        <v>#N/A</v>
      </c>
      <c r="J165" s="36"/>
      <c r="K165" s="40" t="e">
        <f>VLOOKUP($J165,APOIO!$AE:$AG,2,FALSE)</f>
        <v>#N/A</v>
      </c>
      <c r="L165" s="38" t="e">
        <f>VLOOKUP($J165,APOIO!$AE:$AG,3,FALSE)</f>
        <v>#N/A</v>
      </c>
      <c r="M165" s="36"/>
      <c r="N165" s="37" t="e">
        <f>VLOOKUP($M165,APOIO!$I:$J,2,FALSE)</f>
        <v>#N/A</v>
      </c>
      <c r="O165" s="37"/>
      <c r="P165" s="37"/>
      <c r="Q165" s="37"/>
      <c r="R165" s="37"/>
      <c r="S165" s="41"/>
      <c r="T165" s="91"/>
      <c r="U165" s="92"/>
      <c r="V165" s="43">
        <f t="shared" si="4"/>
        <v>0</v>
      </c>
      <c r="W165" s="36"/>
      <c r="X165" s="87"/>
      <c r="Y165" s="37" t="b">
        <f t="shared" si="5"/>
        <v>1</v>
      </c>
      <c r="Z165" s="84" t="e">
        <f>VLOOKUP($B165,APOIO!$A:$F,5,FALSE)</f>
        <v>#N/A</v>
      </c>
    </row>
    <row r="166" spans="1:26" ht="15" x14ac:dyDescent="0.25">
      <c r="A166" s="36"/>
      <c r="B166" s="37" t="e">
        <f>VLOOKUP($A166,APOIO!$A:$E,1,FALSE)</f>
        <v>#N/A</v>
      </c>
      <c r="C166" s="36"/>
      <c r="D166" s="37" t="e">
        <f>INDEX(APOIO!$D:$D,MATCH(CONCATENATE($B166,$C166),APOIO!$F:$F,0))</f>
        <v>#N/A</v>
      </c>
      <c r="E166" s="36"/>
      <c r="F166" s="37" t="e">
        <f>VLOOKUP($E166,APOIO!$Z:$AC,2,FALSE)</f>
        <v>#N/A</v>
      </c>
      <c r="G166" s="38" t="e">
        <f>VLOOKUP($E166,APOIO!$Z:$AC,4,FALSE)</f>
        <v>#N/A</v>
      </c>
      <c r="H166" s="39"/>
      <c r="I166" s="40" t="e">
        <f>VLOOKUP($H166,APOIO!$W:$X,2,FALSE)</f>
        <v>#N/A</v>
      </c>
      <c r="J166" s="36"/>
      <c r="K166" s="40" t="e">
        <f>VLOOKUP($J166,APOIO!$AE:$AG,2,FALSE)</f>
        <v>#N/A</v>
      </c>
      <c r="L166" s="38" t="e">
        <f>VLOOKUP($J166,APOIO!$AE:$AG,3,FALSE)</f>
        <v>#N/A</v>
      </c>
      <c r="M166" s="36"/>
      <c r="N166" s="37" t="e">
        <f>VLOOKUP($M166,APOIO!$I:$J,2,FALSE)</f>
        <v>#N/A</v>
      </c>
      <c r="O166" s="37"/>
      <c r="P166" s="37"/>
      <c r="Q166" s="37"/>
      <c r="R166" s="37"/>
      <c r="S166" s="41"/>
      <c r="T166" s="91"/>
      <c r="U166" s="92"/>
      <c r="V166" s="43">
        <f t="shared" si="4"/>
        <v>0</v>
      </c>
      <c r="W166" s="36"/>
      <c r="X166" s="87"/>
      <c r="Y166" s="37" t="b">
        <f t="shared" si="5"/>
        <v>1</v>
      </c>
      <c r="Z166" s="84" t="e">
        <f>VLOOKUP($B166,APOIO!$A:$F,5,FALSE)</f>
        <v>#N/A</v>
      </c>
    </row>
    <row r="167" spans="1:26" ht="15" x14ac:dyDescent="0.25">
      <c r="A167" s="36"/>
      <c r="B167" s="37" t="e">
        <f>VLOOKUP($A167,APOIO!$A:$E,1,FALSE)</f>
        <v>#N/A</v>
      </c>
      <c r="C167" s="36"/>
      <c r="D167" s="37" t="e">
        <f>INDEX(APOIO!$D:$D,MATCH(CONCATENATE($B167,$C167),APOIO!$F:$F,0))</f>
        <v>#N/A</v>
      </c>
      <c r="E167" s="36"/>
      <c r="F167" s="37" t="e">
        <f>VLOOKUP($E167,APOIO!$Z:$AC,2,FALSE)</f>
        <v>#N/A</v>
      </c>
      <c r="G167" s="38" t="e">
        <f>VLOOKUP($E167,APOIO!$Z:$AC,4,FALSE)</f>
        <v>#N/A</v>
      </c>
      <c r="H167" s="39"/>
      <c r="I167" s="40" t="e">
        <f>VLOOKUP($H167,APOIO!$W:$X,2,FALSE)</f>
        <v>#N/A</v>
      </c>
      <c r="J167" s="36"/>
      <c r="K167" s="40" t="e">
        <f>VLOOKUP($J167,APOIO!$AE:$AG,2,FALSE)</f>
        <v>#N/A</v>
      </c>
      <c r="L167" s="38" t="e">
        <f>VLOOKUP($J167,APOIO!$AE:$AG,3,FALSE)</f>
        <v>#N/A</v>
      </c>
      <c r="M167" s="36"/>
      <c r="N167" s="37" t="e">
        <f>VLOOKUP($M167,APOIO!$I:$J,2,FALSE)</f>
        <v>#N/A</v>
      </c>
      <c r="O167" s="37"/>
      <c r="P167" s="37"/>
      <c r="Q167" s="37"/>
      <c r="R167" s="37"/>
      <c r="S167" s="41"/>
      <c r="T167" s="91"/>
      <c r="U167" s="92"/>
      <c r="V167" s="43">
        <f t="shared" si="4"/>
        <v>0</v>
      </c>
      <c r="W167" s="36"/>
      <c r="X167" s="87"/>
      <c r="Y167" s="37" t="b">
        <f t="shared" si="5"/>
        <v>1</v>
      </c>
      <c r="Z167" s="84" t="e">
        <f>VLOOKUP($B167,APOIO!$A:$F,5,FALSE)</f>
        <v>#N/A</v>
      </c>
    </row>
    <row r="168" spans="1:26" ht="15" x14ac:dyDescent="0.25">
      <c r="A168" s="36"/>
      <c r="B168" s="37" t="e">
        <f>VLOOKUP($A168,APOIO!$A:$E,1,FALSE)</f>
        <v>#N/A</v>
      </c>
      <c r="C168" s="36"/>
      <c r="D168" s="37" t="e">
        <f>INDEX(APOIO!$D:$D,MATCH(CONCATENATE($B168,$C168),APOIO!$F:$F,0))</f>
        <v>#N/A</v>
      </c>
      <c r="E168" s="36"/>
      <c r="F168" s="37" t="e">
        <f>VLOOKUP($E168,APOIO!$Z:$AC,2,FALSE)</f>
        <v>#N/A</v>
      </c>
      <c r="G168" s="38" t="e">
        <f>VLOOKUP($E168,APOIO!$Z:$AC,4,FALSE)</f>
        <v>#N/A</v>
      </c>
      <c r="H168" s="39"/>
      <c r="I168" s="40" t="e">
        <f>VLOOKUP($H168,APOIO!$W:$X,2,FALSE)</f>
        <v>#N/A</v>
      </c>
      <c r="J168" s="36"/>
      <c r="K168" s="40" t="e">
        <f>VLOOKUP($J168,APOIO!$AE:$AG,2,FALSE)</f>
        <v>#N/A</v>
      </c>
      <c r="L168" s="38" t="e">
        <f>VLOOKUP($J168,APOIO!$AE:$AG,3,FALSE)</f>
        <v>#N/A</v>
      </c>
      <c r="M168" s="36"/>
      <c r="N168" s="37" t="e">
        <f>VLOOKUP($M168,APOIO!$I:$J,2,FALSE)</f>
        <v>#N/A</v>
      </c>
      <c r="O168" s="37"/>
      <c r="P168" s="37"/>
      <c r="Q168" s="37"/>
      <c r="R168" s="37"/>
      <c r="S168" s="41"/>
      <c r="T168" s="91"/>
      <c r="U168" s="92"/>
      <c r="V168" s="43">
        <f t="shared" si="4"/>
        <v>0</v>
      </c>
      <c r="W168" s="36"/>
      <c r="X168" s="87"/>
      <c r="Y168" s="37" t="b">
        <f t="shared" si="5"/>
        <v>1</v>
      </c>
      <c r="Z168" s="84" t="e">
        <f>VLOOKUP($B168,APOIO!$A:$F,5,FALSE)</f>
        <v>#N/A</v>
      </c>
    </row>
    <row r="169" spans="1:26" ht="15" x14ac:dyDescent="0.25">
      <c r="A169" s="36"/>
      <c r="B169" s="37" t="e">
        <f>VLOOKUP($A169,APOIO!$A:$E,1,FALSE)</f>
        <v>#N/A</v>
      </c>
      <c r="C169" s="36"/>
      <c r="D169" s="37" t="e">
        <f>INDEX(APOIO!$D:$D,MATCH(CONCATENATE($B169,$C169),APOIO!$F:$F,0))</f>
        <v>#N/A</v>
      </c>
      <c r="E169" s="36"/>
      <c r="F169" s="37" t="e">
        <f>VLOOKUP($E169,APOIO!$Z:$AC,2,FALSE)</f>
        <v>#N/A</v>
      </c>
      <c r="G169" s="38" t="e">
        <f>VLOOKUP($E169,APOIO!$Z:$AC,4,FALSE)</f>
        <v>#N/A</v>
      </c>
      <c r="H169" s="39"/>
      <c r="I169" s="40" t="e">
        <f>VLOOKUP($H169,APOIO!$W:$X,2,FALSE)</f>
        <v>#N/A</v>
      </c>
      <c r="J169" s="36"/>
      <c r="K169" s="40" t="e">
        <f>VLOOKUP($J169,APOIO!$AE:$AG,2,FALSE)</f>
        <v>#N/A</v>
      </c>
      <c r="L169" s="38" t="e">
        <f>VLOOKUP($J169,APOIO!$AE:$AG,3,FALSE)</f>
        <v>#N/A</v>
      </c>
      <c r="M169" s="36"/>
      <c r="N169" s="37" t="e">
        <f>VLOOKUP($M169,APOIO!$I:$J,2,FALSE)</f>
        <v>#N/A</v>
      </c>
      <c r="O169" s="37"/>
      <c r="P169" s="37"/>
      <c r="Q169" s="37"/>
      <c r="R169" s="37"/>
      <c r="S169" s="41"/>
      <c r="T169" s="91"/>
      <c r="U169" s="92"/>
      <c r="V169" s="43">
        <f t="shared" si="4"/>
        <v>0</v>
      </c>
      <c r="W169" s="36"/>
      <c r="X169" s="87"/>
      <c r="Y169" s="37" t="b">
        <f t="shared" si="5"/>
        <v>1</v>
      </c>
      <c r="Z169" s="84" t="e">
        <f>VLOOKUP($B169,APOIO!$A:$F,5,FALSE)</f>
        <v>#N/A</v>
      </c>
    </row>
    <row r="170" spans="1:26" ht="15" x14ac:dyDescent="0.25">
      <c r="A170" s="36"/>
      <c r="B170" s="37" t="e">
        <f>VLOOKUP($A170,APOIO!$A:$E,1,FALSE)</f>
        <v>#N/A</v>
      </c>
      <c r="C170" s="36"/>
      <c r="D170" s="37" t="e">
        <f>INDEX(APOIO!$D:$D,MATCH(CONCATENATE($B170,$C170),APOIO!$F:$F,0))</f>
        <v>#N/A</v>
      </c>
      <c r="E170" s="36"/>
      <c r="F170" s="37" t="e">
        <f>VLOOKUP($E170,APOIO!$Z:$AC,2,FALSE)</f>
        <v>#N/A</v>
      </c>
      <c r="G170" s="38" t="e">
        <f>VLOOKUP($E170,APOIO!$Z:$AC,4,FALSE)</f>
        <v>#N/A</v>
      </c>
      <c r="H170" s="39"/>
      <c r="I170" s="40" t="e">
        <f>VLOOKUP($H170,APOIO!$W:$X,2,FALSE)</f>
        <v>#N/A</v>
      </c>
      <c r="J170" s="36"/>
      <c r="K170" s="40" t="e">
        <f>VLOOKUP($J170,APOIO!$AE:$AG,2,FALSE)</f>
        <v>#N/A</v>
      </c>
      <c r="L170" s="38" t="e">
        <f>VLOOKUP($J170,APOIO!$AE:$AG,3,FALSE)</f>
        <v>#N/A</v>
      </c>
      <c r="M170" s="36"/>
      <c r="N170" s="37" t="e">
        <f>VLOOKUP($M170,APOIO!$I:$J,2,FALSE)</f>
        <v>#N/A</v>
      </c>
      <c r="O170" s="37"/>
      <c r="P170" s="37"/>
      <c r="Q170" s="37"/>
      <c r="R170" s="37"/>
      <c r="S170" s="41"/>
      <c r="T170" s="91"/>
      <c r="U170" s="92"/>
      <c r="V170" s="43">
        <f t="shared" si="4"/>
        <v>0</v>
      </c>
      <c r="W170" s="36"/>
      <c r="X170" s="87"/>
      <c r="Y170" s="37" t="b">
        <f t="shared" si="5"/>
        <v>1</v>
      </c>
      <c r="Z170" s="84" t="e">
        <f>VLOOKUP($B170,APOIO!$A:$F,5,FALSE)</f>
        <v>#N/A</v>
      </c>
    </row>
    <row r="171" spans="1:26" ht="15" x14ac:dyDescent="0.25">
      <c r="A171" s="36"/>
      <c r="B171" s="37" t="e">
        <f>VLOOKUP($A171,APOIO!$A:$E,1,FALSE)</f>
        <v>#N/A</v>
      </c>
      <c r="C171" s="36"/>
      <c r="D171" s="37" t="e">
        <f>INDEX(APOIO!$D:$D,MATCH(CONCATENATE($B171,$C171),APOIO!$F:$F,0))</f>
        <v>#N/A</v>
      </c>
      <c r="E171" s="36"/>
      <c r="F171" s="37" t="e">
        <f>VLOOKUP($E171,APOIO!$Z:$AC,2,FALSE)</f>
        <v>#N/A</v>
      </c>
      <c r="G171" s="38" t="e">
        <f>VLOOKUP($E171,APOIO!$Z:$AC,4,FALSE)</f>
        <v>#N/A</v>
      </c>
      <c r="H171" s="39"/>
      <c r="I171" s="40" t="e">
        <f>VLOOKUP($H171,APOIO!$W:$X,2,FALSE)</f>
        <v>#N/A</v>
      </c>
      <c r="J171" s="36"/>
      <c r="K171" s="40" t="e">
        <f>VLOOKUP($J171,APOIO!$AE:$AG,2,FALSE)</f>
        <v>#N/A</v>
      </c>
      <c r="L171" s="38" t="e">
        <f>VLOOKUP($J171,APOIO!$AE:$AG,3,FALSE)</f>
        <v>#N/A</v>
      </c>
      <c r="M171" s="36"/>
      <c r="N171" s="37" t="e">
        <f>VLOOKUP($M171,APOIO!$I:$J,2,FALSE)</f>
        <v>#N/A</v>
      </c>
      <c r="O171" s="37"/>
      <c r="P171" s="37"/>
      <c r="Q171" s="37"/>
      <c r="R171" s="37"/>
      <c r="S171" s="41"/>
      <c r="T171" s="91"/>
      <c r="U171" s="92"/>
      <c r="V171" s="43">
        <f t="shared" si="4"/>
        <v>0</v>
      </c>
      <c r="W171" s="36"/>
      <c r="X171" s="87"/>
      <c r="Y171" s="37" t="b">
        <f t="shared" si="5"/>
        <v>1</v>
      </c>
      <c r="Z171" s="84" t="e">
        <f>VLOOKUP($B171,APOIO!$A:$F,5,FALSE)</f>
        <v>#N/A</v>
      </c>
    </row>
    <row r="172" spans="1:26" ht="15" x14ac:dyDescent="0.25">
      <c r="A172" s="36"/>
      <c r="B172" s="37" t="e">
        <f>VLOOKUP($A172,APOIO!$A:$E,1,FALSE)</f>
        <v>#N/A</v>
      </c>
      <c r="C172" s="36"/>
      <c r="D172" s="37" t="e">
        <f>INDEX(APOIO!$D:$D,MATCH(CONCATENATE($B172,$C172),APOIO!$F:$F,0))</f>
        <v>#N/A</v>
      </c>
      <c r="E172" s="36"/>
      <c r="F172" s="37" t="e">
        <f>VLOOKUP($E172,APOIO!$Z:$AC,2,FALSE)</f>
        <v>#N/A</v>
      </c>
      <c r="G172" s="38" t="e">
        <f>VLOOKUP($E172,APOIO!$Z:$AC,4,FALSE)</f>
        <v>#N/A</v>
      </c>
      <c r="H172" s="39"/>
      <c r="I172" s="40" t="e">
        <f>VLOOKUP($H172,APOIO!$W:$X,2,FALSE)</f>
        <v>#N/A</v>
      </c>
      <c r="J172" s="36"/>
      <c r="K172" s="40" t="e">
        <f>VLOOKUP($J172,APOIO!$AE:$AG,2,FALSE)</f>
        <v>#N/A</v>
      </c>
      <c r="L172" s="38" t="e">
        <f>VLOOKUP($J172,APOIO!$AE:$AG,3,FALSE)</f>
        <v>#N/A</v>
      </c>
      <c r="M172" s="36"/>
      <c r="N172" s="37" t="e">
        <f>VLOOKUP($M172,APOIO!$I:$J,2,FALSE)</f>
        <v>#N/A</v>
      </c>
      <c r="O172" s="37"/>
      <c r="P172" s="37"/>
      <c r="Q172" s="37"/>
      <c r="R172" s="37"/>
      <c r="S172" s="41"/>
      <c r="T172" s="91"/>
      <c r="U172" s="92"/>
      <c r="V172" s="43">
        <f t="shared" si="4"/>
        <v>0</v>
      </c>
      <c r="W172" s="36"/>
      <c r="X172" s="87"/>
      <c r="Y172" s="37" t="b">
        <f t="shared" si="5"/>
        <v>1</v>
      </c>
      <c r="Z172" s="84" t="e">
        <f>VLOOKUP($B172,APOIO!$A:$F,5,FALSE)</f>
        <v>#N/A</v>
      </c>
    </row>
    <row r="173" spans="1:26" ht="15" x14ac:dyDescent="0.25">
      <c r="A173" s="36"/>
      <c r="B173" s="37" t="e">
        <f>VLOOKUP($A173,APOIO!$A:$E,1,FALSE)</f>
        <v>#N/A</v>
      </c>
      <c r="C173" s="36"/>
      <c r="D173" s="37" t="e">
        <f>INDEX(APOIO!$D:$D,MATCH(CONCATENATE($B173,$C173),APOIO!$F:$F,0))</f>
        <v>#N/A</v>
      </c>
      <c r="E173" s="36"/>
      <c r="F173" s="37" t="e">
        <f>VLOOKUP($E173,APOIO!$Z:$AC,2,FALSE)</f>
        <v>#N/A</v>
      </c>
      <c r="G173" s="38" t="e">
        <f>VLOOKUP($E173,APOIO!$Z:$AC,4,FALSE)</f>
        <v>#N/A</v>
      </c>
      <c r="H173" s="39"/>
      <c r="I173" s="40" t="e">
        <f>VLOOKUP($H173,APOIO!$W:$X,2,FALSE)</f>
        <v>#N/A</v>
      </c>
      <c r="J173" s="36"/>
      <c r="K173" s="40" t="e">
        <f>VLOOKUP($J173,APOIO!$AE:$AG,2,FALSE)</f>
        <v>#N/A</v>
      </c>
      <c r="L173" s="38" t="e">
        <f>VLOOKUP($J173,APOIO!$AE:$AG,3,FALSE)</f>
        <v>#N/A</v>
      </c>
      <c r="M173" s="36"/>
      <c r="N173" s="37" t="e">
        <f>VLOOKUP($M173,APOIO!$I:$J,2,FALSE)</f>
        <v>#N/A</v>
      </c>
      <c r="O173" s="37"/>
      <c r="P173" s="37"/>
      <c r="Q173" s="37"/>
      <c r="R173" s="37"/>
      <c r="S173" s="41"/>
      <c r="T173" s="91"/>
      <c r="U173" s="92"/>
      <c r="V173" s="43">
        <f t="shared" si="4"/>
        <v>0</v>
      </c>
      <c r="W173" s="36"/>
      <c r="X173" s="87"/>
      <c r="Y173" s="37" t="b">
        <f t="shared" si="5"/>
        <v>1</v>
      </c>
      <c r="Z173" s="84" t="e">
        <f>VLOOKUP($B173,APOIO!$A:$F,5,FALSE)</f>
        <v>#N/A</v>
      </c>
    </row>
    <row r="174" spans="1:26" ht="15" x14ac:dyDescent="0.25">
      <c r="A174" s="36"/>
      <c r="B174" s="37" t="e">
        <f>VLOOKUP($A174,APOIO!$A:$E,1,FALSE)</f>
        <v>#N/A</v>
      </c>
      <c r="C174" s="36"/>
      <c r="D174" s="37" t="e">
        <f>INDEX(APOIO!$D:$D,MATCH(CONCATENATE($B174,$C174),APOIO!$F:$F,0))</f>
        <v>#N/A</v>
      </c>
      <c r="E174" s="36"/>
      <c r="F174" s="37" t="e">
        <f>VLOOKUP($E174,APOIO!$Z:$AC,2,FALSE)</f>
        <v>#N/A</v>
      </c>
      <c r="G174" s="38" t="e">
        <f>VLOOKUP($E174,APOIO!$Z:$AC,4,FALSE)</f>
        <v>#N/A</v>
      </c>
      <c r="H174" s="39"/>
      <c r="I174" s="40" t="e">
        <f>VLOOKUP($H174,APOIO!$W:$X,2,FALSE)</f>
        <v>#N/A</v>
      </c>
      <c r="J174" s="36"/>
      <c r="K174" s="40" t="e">
        <f>VLOOKUP($J174,APOIO!$AE:$AG,2,FALSE)</f>
        <v>#N/A</v>
      </c>
      <c r="L174" s="38" t="e">
        <f>VLOOKUP($J174,APOIO!$AE:$AG,3,FALSE)</f>
        <v>#N/A</v>
      </c>
      <c r="M174" s="36"/>
      <c r="N174" s="37" t="e">
        <f>VLOOKUP($M174,APOIO!$I:$J,2,FALSE)</f>
        <v>#N/A</v>
      </c>
      <c r="O174" s="37"/>
      <c r="P174" s="37"/>
      <c r="Q174" s="37"/>
      <c r="R174" s="37"/>
      <c r="S174" s="41"/>
      <c r="T174" s="91"/>
      <c r="U174" s="92"/>
      <c r="V174" s="43">
        <f t="shared" si="4"/>
        <v>0</v>
      </c>
      <c r="W174" s="36"/>
      <c r="X174" s="87"/>
      <c r="Y174" s="37" t="b">
        <f t="shared" si="5"/>
        <v>1</v>
      </c>
      <c r="Z174" s="84" t="e">
        <f>VLOOKUP($B174,APOIO!$A:$F,5,FALSE)</f>
        <v>#N/A</v>
      </c>
    </row>
    <row r="175" spans="1:26" ht="15" x14ac:dyDescent="0.25">
      <c r="A175" s="36"/>
      <c r="B175" s="37" t="e">
        <f>VLOOKUP($A175,APOIO!$A:$E,1,FALSE)</f>
        <v>#N/A</v>
      </c>
      <c r="C175" s="36"/>
      <c r="D175" s="37" t="e">
        <f>INDEX(APOIO!$D:$D,MATCH(CONCATENATE($B175,$C175),APOIO!$F:$F,0))</f>
        <v>#N/A</v>
      </c>
      <c r="E175" s="36"/>
      <c r="F175" s="37" t="e">
        <f>VLOOKUP($E175,APOIO!$Z:$AC,2,FALSE)</f>
        <v>#N/A</v>
      </c>
      <c r="G175" s="38" t="e">
        <f>VLOOKUP($E175,APOIO!$Z:$AC,4,FALSE)</f>
        <v>#N/A</v>
      </c>
      <c r="H175" s="39"/>
      <c r="I175" s="40" t="e">
        <f>VLOOKUP($H175,APOIO!$W:$X,2,FALSE)</f>
        <v>#N/A</v>
      </c>
      <c r="J175" s="36"/>
      <c r="K175" s="40" t="e">
        <f>VLOOKUP($J175,APOIO!$AE:$AG,2,FALSE)</f>
        <v>#N/A</v>
      </c>
      <c r="L175" s="38" t="e">
        <f>VLOOKUP($J175,APOIO!$AE:$AG,3,FALSE)</f>
        <v>#N/A</v>
      </c>
      <c r="M175" s="36"/>
      <c r="N175" s="37" t="e">
        <f>VLOOKUP($M175,APOIO!$I:$J,2,FALSE)</f>
        <v>#N/A</v>
      </c>
      <c r="O175" s="37"/>
      <c r="P175" s="37"/>
      <c r="Q175" s="37"/>
      <c r="R175" s="37"/>
      <c r="S175" s="41"/>
      <c r="T175" s="91"/>
      <c r="U175" s="92"/>
      <c r="V175" s="43">
        <f t="shared" si="4"/>
        <v>0</v>
      </c>
      <c r="W175" s="36"/>
      <c r="X175" s="87"/>
      <c r="Y175" s="37" t="b">
        <f t="shared" si="5"/>
        <v>1</v>
      </c>
      <c r="Z175" s="84" t="e">
        <f>VLOOKUP($B175,APOIO!$A:$F,5,FALSE)</f>
        <v>#N/A</v>
      </c>
    </row>
    <row r="176" spans="1:26" ht="15" x14ac:dyDescent="0.25">
      <c r="A176" s="36"/>
      <c r="B176" s="37" t="e">
        <f>VLOOKUP($A176,APOIO!$A:$E,1,FALSE)</f>
        <v>#N/A</v>
      </c>
      <c r="C176" s="36"/>
      <c r="D176" s="37" t="e">
        <f>INDEX(APOIO!$D:$D,MATCH(CONCATENATE($B176,$C176),APOIO!$F:$F,0))</f>
        <v>#N/A</v>
      </c>
      <c r="E176" s="36"/>
      <c r="F176" s="37" t="e">
        <f>VLOOKUP($E176,APOIO!$Z:$AC,2,FALSE)</f>
        <v>#N/A</v>
      </c>
      <c r="G176" s="38" t="e">
        <f>VLOOKUP($E176,APOIO!$Z:$AC,4,FALSE)</f>
        <v>#N/A</v>
      </c>
      <c r="H176" s="39"/>
      <c r="I176" s="40" t="e">
        <f>VLOOKUP($H176,APOIO!$W:$X,2,FALSE)</f>
        <v>#N/A</v>
      </c>
      <c r="J176" s="36"/>
      <c r="K176" s="40" t="e">
        <f>VLOOKUP($J176,APOIO!$AE:$AG,2,FALSE)</f>
        <v>#N/A</v>
      </c>
      <c r="L176" s="38" t="e">
        <f>VLOOKUP($J176,APOIO!$AE:$AG,3,FALSE)</f>
        <v>#N/A</v>
      </c>
      <c r="M176" s="36"/>
      <c r="N176" s="37" t="e">
        <f>VLOOKUP($M176,APOIO!$I:$J,2,FALSE)</f>
        <v>#N/A</v>
      </c>
      <c r="O176" s="37"/>
      <c r="P176" s="37"/>
      <c r="Q176" s="37"/>
      <c r="R176" s="37"/>
      <c r="S176" s="41"/>
      <c r="T176" s="91"/>
      <c r="U176" s="92"/>
      <c r="V176" s="43">
        <f t="shared" si="4"/>
        <v>0</v>
      </c>
      <c r="W176" s="36"/>
      <c r="X176" s="87"/>
      <c r="Y176" s="37" t="b">
        <f t="shared" si="5"/>
        <v>1</v>
      </c>
      <c r="Z176" s="84" t="e">
        <f>VLOOKUP($B176,APOIO!$A:$F,5,FALSE)</f>
        <v>#N/A</v>
      </c>
    </row>
    <row r="177" spans="1:26" ht="15" x14ac:dyDescent="0.25">
      <c r="A177" s="36"/>
      <c r="B177" s="37" t="e">
        <f>VLOOKUP($A177,APOIO!$A:$E,1,FALSE)</f>
        <v>#N/A</v>
      </c>
      <c r="C177" s="36"/>
      <c r="D177" s="37" t="e">
        <f>INDEX(APOIO!$D:$D,MATCH(CONCATENATE($B177,$C177),APOIO!$F:$F,0))</f>
        <v>#N/A</v>
      </c>
      <c r="E177" s="36"/>
      <c r="F177" s="37" t="e">
        <f>VLOOKUP($E177,APOIO!$Z:$AC,2,FALSE)</f>
        <v>#N/A</v>
      </c>
      <c r="G177" s="38" t="e">
        <f>VLOOKUP($E177,APOIO!$Z:$AC,4,FALSE)</f>
        <v>#N/A</v>
      </c>
      <c r="H177" s="39"/>
      <c r="I177" s="40" t="e">
        <f>VLOOKUP($H177,APOIO!$W:$X,2,FALSE)</f>
        <v>#N/A</v>
      </c>
      <c r="J177" s="36"/>
      <c r="K177" s="40" t="e">
        <f>VLOOKUP($J177,APOIO!$AE:$AG,2,FALSE)</f>
        <v>#N/A</v>
      </c>
      <c r="L177" s="38" t="e">
        <f>VLOOKUP($J177,APOIO!$AE:$AG,3,FALSE)</f>
        <v>#N/A</v>
      </c>
      <c r="M177" s="36"/>
      <c r="N177" s="37" t="e">
        <f>VLOOKUP($M177,APOIO!$I:$J,2,FALSE)</f>
        <v>#N/A</v>
      </c>
      <c r="O177" s="37"/>
      <c r="P177" s="37"/>
      <c r="Q177" s="37"/>
      <c r="R177" s="37"/>
      <c r="S177" s="41"/>
      <c r="T177" s="91"/>
      <c r="U177" s="92"/>
      <c r="V177" s="43">
        <f t="shared" si="4"/>
        <v>0</v>
      </c>
      <c r="W177" s="36"/>
      <c r="X177" s="87"/>
      <c r="Y177" s="37" t="b">
        <f t="shared" si="5"/>
        <v>1</v>
      </c>
      <c r="Z177" s="84" t="e">
        <f>VLOOKUP($B177,APOIO!$A:$F,5,FALSE)</f>
        <v>#N/A</v>
      </c>
    </row>
    <row r="178" spans="1:26" ht="15" x14ac:dyDescent="0.25">
      <c r="A178" s="36"/>
      <c r="B178" s="37" t="e">
        <f>VLOOKUP($A178,APOIO!$A:$E,1,FALSE)</f>
        <v>#N/A</v>
      </c>
      <c r="C178" s="36"/>
      <c r="D178" s="37" t="e">
        <f>INDEX(APOIO!$D:$D,MATCH(CONCATENATE($B178,$C178),APOIO!$F:$F,0))</f>
        <v>#N/A</v>
      </c>
      <c r="E178" s="36"/>
      <c r="F178" s="37" t="e">
        <f>VLOOKUP($E178,APOIO!$Z:$AC,2,FALSE)</f>
        <v>#N/A</v>
      </c>
      <c r="G178" s="38" t="e">
        <f>VLOOKUP($E178,APOIO!$Z:$AC,4,FALSE)</f>
        <v>#N/A</v>
      </c>
      <c r="H178" s="39"/>
      <c r="I178" s="40" t="e">
        <f>VLOOKUP($H178,APOIO!$W:$X,2,FALSE)</f>
        <v>#N/A</v>
      </c>
      <c r="J178" s="36"/>
      <c r="K178" s="40" t="e">
        <f>VLOOKUP($J178,APOIO!$AE:$AG,2,FALSE)</f>
        <v>#N/A</v>
      </c>
      <c r="L178" s="38" t="e">
        <f>VLOOKUP($J178,APOIO!$AE:$AG,3,FALSE)</f>
        <v>#N/A</v>
      </c>
      <c r="M178" s="36"/>
      <c r="N178" s="37" t="e">
        <f>VLOOKUP($M178,APOIO!$I:$J,2,FALSE)</f>
        <v>#N/A</v>
      </c>
      <c r="O178" s="37"/>
      <c r="P178" s="37"/>
      <c r="Q178" s="37"/>
      <c r="R178" s="37"/>
      <c r="S178" s="41"/>
      <c r="T178" s="91"/>
      <c r="U178" s="92"/>
      <c r="V178" s="43">
        <f t="shared" si="4"/>
        <v>0</v>
      </c>
      <c r="W178" s="36"/>
      <c r="X178" s="87"/>
      <c r="Y178" s="37" t="b">
        <f t="shared" si="5"/>
        <v>1</v>
      </c>
      <c r="Z178" s="84" t="e">
        <f>VLOOKUP($B178,APOIO!$A:$F,5,FALSE)</f>
        <v>#N/A</v>
      </c>
    </row>
    <row r="179" spans="1:26" ht="15" x14ac:dyDescent="0.25">
      <c r="A179" s="36"/>
      <c r="B179" s="37" t="e">
        <f>VLOOKUP($A179,APOIO!$A:$E,1,FALSE)</f>
        <v>#N/A</v>
      </c>
      <c r="C179" s="36"/>
      <c r="D179" s="37" t="e">
        <f>INDEX(APOIO!$D:$D,MATCH(CONCATENATE($B179,$C179),APOIO!$F:$F,0))</f>
        <v>#N/A</v>
      </c>
      <c r="E179" s="36"/>
      <c r="F179" s="37" t="e">
        <f>VLOOKUP($E179,APOIO!$Z:$AC,2,FALSE)</f>
        <v>#N/A</v>
      </c>
      <c r="G179" s="38" t="e">
        <f>VLOOKUP($E179,APOIO!$Z:$AC,4,FALSE)</f>
        <v>#N/A</v>
      </c>
      <c r="H179" s="39"/>
      <c r="I179" s="40" t="e">
        <f>VLOOKUP($H179,APOIO!$W:$X,2,FALSE)</f>
        <v>#N/A</v>
      </c>
      <c r="J179" s="36"/>
      <c r="K179" s="40" t="e">
        <f>VLOOKUP($J179,APOIO!$AE:$AG,2,FALSE)</f>
        <v>#N/A</v>
      </c>
      <c r="L179" s="38" t="e">
        <f>VLOOKUP($J179,APOIO!$AE:$AG,3,FALSE)</f>
        <v>#N/A</v>
      </c>
      <c r="M179" s="36"/>
      <c r="N179" s="37" t="e">
        <f>VLOOKUP($M179,APOIO!$I:$J,2,FALSE)</f>
        <v>#N/A</v>
      </c>
      <c r="O179" s="37"/>
      <c r="P179" s="37"/>
      <c r="Q179" s="37"/>
      <c r="R179" s="37"/>
      <c r="S179" s="41"/>
      <c r="T179" s="91"/>
      <c r="U179" s="92"/>
      <c r="V179" s="43">
        <f t="shared" si="4"/>
        <v>0</v>
      </c>
      <c r="W179" s="36"/>
      <c r="X179" s="87"/>
      <c r="Y179" s="37" t="b">
        <f t="shared" si="5"/>
        <v>1</v>
      </c>
      <c r="Z179" s="84" t="e">
        <f>VLOOKUP($B179,APOIO!$A:$F,5,FALSE)</f>
        <v>#N/A</v>
      </c>
    </row>
    <row r="180" spans="1:26" ht="15" x14ac:dyDescent="0.25">
      <c r="A180" s="36"/>
      <c r="B180" s="37" t="e">
        <f>VLOOKUP($A180,APOIO!$A:$E,1,FALSE)</f>
        <v>#N/A</v>
      </c>
      <c r="C180" s="36"/>
      <c r="D180" s="37" t="e">
        <f>INDEX(APOIO!$D:$D,MATCH(CONCATENATE($B180,$C180),APOIO!$F:$F,0))</f>
        <v>#N/A</v>
      </c>
      <c r="E180" s="36"/>
      <c r="F180" s="37" t="e">
        <f>VLOOKUP($E180,APOIO!$Z:$AC,2,FALSE)</f>
        <v>#N/A</v>
      </c>
      <c r="G180" s="38" t="e">
        <f>VLOOKUP($E180,APOIO!$Z:$AC,4,FALSE)</f>
        <v>#N/A</v>
      </c>
      <c r="H180" s="39"/>
      <c r="I180" s="40" t="e">
        <f>VLOOKUP($H180,APOIO!$W:$X,2,FALSE)</f>
        <v>#N/A</v>
      </c>
      <c r="J180" s="36"/>
      <c r="K180" s="40" t="e">
        <f>VLOOKUP($J180,APOIO!$AE:$AG,2,FALSE)</f>
        <v>#N/A</v>
      </c>
      <c r="L180" s="38" t="e">
        <f>VLOOKUP($J180,APOIO!$AE:$AG,3,FALSE)</f>
        <v>#N/A</v>
      </c>
      <c r="M180" s="36"/>
      <c r="N180" s="37" t="e">
        <f>VLOOKUP($M180,APOIO!$I:$J,2,FALSE)</f>
        <v>#N/A</v>
      </c>
      <c r="O180" s="37"/>
      <c r="P180" s="37"/>
      <c r="Q180" s="37"/>
      <c r="R180" s="37"/>
      <c r="S180" s="41"/>
      <c r="T180" s="91"/>
      <c r="U180" s="92"/>
      <c r="V180" s="43">
        <f t="shared" si="4"/>
        <v>0</v>
      </c>
      <c r="W180" s="36"/>
      <c r="X180" s="87"/>
      <c r="Y180" s="37" t="b">
        <f t="shared" si="5"/>
        <v>1</v>
      </c>
      <c r="Z180" s="84" t="e">
        <f>VLOOKUP($B180,APOIO!$A:$F,5,FALSE)</f>
        <v>#N/A</v>
      </c>
    </row>
    <row r="181" spans="1:26" ht="15" x14ac:dyDescent="0.25">
      <c r="A181" s="36"/>
      <c r="B181" s="37" t="e">
        <f>VLOOKUP($A181,APOIO!$A:$E,1,FALSE)</f>
        <v>#N/A</v>
      </c>
      <c r="C181" s="36"/>
      <c r="D181" s="37" t="e">
        <f>INDEX(APOIO!$D:$D,MATCH(CONCATENATE($B181,$C181),APOIO!$F:$F,0))</f>
        <v>#N/A</v>
      </c>
      <c r="E181" s="36"/>
      <c r="F181" s="37" t="e">
        <f>VLOOKUP($E181,APOIO!$Z:$AC,2,FALSE)</f>
        <v>#N/A</v>
      </c>
      <c r="G181" s="38" t="e">
        <f>VLOOKUP($E181,APOIO!$Z:$AC,4,FALSE)</f>
        <v>#N/A</v>
      </c>
      <c r="H181" s="39"/>
      <c r="I181" s="40" t="e">
        <f>VLOOKUP($H181,APOIO!$W:$X,2,FALSE)</f>
        <v>#N/A</v>
      </c>
      <c r="J181" s="36"/>
      <c r="K181" s="40" t="e">
        <f>VLOOKUP($J181,APOIO!$AE:$AG,2,FALSE)</f>
        <v>#N/A</v>
      </c>
      <c r="L181" s="38" t="e">
        <f>VLOOKUP($J181,APOIO!$AE:$AG,3,FALSE)</f>
        <v>#N/A</v>
      </c>
      <c r="M181" s="36"/>
      <c r="N181" s="37" t="e">
        <f>VLOOKUP($M181,APOIO!$I:$J,2,FALSE)</f>
        <v>#N/A</v>
      </c>
      <c r="O181" s="37"/>
      <c r="P181" s="37"/>
      <c r="Q181" s="37"/>
      <c r="R181" s="37"/>
      <c r="S181" s="41"/>
      <c r="T181" s="91"/>
      <c r="U181" s="92"/>
      <c r="V181" s="43">
        <f t="shared" si="4"/>
        <v>0</v>
      </c>
      <c r="W181" s="36"/>
      <c r="X181" s="87"/>
      <c r="Y181" s="37" t="b">
        <f t="shared" si="5"/>
        <v>1</v>
      </c>
      <c r="Z181" s="84" t="e">
        <f>VLOOKUP($B181,APOIO!$A:$F,5,FALSE)</f>
        <v>#N/A</v>
      </c>
    </row>
    <row r="182" spans="1:26" ht="15" x14ac:dyDescent="0.25">
      <c r="A182" s="36"/>
      <c r="B182" s="37" t="e">
        <f>VLOOKUP($A182,APOIO!$A:$E,1,FALSE)</f>
        <v>#N/A</v>
      </c>
      <c r="C182" s="36"/>
      <c r="D182" s="37" t="e">
        <f>INDEX(APOIO!$D:$D,MATCH(CONCATENATE($B182,$C182),APOIO!$F:$F,0))</f>
        <v>#N/A</v>
      </c>
      <c r="E182" s="36"/>
      <c r="F182" s="37" t="e">
        <f>VLOOKUP($E182,APOIO!$Z:$AC,2,FALSE)</f>
        <v>#N/A</v>
      </c>
      <c r="G182" s="38" t="e">
        <f>VLOOKUP($E182,APOIO!$Z:$AC,4,FALSE)</f>
        <v>#N/A</v>
      </c>
      <c r="H182" s="39"/>
      <c r="I182" s="40" t="e">
        <f>VLOOKUP($H182,APOIO!$W:$X,2,FALSE)</f>
        <v>#N/A</v>
      </c>
      <c r="J182" s="36"/>
      <c r="K182" s="40" t="e">
        <f>VLOOKUP($J182,APOIO!$AE:$AG,2,FALSE)</f>
        <v>#N/A</v>
      </c>
      <c r="L182" s="38" t="e">
        <f>VLOOKUP($J182,APOIO!$AE:$AG,3,FALSE)</f>
        <v>#N/A</v>
      </c>
      <c r="M182" s="36"/>
      <c r="N182" s="37" t="e">
        <f>VLOOKUP($M182,APOIO!$I:$J,2,FALSE)</f>
        <v>#N/A</v>
      </c>
      <c r="O182" s="37"/>
      <c r="P182" s="37"/>
      <c r="Q182" s="37"/>
      <c r="R182" s="37"/>
      <c r="S182" s="41"/>
      <c r="T182" s="91"/>
      <c r="U182" s="92"/>
      <c r="V182" s="43">
        <f t="shared" si="4"/>
        <v>0</v>
      </c>
      <c r="W182" s="36"/>
      <c r="X182" s="87"/>
      <c r="Y182" s="37" t="b">
        <f t="shared" si="5"/>
        <v>1</v>
      </c>
      <c r="Z182" s="84" t="e">
        <f>VLOOKUP($B182,APOIO!$A:$F,5,FALSE)</f>
        <v>#N/A</v>
      </c>
    </row>
    <row r="183" spans="1:26" ht="15" x14ac:dyDescent="0.25">
      <c r="A183" s="36"/>
      <c r="B183" s="37" t="e">
        <f>VLOOKUP($A183,APOIO!$A:$E,1,FALSE)</f>
        <v>#N/A</v>
      </c>
      <c r="C183" s="36"/>
      <c r="D183" s="37" t="e">
        <f>INDEX(APOIO!$D:$D,MATCH(CONCATENATE($B183,$C183),APOIO!$F:$F,0))</f>
        <v>#N/A</v>
      </c>
      <c r="E183" s="36"/>
      <c r="F183" s="37" t="e">
        <f>VLOOKUP($E183,APOIO!$Z:$AC,2,FALSE)</f>
        <v>#N/A</v>
      </c>
      <c r="G183" s="38" t="e">
        <f>VLOOKUP($E183,APOIO!$Z:$AC,4,FALSE)</f>
        <v>#N/A</v>
      </c>
      <c r="H183" s="39"/>
      <c r="I183" s="40" t="e">
        <f>VLOOKUP($H183,APOIO!$W:$X,2,FALSE)</f>
        <v>#N/A</v>
      </c>
      <c r="J183" s="36"/>
      <c r="K183" s="40" t="e">
        <f>VLOOKUP($J183,APOIO!$AE:$AG,2,FALSE)</f>
        <v>#N/A</v>
      </c>
      <c r="L183" s="38" t="e">
        <f>VLOOKUP($J183,APOIO!$AE:$AG,3,FALSE)</f>
        <v>#N/A</v>
      </c>
      <c r="M183" s="36"/>
      <c r="N183" s="37" t="e">
        <f>VLOOKUP($M183,APOIO!$I:$J,2,FALSE)</f>
        <v>#N/A</v>
      </c>
      <c r="O183" s="37"/>
      <c r="P183" s="37"/>
      <c r="Q183" s="37"/>
      <c r="R183" s="37"/>
      <c r="S183" s="41"/>
      <c r="T183" s="91"/>
      <c r="U183" s="92"/>
      <c r="V183" s="43">
        <f t="shared" si="4"/>
        <v>0</v>
      </c>
      <c r="W183" s="36"/>
      <c r="X183" s="87"/>
      <c r="Y183" s="37" t="b">
        <f t="shared" si="5"/>
        <v>1</v>
      </c>
      <c r="Z183" s="84" t="e">
        <f>VLOOKUP($B183,APOIO!$A:$F,5,FALSE)</f>
        <v>#N/A</v>
      </c>
    </row>
    <row r="184" spans="1:26" ht="15" x14ac:dyDescent="0.25">
      <c r="A184" s="36"/>
      <c r="B184" s="37" t="e">
        <f>VLOOKUP($A184,APOIO!$A:$E,1,FALSE)</f>
        <v>#N/A</v>
      </c>
      <c r="C184" s="36"/>
      <c r="D184" s="37" t="e">
        <f>INDEX(APOIO!$D:$D,MATCH(CONCATENATE($B184,$C184),APOIO!$F:$F,0))</f>
        <v>#N/A</v>
      </c>
      <c r="E184" s="36"/>
      <c r="F184" s="37" t="e">
        <f>VLOOKUP($E184,APOIO!$Z:$AC,2,FALSE)</f>
        <v>#N/A</v>
      </c>
      <c r="G184" s="38" t="e">
        <f>VLOOKUP($E184,APOIO!$Z:$AC,4,FALSE)</f>
        <v>#N/A</v>
      </c>
      <c r="H184" s="39"/>
      <c r="I184" s="40" t="e">
        <f>VLOOKUP($H184,APOIO!$W:$X,2,FALSE)</f>
        <v>#N/A</v>
      </c>
      <c r="J184" s="36"/>
      <c r="K184" s="40" t="e">
        <f>VLOOKUP($J184,APOIO!$AE:$AG,2,FALSE)</f>
        <v>#N/A</v>
      </c>
      <c r="L184" s="38" t="e">
        <f>VLOOKUP($J184,APOIO!$AE:$AG,3,FALSE)</f>
        <v>#N/A</v>
      </c>
      <c r="M184" s="36"/>
      <c r="N184" s="37" t="e">
        <f>VLOOKUP($M184,APOIO!$I:$J,2,FALSE)</f>
        <v>#N/A</v>
      </c>
      <c r="O184" s="37"/>
      <c r="P184" s="37"/>
      <c r="Q184" s="37"/>
      <c r="R184" s="37"/>
      <c r="S184" s="41"/>
      <c r="T184" s="91"/>
      <c r="U184" s="92"/>
      <c r="V184" s="43">
        <f t="shared" si="4"/>
        <v>0</v>
      </c>
      <c r="W184" s="36"/>
      <c r="X184" s="87"/>
      <c r="Y184" s="37" t="b">
        <f t="shared" si="5"/>
        <v>1</v>
      </c>
      <c r="Z184" s="84" t="e">
        <f>VLOOKUP($B184,APOIO!$A:$F,5,FALSE)</f>
        <v>#N/A</v>
      </c>
    </row>
    <row r="185" spans="1:26" ht="15" x14ac:dyDescent="0.25">
      <c r="A185" s="36"/>
      <c r="B185" s="37" t="e">
        <f>VLOOKUP($A185,APOIO!$A:$E,1,FALSE)</f>
        <v>#N/A</v>
      </c>
      <c r="C185" s="36"/>
      <c r="D185" s="37" t="e">
        <f>INDEX(APOIO!$D:$D,MATCH(CONCATENATE($B185,$C185),APOIO!$F:$F,0))</f>
        <v>#N/A</v>
      </c>
      <c r="E185" s="36"/>
      <c r="F185" s="37" t="e">
        <f>VLOOKUP($E185,APOIO!$Z:$AC,2,FALSE)</f>
        <v>#N/A</v>
      </c>
      <c r="G185" s="38" t="e">
        <f>VLOOKUP($E185,APOIO!$Z:$AC,4,FALSE)</f>
        <v>#N/A</v>
      </c>
      <c r="H185" s="39"/>
      <c r="I185" s="40" t="e">
        <f>VLOOKUP($H185,APOIO!$W:$X,2,FALSE)</f>
        <v>#N/A</v>
      </c>
      <c r="J185" s="36"/>
      <c r="K185" s="40" t="e">
        <f>VLOOKUP($J185,APOIO!$AE:$AG,2,FALSE)</f>
        <v>#N/A</v>
      </c>
      <c r="L185" s="38" t="e">
        <f>VLOOKUP($J185,APOIO!$AE:$AG,3,FALSE)</f>
        <v>#N/A</v>
      </c>
      <c r="M185" s="36"/>
      <c r="N185" s="37" t="e">
        <f>VLOOKUP($M185,APOIO!$I:$J,2,FALSE)</f>
        <v>#N/A</v>
      </c>
      <c r="O185" s="37"/>
      <c r="P185" s="37"/>
      <c r="Q185" s="37"/>
      <c r="R185" s="37"/>
      <c r="S185" s="41"/>
      <c r="T185" s="91"/>
      <c r="U185" s="92"/>
      <c r="V185" s="43">
        <f t="shared" si="4"/>
        <v>0</v>
      </c>
      <c r="W185" s="36"/>
      <c r="X185" s="87"/>
      <c r="Y185" s="37" t="b">
        <f t="shared" si="5"/>
        <v>1</v>
      </c>
      <c r="Z185" s="84" t="e">
        <f>VLOOKUP($B185,APOIO!$A:$F,5,FALSE)</f>
        <v>#N/A</v>
      </c>
    </row>
    <row r="186" spans="1:26" ht="15" x14ac:dyDescent="0.25">
      <c r="A186" s="36"/>
      <c r="B186" s="37" t="e">
        <f>VLOOKUP($A186,APOIO!$A:$E,1,FALSE)</f>
        <v>#N/A</v>
      </c>
      <c r="C186" s="36"/>
      <c r="D186" s="37" t="e">
        <f>INDEX(APOIO!$D:$D,MATCH(CONCATENATE($B186,$C186),APOIO!$F:$F,0))</f>
        <v>#N/A</v>
      </c>
      <c r="E186" s="36"/>
      <c r="F186" s="37" t="e">
        <f>VLOOKUP($E186,APOIO!$Z:$AC,2,FALSE)</f>
        <v>#N/A</v>
      </c>
      <c r="G186" s="38" t="e">
        <f>VLOOKUP($E186,APOIO!$Z:$AC,4,FALSE)</f>
        <v>#N/A</v>
      </c>
      <c r="H186" s="39"/>
      <c r="I186" s="40" t="e">
        <f>VLOOKUP($H186,APOIO!$W:$X,2,FALSE)</f>
        <v>#N/A</v>
      </c>
      <c r="J186" s="36"/>
      <c r="K186" s="40" t="e">
        <f>VLOOKUP($J186,APOIO!$AE:$AG,2,FALSE)</f>
        <v>#N/A</v>
      </c>
      <c r="L186" s="38" t="e">
        <f>VLOOKUP($J186,APOIO!$AE:$AG,3,FALSE)</f>
        <v>#N/A</v>
      </c>
      <c r="M186" s="36"/>
      <c r="N186" s="37" t="e">
        <f>VLOOKUP($M186,APOIO!$I:$J,2,FALSE)</f>
        <v>#N/A</v>
      </c>
      <c r="O186" s="37"/>
      <c r="P186" s="37"/>
      <c r="Q186" s="37"/>
      <c r="R186" s="37"/>
      <c r="S186" s="41"/>
      <c r="T186" s="91"/>
      <c r="U186" s="92"/>
      <c r="V186" s="43">
        <f t="shared" si="4"/>
        <v>0</v>
      </c>
      <c r="W186" s="36"/>
      <c r="X186" s="87"/>
      <c r="Y186" s="37" t="b">
        <f t="shared" si="5"/>
        <v>1</v>
      </c>
      <c r="Z186" s="84" t="e">
        <f>VLOOKUP($B186,APOIO!$A:$F,5,FALSE)</f>
        <v>#N/A</v>
      </c>
    </row>
    <row r="187" spans="1:26" ht="15" x14ac:dyDescent="0.25">
      <c r="A187" s="36"/>
      <c r="B187" s="37" t="e">
        <f>VLOOKUP($A187,APOIO!$A:$E,1,FALSE)</f>
        <v>#N/A</v>
      </c>
      <c r="C187" s="36"/>
      <c r="D187" s="37" t="e">
        <f>INDEX(APOIO!$D:$D,MATCH(CONCATENATE($B187,$C187),APOIO!$F:$F,0))</f>
        <v>#N/A</v>
      </c>
      <c r="E187" s="36"/>
      <c r="F187" s="37" t="e">
        <f>VLOOKUP($E187,APOIO!$Z:$AC,2,FALSE)</f>
        <v>#N/A</v>
      </c>
      <c r="G187" s="38" t="e">
        <f>VLOOKUP($E187,APOIO!$Z:$AC,4,FALSE)</f>
        <v>#N/A</v>
      </c>
      <c r="H187" s="39"/>
      <c r="I187" s="40" t="e">
        <f>VLOOKUP($H187,APOIO!$W:$X,2,FALSE)</f>
        <v>#N/A</v>
      </c>
      <c r="J187" s="36"/>
      <c r="K187" s="40" t="e">
        <f>VLOOKUP($J187,APOIO!$AE:$AG,2,FALSE)</f>
        <v>#N/A</v>
      </c>
      <c r="L187" s="38" t="e">
        <f>VLOOKUP($J187,APOIO!$AE:$AG,3,FALSE)</f>
        <v>#N/A</v>
      </c>
      <c r="M187" s="36"/>
      <c r="N187" s="37" t="e">
        <f>VLOOKUP($M187,APOIO!$I:$J,2,FALSE)</f>
        <v>#N/A</v>
      </c>
      <c r="O187" s="37"/>
      <c r="P187" s="37"/>
      <c r="Q187" s="37"/>
      <c r="R187" s="37"/>
      <c r="S187" s="41"/>
      <c r="T187" s="91"/>
      <c r="U187" s="92"/>
      <c r="V187" s="43">
        <f t="shared" si="4"/>
        <v>0</v>
      </c>
      <c r="W187" s="36"/>
      <c r="X187" s="87"/>
      <c r="Y187" s="37" t="b">
        <f t="shared" si="5"/>
        <v>1</v>
      </c>
      <c r="Z187" s="84" t="e">
        <f>VLOOKUP($B187,APOIO!$A:$F,5,FALSE)</f>
        <v>#N/A</v>
      </c>
    </row>
    <row r="188" spans="1:26" ht="15" x14ac:dyDescent="0.25">
      <c r="A188" s="36"/>
      <c r="B188" s="37" t="e">
        <f>VLOOKUP($A188,APOIO!$A:$E,1,FALSE)</f>
        <v>#N/A</v>
      </c>
      <c r="C188" s="36"/>
      <c r="D188" s="37" t="e">
        <f>INDEX(APOIO!$D:$D,MATCH(CONCATENATE($B188,$C188),APOIO!$F:$F,0))</f>
        <v>#N/A</v>
      </c>
      <c r="E188" s="36"/>
      <c r="F188" s="37" t="e">
        <f>VLOOKUP($E188,APOIO!$Z:$AC,2,FALSE)</f>
        <v>#N/A</v>
      </c>
      <c r="G188" s="38" t="e">
        <f>VLOOKUP($E188,APOIO!$Z:$AC,4,FALSE)</f>
        <v>#N/A</v>
      </c>
      <c r="H188" s="39"/>
      <c r="I188" s="40" t="e">
        <f>VLOOKUP($H188,APOIO!$W:$X,2,FALSE)</f>
        <v>#N/A</v>
      </c>
      <c r="J188" s="36"/>
      <c r="K188" s="40" t="e">
        <f>VLOOKUP($J188,APOIO!$AE:$AG,2,FALSE)</f>
        <v>#N/A</v>
      </c>
      <c r="L188" s="38" t="e">
        <f>VLOOKUP($J188,APOIO!$AE:$AG,3,FALSE)</f>
        <v>#N/A</v>
      </c>
      <c r="M188" s="36"/>
      <c r="N188" s="37" t="e">
        <f>VLOOKUP($M188,APOIO!$I:$J,2,FALSE)</f>
        <v>#N/A</v>
      </c>
      <c r="O188" s="37"/>
      <c r="P188" s="37"/>
      <c r="Q188" s="37"/>
      <c r="R188" s="37"/>
      <c r="S188" s="41"/>
      <c r="T188" s="91"/>
      <c r="U188" s="92"/>
      <c r="V188" s="43">
        <f t="shared" si="4"/>
        <v>0</v>
      </c>
      <c r="W188" s="36"/>
      <c r="X188" s="87"/>
      <c r="Y188" s="37" t="b">
        <f t="shared" si="5"/>
        <v>1</v>
      </c>
      <c r="Z188" s="84" t="e">
        <f>VLOOKUP($B188,APOIO!$A:$F,5,FALSE)</f>
        <v>#N/A</v>
      </c>
    </row>
    <row r="189" spans="1:26" ht="15" x14ac:dyDescent="0.25">
      <c r="A189" s="36"/>
      <c r="B189" s="37" t="e">
        <f>VLOOKUP($A189,APOIO!$A:$E,1,FALSE)</f>
        <v>#N/A</v>
      </c>
      <c r="C189" s="36"/>
      <c r="D189" s="37" t="e">
        <f>INDEX(APOIO!$D:$D,MATCH(CONCATENATE($B189,$C189),APOIO!$F:$F,0))</f>
        <v>#N/A</v>
      </c>
      <c r="E189" s="36"/>
      <c r="F189" s="37" t="e">
        <f>VLOOKUP($E189,APOIO!$Z:$AC,2,FALSE)</f>
        <v>#N/A</v>
      </c>
      <c r="G189" s="38" t="e">
        <f>VLOOKUP($E189,APOIO!$Z:$AC,4,FALSE)</f>
        <v>#N/A</v>
      </c>
      <c r="H189" s="39"/>
      <c r="I189" s="40" t="e">
        <f>VLOOKUP($H189,APOIO!$W:$X,2,FALSE)</f>
        <v>#N/A</v>
      </c>
      <c r="J189" s="36"/>
      <c r="K189" s="40" t="e">
        <f>VLOOKUP($J189,APOIO!$AE:$AG,2,FALSE)</f>
        <v>#N/A</v>
      </c>
      <c r="L189" s="38" t="e">
        <f>VLOOKUP($J189,APOIO!$AE:$AG,3,FALSE)</f>
        <v>#N/A</v>
      </c>
      <c r="M189" s="36"/>
      <c r="N189" s="37" t="e">
        <f>VLOOKUP($M189,APOIO!$I:$J,2,FALSE)</f>
        <v>#N/A</v>
      </c>
      <c r="O189" s="37"/>
      <c r="P189" s="37"/>
      <c r="Q189" s="37"/>
      <c r="R189" s="37"/>
      <c r="S189" s="41"/>
      <c r="T189" s="91"/>
      <c r="U189" s="92"/>
      <c r="V189" s="43">
        <f t="shared" si="4"/>
        <v>0</v>
      </c>
      <c r="W189" s="36"/>
      <c r="X189" s="87"/>
      <c r="Y189" s="37" t="b">
        <f t="shared" si="5"/>
        <v>1</v>
      </c>
      <c r="Z189" s="84" t="e">
        <f>VLOOKUP($B189,APOIO!$A:$F,5,FALSE)</f>
        <v>#N/A</v>
      </c>
    </row>
    <row r="190" spans="1:26" ht="15" x14ac:dyDescent="0.25">
      <c r="A190" s="36"/>
      <c r="B190" s="37" t="e">
        <f>VLOOKUP($A190,APOIO!$A:$E,1,FALSE)</f>
        <v>#N/A</v>
      </c>
      <c r="C190" s="36"/>
      <c r="D190" s="37" t="e">
        <f>INDEX(APOIO!$D:$D,MATCH(CONCATENATE($B190,$C190),APOIO!$F:$F,0))</f>
        <v>#N/A</v>
      </c>
      <c r="E190" s="36"/>
      <c r="F190" s="37" t="e">
        <f>VLOOKUP($E190,APOIO!$Z:$AC,2,FALSE)</f>
        <v>#N/A</v>
      </c>
      <c r="G190" s="38" t="e">
        <f>VLOOKUP($E190,APOIO!$Z:$AC,4,FALSE)</f>
        <v>#N/A</v>
      </c>
      <c r="H190" s="39"/>
      <c r="I190" s="40" t="e">
        <f>VLOOKUP($H190,APOIO!$W:$X,2,FALSE)</f>
        <v>#N/A</v>
      </c>
      <c r="J190" s="36"/>
      <c r="K190" s="40" t="e">
        <f>VLOOKUP($J190,APOIO!$AE:$AG,2,FALSE)</f>
        <v>#N/A</v>
      </c>
      <c r="L190" s="38" t="e">
        <f>VLOOKUP($J190,APOIO!$AE:$AG,3,FALSE)</f>
        <v>#N/A</v>
      </c>
      <c r="M190" s="36"/>
      <c r="N190" s="37" t="e">
        <f>VLOOKUP($M190,APOIO!$I:$J,2,FALSE)</f>
        <v>#N/A</v>
      </c>
      <c r="O190" s="37"/>
      <c r="P190" s="37"/>
      <c r="Q190" s="37"/>
      <c r="R190" s="37"/>
      <c r="S190" s="41"/>
      <c r="T190" s="91"/>
      <c r="U190" s="92"/>
      <c r="V190" s="43">
        <f t="shared" si="4"/>
        <v>0</v>
      </c>
      <c r="W190" s="36"/>
      <c r="X190" s="87"/>
      <c r="Y190" s="37" t="b">
        <f t="shared" si="5"/>
        <v>1</v>
      </c>
      <c r="Z190" s="84" t="e">
        <f>VLOOKUP($B190,APOIO!$A:$F,5,FALSE)</f>
        <v>#N/A</v>
      </c>
    </row>
    <row r="191" spans="1:26" ht="15" x14ac:dyDescent="0.25">
      <c r="A191" s="36"/>
      <c r="B191" s="37" t="e">
        <f>VLOOKUP($A191,APOIO!$A:$E,1,FALSE)</f>
        <v>#N/A</v>
      </c>
      <c r="C191" s="36"/>
      <c r="D191" s="37" t="e">
        <f>INDEX(APOIO!$D:$D,MATCH(CONCATENATE($B191,$C191),APOIO!$F:$F,0))</f>
        <v>#N/A</v>
      </c>
      <c r="E191" s="36"/>
      <c r="F191" s="37" t="e">
        <f>VLOOKUP($E191,APOIO!$Z:$AC,2,FALSE)</f>
        <v>#N/A</v>
      </c>
      <c r="G191" s="38" t="e">
        <f>VLOOKUP($E191,APOIO!$Z:$AC,4,FALSE)</f>
        <v>#N/A</v>
      </c>
      <c r="H191" s="39"/>
      <c r="I191" s="40" t="e">
        <f>VLOOKUP($H191,APOIO!$W:$X,2,FALSE)</f>
        <v>#N/A</v>
      </c>
      <c r="J191" s="36"/>
      <c r="K191" s="40" t="e">
        <f>VLOOKUP($J191,APOIO!$AE:$AG,2,FALSE)</f>
        <v>#N/A</v>
      </c>
      <c r="L191" s="38" t="e">
        <f>VLOOKUP($J191,APOIO!$AE:$AG,3,FALSE)</f>
        <v>#N/A</v>
      </c>
      <c r="M191" s="36"/>
      <c r="N191" s="37" t="e">
        <f>VLOOKUP($M191,APOIO!$I:$J,2,FALSE)</f>
        <v>#N/A</v>
      </c>
      <c r="O191" s="37"/>
      <c r="P191" s="37"/>
      <c r="Q191" s="37"/>
      <c r="R191" s="37"/>
      <c r="S191" s="41"/>
      <c r="T191" s="91"/>
      <c r="U191" s="92"/>
      <c r="V191" s="43">
        <f t="shared" si="4"/>
        <v>0</v>
      </c>
      <c r="W191" s="36"/>
      <c r="X191" s="87"/>
      <c r="Y191" s="37" t="b">
        <f t="shared" si="5"/>
        <v>1</v>
      </c>
      <c r="Z191" s="84" t="e">
        <f>VLOOKUP($B191,APOIO!$A:$F,5,FALSE)</f>
        <v>#N/A</v>
      </c>
    </row>
    <row r="192" spans="1:26" ht="15" x14ac:dyDescent="0.25">
      <c r="A192" s="36"/>
      <c r="B192" s="37" t="e">
        <f>VLOOKUP($A192,APOIO!$A:$E,1,FALSE)</f>
        <v>#N/A</v>
      </c>
      <c r="C192" s="36"/>
      <c r="D192" s="37" t="e">
        <f>INDEX(APOIO!$D:$D,MATCH(CONCATENATE($B192,$C192),APOIO!$F:$F,0))</f>
        <v>#N/A</v>
      </c>
      <c r="E192" s="36"/>
      <c r="F192" s="37" t="e">
        <f>VLOOKUP($E192,APOIO!$Z:$AC,2,FALSE)</f>
        <v>#N/A</v>
      </c>
      <c r="G192" s="38" t="e">
        <f>VLOOKUP($E192,APOIO!$Z:$AC,4,FALSE)</f>
        <v>#N/A</v>
      </c>
      <c r="H192" s="39"/>
      <c r="I192" s="40" t="e">
        <f>VLOOKUP($H192,APOIO!$W:$X,2,FALSE)</f>
        <v>#N/A</v>
      </c>
      <c r="J192" s="36"/>
      <c r="K192" s="40" t="e">
        <f>VLOOKUP($J192,APOIO!$AE:$AG,2,FALSE)</f>
        <v>#N/A</v>
      </c>
      <c r="L192" s="38" t="e">
        <f>VLOOKUP($J192,APOIO!$AE:$AG,3,FALSE)</f>
        <v>#N/A</v>
      </c>
      <c r="M192" s="36"/>
      <c r="N192" s="37" t="e">
        <f>VLOOKUP($M192,APOIO!$I:$J,2,FALSE)</f>
        <v>#N/A</v>
      </c>
      <c r="O192" s="37"/>
      <c r="P192" s="37"/>
      <c r="Q192" s="37"/>
      <c r="R192" s="37"/>
      <c r="S192" s="41"/>
      <c r="T192" s="91"/>
      <c r="U192" s="92"/>
      <c r="V192" s="43">
        <f t="shared" si="4"/>
        <v>0</v>
      </c>
      <c r="W192" s="36"/>
      <c r="X192" s="87"/>
      <c r="Y192" s="37" t="b">
        <f t="shared" si="5"/>
        <v>1</v>
      </c>
      <c r="Z192" s="84" t="e">
        <f>VLOOKUP($B192,APOIO!$A:$F,5,FALSE)</f>
        <v>#N/A</v>
      </c>
    </row>
    <row r="193" spans="1:26" ht="15" x14ac:dyDescent="0.25">
      <c r="A193" s="36"/>
      <c r="B193" s="37" t="e">
        <f>VLOOKUP($A193,APOIO!$A:$E,1,FALSE)</f>
        <v>#N/A</v>
      </c>
      <c r="C193" s="36"/>
      <c r="D193" s="37" t="e">
        <f>INDEX(APOIO!$D:$D,MATCH(CONCATENATE($B193,$C193),APOIO!$F:$F,0))</f>
        <v>#N/A</v>
      </c>
      <c r="E193" s="36"/>
      <c r="F193" s="37" t="e">
        <f>VLOOKUP($E193,APOIO!$Z:$AC,2,FALSE)</f>
        <v>#N/A</v>
      </c>
      <c r="G193" s="38" t="e">
        <f>VLOOKUP($E193,APOIO!$Z:$AC,4,FALSE)</f>
        <v>#N/A</v>
      </c>
      <c r="H193" s="39"/>
      <c r="I193" s="40" t="e">
        <f>VLOOKUP($H193,APOIO!$W:$X,2,FALSE)</f>
        <v>#N/A</v>
      </c>
      <c r="J193" s="36"/>
      <c r="K193" s="40" t="e">
        <f>VLOOKUP($J193,APOIO!$AE:$AG,2,FALSE)</f>
        <v>#N/A</v>
      </c>
      <c r="L193" s="38" t="e">
        <f>VLOOKUP($J193,APOIO!$AE:$AG,3,FALSE)</f>
        <v>#N/A</v>
      </c>
      <c r="M193" s="36"/>
      <c r="N193" s="37" t="e">
        <f>VLOOKUP($M193,APOIO!$I:$J,2,FALSE)</f>
        <v>#N/A</v>
      </c>
      <c r="O193" s="37"/>
      <c r="P193" s="37"/>
      <c r="Q193" s="37"/>
      <c r="R193" s="37"/>
      <c r="S193" s="41"/>
      <c r="T193" s="91"/>
      <c r="U193" s="92"/>
      <c r="V193" s="43">
        <f t="shared" si="4"/>
        <v>0</v>
      </c>
      <c r="W193" s="36"/>
      <c r="X193" s="87"/>
      <c r="Y193" s="37" t="b">
        <f t="shared" si="5"/>
        <v>1</v>
      </c>
      <c r="Z193" s="84" t="e">
        <f>VLOOKUP($B193,APOIO!$A:$F,5,FALSE)</f>
        <v>#N/A</v>
      </c>
    </row>
    <row r="194" spans="1:26" ht="15" x14ac:dyDescent="0.25">
      <c r="A194" s="36"/>
      <c r="B194" s="37" t="e">
        <f>VLOOKUP($A194,APOIO!$A:$E,1,FALSE)</f>
        <v>#N/A</v>
      </c>
      <c r="C194" s="36"/>
      <c r="D194" s="37" t="e">
        <f>INDEX(APOIO!$D:$D,MATCH(CONCATENATE($B194,$C194),APOIO!$F:$F,0))</f>
        <v>#N/A</v>
      </c>
      <c r="E194" s="36"/>
      <c r="F194" s="37" t="e">
        <f>VLOOKUP($E194,APOIO!$Z:$AC,2,FALSE)</f>
        <v>#N/A</v>
      </c>
      <c r="G194" s="38" t="e">
        <f>VLOOKUP($E194,APOIO!$Z:$AC,4,FALSE)</f>
        <v>#N/A</v>
      </c>
      <c r="H194" s="39"/>
      <c r="I194" s="40" t="e">
        <f>VLOOKUP($H194,APOIO!$W:$X,2,FALSE)</f>
        <v>#N/A</v>
      </c>
      <c r="J194" s="36"/>
      <c r="K194" s="40" t="e">
        <f>VLOOKUP($J194,APOIO!$AE:$AG,2,FALSE)</f>
        <v>#N/A</v>
      </c>
      <c r="L194" s="38" t="e">
        <f>VLOOKUP($J194,APOIO!$AE:$AG,3,FALSE)</f>
        <v>#N/A</v>
      </c>
      <c r="M194" s="36"/>
      <c r="N194" s="37" t="e">
        <f>VLOOKUP($M194,APOIO!$I:$J,2,FALSE)</f>
        <v>#N/A</v>
      </c>
      <c r="O194" s="37"/>
      <c r="P194" s="37"/>
      <c r="Q194" s="37"/>
      <c r="R194" s="37"/>
      <c r="S194" s="41"/>
      <c r="T194" s="91"/>
      <c r="U194" s="92"/>
      <c r="V194" s="43">
        <f t="shared" si="4"/>
        <v>0</v>
      </c>
      <c r="W194" s="36"/>
      <c r="X194" s="87"/>
      <c r="Y194" s="37" t="b">
        <f t="shared" si="5"/>
        <v>1</v>
      </c>
      <c r="Z194" s="84" t="e">
        <f>VLOOKUP($B194,APOIO!$A:$F,5,FALSE)</f>
        <v>#N/A</v>
      </c>
    </row>
    <row r="195" spans="1:26" ht="15" x14ac:dyDescent="0.25">
      <c r="A195" s="36"/>
      <c r="B195" s="37" t="e">
        <f>VLOOKUP($A195,APOIO!$A:$E,1,FALSE)</f>
        <v>#N/A</v>
      </c>
      <c r="C195" s="36"/>
      <c r="D195" s="37" t="e">
        <f>INDEX(APOIO!$D:$D,MATCH(CONCATENATE($B195,$C195),APOIO!$F:$F,0))</f>
        <v>#N/A</v>
      </c>
      <c r="E195" s="36"/>
      <c r="F195" s="37" t="e">
        <f>VLOOKUP($E195,APOIO!$Z:$AC,2,FALSE)</f>
        <v>#N/A</v>
      </c>
      <c r="G195" s="38" t="e">
        <f>VLOOKUP($E195,APOIO!$Z:$AC,4,FALSE)</f>
        <v>#N/A</v>
      </c>
      <c r="H195" s="39"/>
      <c r="I195" s="40" t="e">
        <f>VLOOKUP($H195,APOIO!$W:$X,2,FALSE)</f>
        <v>#N/A</v>
      </c>
      <c r="J195" s="36"/>
      <c r="K195" s="40" t="e">
        <f>VLOOKUP($J195,APOIO!$AE:$AG,2,FALSE)</f>
        <v>#N/A</v>
      </c>
      <c r="L195" s="38" t="e">
        <f>VLOOKUP($J195,APOIO!$AE:$AG,3,FALSE)</f>
        <v>#N/A</v>
      </c>
      <c r="M195" s="36"/>
      <c r="N195" s="37" t="e">
        <f>VLOOKUP($M195,APOIO!$I:$J,2,FALSE)</f>
        <v>#N/A</v>
      </c>
      <c r="O195" s="37"/>
      <c r="P195" s="37"/>
      <c r="Q195" s="37"/>
      <c r="R195" s="37"/>
      <c r="S195" s="41"/>
      <c r="T195" s="91"/>
      <c r="U195" s="92"/>
      <c r="V195" s="43">
        <f t="shared" si="4"/>
        <v>0</v>
      </c>
      <c r="W195" s="36"/>
      <c r="X195" s="87"/>
      <c r="Y195" s="37" t="b">
        <f t="shared" si="5"/>
        <v>1</v>
      </c>
      <c r="Z195" s="84" t="e">
        <f>VLOOKUP($B195,APOIO!$A:$F,5,FALSE)</f>
        <v>#N/A</v>
      </c>
    </row>
    <row r="196" spans="1:26" ht="15" x14ac:dyDescent="0.25">
      <c r="A196" s="36"/>
      <c r="B196" s="37" t="e">
        <f>VLOOKUP($A196,APOIO!$A:$E,1,FALSE)</f>
        <v>#N/A</v>
      </c>
      <c r="C196" s="36"/>
      <c r="D196" s="37" t="e">
        <f>INDEX(APOIO!$D:$D,MATCH(CONCATENATE($B196,$C196),APOIO!$F:$F,0))</f>
        <v>#N/A</v>
      </c>
      <c r="E196" s="36"/>
      <c r="F196" s="37" t="e">
        <f>VLOOKUP($E196,APOIO!$Z:$AC,2,FALSE)</f>
        <v>#N/A</v>
      </c>
      <c r="G196" s="38" t="e">
        <f>VLOOKUP($E196,APOIO!$Z:$AC,4,FALSE)</f>
        <v>#N/A</v>
      </c>
      <c r="H196" s="39"/>
      <c r="I196" s="40" t="e">
        <f>VLOOKUP($H196,APOIO!$W:$X,2,FALSE)</f>
        <v>#N/A</v>
      </c>
      <c r="J196" s="36"/>
      <c r="K196" s="40" t="e">
        <f>VLOOKUP($J196,APOIO!$AE:$AG,2,FALSE)</f>
        <v>#N/A</v>
      </c>
      <c r="L196" s="38" t="e">
        <f>VLOOKUP($J196,APOIO!$AE:$AG,3,FALSE)</f>
        <v>#N/A</v>
      </c>
      <c r="M196" s="36"/>
      <c r="N196" s="37" t="e">
        <f>VLOOKUP($M196,APOIO!$I:$J,2,FALSE)</f>
        <v>#N/A</v>
      </c>
      <c r="O196" s="37"/>
      <c r="P196" s="37"/>
      <c r="Q196" s="37"/>
      <c r="R196" s="37"/>
      <c r="S196" s="41"/>
      <c r="T196" s="91"/>
      <c r="U196" s="92"/>
      <c r="V196" s="43">
        <f t="shared" si="4"/>
        <v>0</v>
      </c>
      <c r="W196" s="36"/>
      <c r="X196" s="87"/>
      <c r="Y196" s="37" t="b">
        <f t="shared" si="5"/>
        <v>1</v>
      </c>
      <c r="Z196" s="84" t="e">
        <f>VLOOKUP($B196,APOIO!$A:$F,5,FALSE)</f>
        <v>#N/A</v>
      </c>
    </row>
    <row r="197" spans="1:26" ht="15" x14ac:dyDescent="0.25">
      <c r="A197" s="36"/>
      <c r="B197" s="37" t="e">
        <f>VLOOKUP($A197,APOIO!$A:$E,1,FALSE)</f>
        <v>#N/A</v>
      </c>
      <c r="C197" s="36"/>
      <c r="D197" s="37" t="e">
        <f>INDEX(APOIO!$D:$D,MATCH(CONCATENATE($B197,$C197),APOIO!$F:$F,0))</f>
        <v>#N/A</v>
      </c>
      <c r="E197" s="36"/>
      <c r="F197" s="37" t="e">
        <f>VLOOKUP($E197,APOIO!$Z:$AC,2,FALSE)</f>
        <v>#N/A</v>
      </c>
      <c r="G197" s="38" t="e">
        <f>VLOOKUP($E197,APOIO!$Z:$AC,4,FALSE)</f>
        <v>#N/A</v>
      </c>
      <c r="H197" s="39"/>
      <c r="I197" s="40" t="e">
        <f>VLOOKUP($H197,APOIO!$W:$X,2,FALSE)</f>
        <v>#N/A</v>
      </c>
      <c r="J197" s="36"/>
      <c r="K197" s="40" t="e">
        <f>VLOOKUP($J197,APOIO!$AE:$AG,2,FALSE)</f>
        <v>#N/A</v>
      </c>
      <c r="L197" s="38" t="e">
        <f>VLOOKUP($J197,APOIO!$AE:$AG,3,FALSE)</f>
        <v>#N/A</v>
      </c>
      <c r="M197" s="36"/>
      <c r="N197" s="37" t="e">
        <f>VLOOKUP($M197,APOIO!$I:$J,2,FALSE)</f>
        <v>#N/A</v>
      </c>
      <c r="O197" s="37"/>
      <c r="P197" s="37"/>
      <c r="Q197" s="37"/>
      <c r="R197" s="37"/>
      <c r="S197" s="41"/>
      <c r="T197" s="91"/>
      <c r="U197" s="92"/>
      <c r="V197" s="43">
        <f t="shared" si="4"/>
        <v>0</v>
      </c>
      <c r="W197" s="36"/>
      <c r="X197" s="87"/>
      <c r="Y197" s="37" t="b">
        <f t="shared" si="5"/>
        <v>1</v>
      </c>
      <c r="Z197" s="84" t="e">
        <f>VLOOKUP($B197,APOIO!$A:$F,5,FALSE)</f>
        <v>#N/A</v>
      </c>
    </row>
    <row r="198" spans="1:26" ht="15" x14ac:dyDescent="0.25">
      <c r="A198" s="36"/>
      <c r="B198" s="37" t="e">
        <f>VLOOKUP($A198,APOIO!$A:$E,1,FALSE)</f>
        <v>#N/A</v>
      </c>
      <c r="C198" s="36"/>
      <c r="D198" s="37" t="e">
        <f>INDEX(APOIO!$D:$D,MATCH(CONCATENATE($B198,$C198),APOIO!$F:$F,0))</f>
        <v>#N/A</v>
      </c>
      <c r="E198" s="36"/>
      <c r="F198" s="37" t="e">
        <f>VLOOKUP($E198,APOIO!$Z:$AC,2,FALSE)</f>
        <v>#N/A</v>
      </c>
      <c r="G198" s="38" t="e">
        <f>VLOOKUP($E198,APOIO!$Z:$AC,4,FALSE)</f>
        <v>#N/A</v>
      </c>
      <c r="H198" s="39"/>
      <c r="I198" s="40" t="e">
        <f>VLOOKUP($H198,APOIO!$W:$X,2,FALSE)</f>
        <v>#N/A</v>
      </c>
      <c r="J198" s="36"/>
      <c r="K198" s="40" t="e">
        <f>VLOOKUP($J198,APOIO!$AE:$AG,2,FALSE)</f>
        <v>#N/A</v>
      </c>
      <c r="L198" s="38" t="e">
        <f>VLOOKUP($J198,APOIO!$AE:$AG,3,FALSE)</f>
        <v>#N/A</v>
      </c>
      <c r="M198" s="36"/>
      <c r="N198" s="37" t="e">
        <f>VLOOKUP($M198,APOIO!$I:$J,2,FALSE)</f>
        <v>#N/A</v>
      </c>
      <c r="O198" s="37"/>
      <c r="P198" s="37"/>
      <c r="Q198" s="37"/>
      <c r="R198" s="37"/>
      <c r="S198" s="41"/>
      <c r="T198" s="91"/>
      <c r="U198" s="92"/>
      <c r="V198" s="43">
        <f t="shared" si="4"/>
        <v>0</v>
      </c>
      <c r="W198" s="36"/>
      <c r="X198" s="87"/>
      <c r="Y198" s="37" t="b">
        <f t="shared" si="5"/>
        <v>1</v>
      </c>
      <c r="Z198" s="84" t="e">
        <f>VLOOKUP($B198,APOIO!$A:$F,5,FALSE)</f>
        <v>#N/A</v>
      </c>
    </row>
    <row r="199" spans="1:26" ht="15" x14ac:dyDescent="0.25">
      <c r="A199" s="36"/>
      <c r="B199" s="37" t="e">
        <f>VLOOKUP($A199,APOIO!$A:$E,1,FALSE)</f>
        <v>#N/A</v>
      </c>
      <c r="C199" s="36"/>
      <c r="D199" s="37" t="e">
        <f>INDEX(APOIO!$D:$D,MATCH(CONCATENATE($B199,$C199),APOIO!$F:$F,0))</f>
        <v>#N/A</v>
      </c>
      <c r="E199" s="36"/>
      <c r="F199" s="37" t="e">
        <f>VLOOKUP($E199,APOIO!$Z:$AC,2,FALSE)</f>
        <v>#N/A</v>
      </c>
      <c r="G199" s="38" t="e">
        <f>VLOOKUP($E199,APOIO!$Z:$AC,4,FALSE)</f>
        <v>#N/A</v>
      </c>
      <c r="H199" s="39"/>
      <c r="I199" s="40" t="e">
        <f>VLOOKUP($H199,APOIO!$W:$X,2,FALSE)</f>
        <v>#N/A</v>
      </c>
      <c r="J199" s="36"/>
      <c r="K199" s="40" t="e">
        <f>VLOOKUP($J199,APOIO!$AE:$AG,2,FALSE)</f>
        <v>#N/A</v>
      </c>
      <c r="L199" s="38" t="e">
        <f>VLOOKUP($J199,APOIO!$AE:$AG,3,FALSE)</f>
        <v>#N/A</v>
      </c>
      <c r="M199" s="36"/>
      <c r="N199" s="37" t="e">
        <f>VLOOKUP($M199,APOIO!$I:$J,2,FALSE)</f>
        <v>#N/A</v>
      </c>
      <c r="O199" s="37"/>
      <c r="P199" s="37"/>
      <c r="Q199" s="37"/>
      <c r="R199" s="37"/>
      <c r="S199" s="41"/>
      <c r="T199" s="91"/>
      <c r="U199" s="92"/>
      <c r="V199" s="43">
        <f t="shared" si="4"/>
        <v>0</v>
      </c>
      <c r="W199" s="36"/>
      <c r="X199" s="87"/>
      <c r="Y199" s="37" t="b">
        <f t="shared" si="5"/>
        <v>1</v>
      </c>
      <c r="Z199" s="84" t="e">
        <f>VLOOKUP($B199,APOIO!$A:$F,5,FALSE)</f>
        <v>#N/A</v>
      </c>
    </row>
    <row r="200" spans="1:26" ht="15" x14ac:dyDescent="0.25">
      <c r="A200" s="36"/>
      <c r="B200" s="37" t="e">
        <f>VLOOKUP($A200,APOIO!$A:$E,1,FALSE)</f>
        <v>#N/A</v>
      </c>
      <c r="C200" s="36"/>
      <c r="D200" s="37" t="e">
        <f>INDEX(APOIO!$D:$D,MATCH(CONCATENATE($B200,$C200),APOIO!$F:$F,0))</f>
        <v>#N/A</v>
      </c>
      <c r="E200" s="36"/>
      <c r="F200" s="37" t="e">
        <f>VLOOKUP($E200,APOIO!$Z:$AC,2,FALSE)</f>
        <v>#N/A</v>
      </c>
      <c r="G200" s="38" t="e">
        <f>VLOOKUP($E200,APOIO!$Z:$AC,4,FALSE)</f>
        <v>#N/A</v>
      </c>
      <c r="H200" s="39"/>
      <c r="I200" s="40" t="e">
        <f>VLOOKUP($H200,APOIO!$W:$X,2,FALSE)</f>
        <v>#N/A</v>
      </c>
      <c r="J200" s="36"/>
      <c r="K200" s="40" t="e">
        <f>VLOOKUP($J200,APOIO!$AE:$AG,2,FALSE)</f>
        <v>#N/A</v>
      </c>
      <c r="L200" s="38" t="e">
        <f>VLOOKUP($J200,APOIO!$AE:$AG,3,FALSE)</f>
        <v>#N/A</v>
      </c>
      <c r="M200" s="36"/>
      <c r="N200" s="37" t="e">
        <f>VLOOKUP($M200,APOIO!$I:$J,2,FALSE)</f>
        <v>#N/A</v>
      </c>
      <c r="O200" s="37"/>
      <c r="P200" s="37"/>
      <c r="Q200" s="37"/>
      <c r="R200" s="37"/>
      <c r="S200" s="41"/>
      <c r="T200" s="91"/>
      <c r="U200" s="92"/>
      <c r="V200" s="43">
        <f t="shared" si="4"/>
        <v>0</v>
      </c>
      <c r="W200" s="36"/>
      <c r="X200" s="87"/>
      <c r="Y200" s="37" t="b">
        <f t="shared" si="5"/>
        <v>1</v>
      </c>
      <c r="Z200" s="84" t="e">
        <f>VLOOKUP($B200,APOIO!$A:$F,5,FALSE)</f>
        <v>#N/A</v>
      </c>
    </row>
    <row r="201" spans="1:26" x14ac:dyDescent="0.2">
      <c r="X201" s="88"/>
    </row>
  </sheetData>
  <sheetProtection algorithmName="SHA-512" hashValue="ujjPdxHIPHZHZFtExv6UbakZ8s/hq4iCg//Gp9KIAg4JoVaVsov1f5gAHovfG+PPVnCAtmBYeXBGqD9oIZLewQ==" saltValue="0WiMksnHicT6zZG7TSX3GA==" spinCount="100000" sheet="1" objects="1" scenarios="1"/>
  <conditionalFormatting sqref="J10:J200">
    <cfRule type="expression" dxfId="1" priority="3">
      <formula>IF($G10=$L10,0,1)</formula>
    </cfRule>
  </conditionalFormatting>
  <conditionalFormatting sqref="C10:C200">
    <cfRule type="expression" dxfId="0" priority="1">
      <formula>IF(AND(ISERROR($D10),$A10&lt;&gt;""),1,IF(AND($C10&lt;&gt;"",$A10=""),1,0))</formula>
    </cfRule>
  </conditionalFormatting>
  <pageMargins left="0.75" right="0.75" top="1" bottom="1" header="0.5" footer="0.5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APOIO!$W$2:$W$2</xm:f>
          </x14:formula1>
          <xm:sqref>H10:H100 M10:M100</xm:sqref>
        </x14:dataValidation>
        <x14:dataValidation type="list" allowBlank="1" showInputMessage="1" showErrorMessage="1">
          <x14:formula1>
            <xm:f>APOIO!$Z$2:$Z$494</xm:f>
          </x14:formula1>
          <xm:sqref>E10:E100</xm:sqref>
        </x14:dataValidation>
        <x14:dataValidation type="list" allowBlank="1" showInputMessage="1" showErrorMessage="1">
          <x14:formula1>
            <xm:f>APOIO!$AE$2:$AE$34</xm:f>
          </x14:formula1>
          <xm:sqref>J10:J100</xm:sqref>
        </x14:dataValidation>
        <x14:dataValidation type="list" allowBlank="1" showInputMessage="1" showErrorMessage="1">
          <x14:formula1>
            <xm:f>APOIO!$C$2:$C$2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0000"/>
  <sheetViews>
    <sheetView workbookViewId="0"/>
  </sheetViews>
  <sheetFormatPr defaultRowHeight="12.75" zeroHeight="1" x14ac:dyDescent="0.2"/>
  <cols>
    <col min="1" max="1" width="14.85546875" style="1" bestFit="1" customWidth="1"/>
    <col min="2" max="3" width="32.28515625" style="1" customWidth="1"/>
    <col min="4" max="4" width="13.42578125" style="1" bestFit="1" customWidth="1"/>
    <col min="5" max="5" width="17" style="82" bestFit="1" customWidth="1"/>
    <col min="6" max="6" width="68.5703125" style="1" bestFit="1" customWidth="1"/>
    <col min="7" max="8" width="9.140625" style="1"/>
    <col min="9" max="9" width="16.42578125" style="1" bestFit="1" customWidth="1"/>
    <col min="10" max="10" width="19.42578125" style="1" bestFit="1" customWidth="1"/>
    <col min="11" max="11" width="9.140625" style="1"/>
    <col min="12" max="12" width="13.85546875" style="1" bestFit="1" customWidth="1"/>
    <col min="13" max="13" width="16.7109375" style="1" bestFit="1" customWidth="1"/>
    <col min="14" max="14" width="9.140625" style="1"/>
    <col min="15" max="15" width="19.28515625" style="1" bestFit="1" customWidth="1"/>
    <col min="16" max="16" width="22.28515625" style="1" bestFit="1" customWidth="1"/>
    <col min="17" max="17" width="9.140625" style="1"/>
    <col min="18" max="18" width="12.28515625" style="1" bestFit="1" customWidth="1"/>
    <col min="19" max="19" width="14.140625" style="1" bestFit="1" customWidth="1"/>
    <col min="20" max="20" width="16.28515625" style="1" bestFit="1" customWidth="1"/>
    <col min="21" max="21" width="13.85546875" style="1" bestFit="1" customWidth="1"/>
    <col min="22" max="22" width="9.140625" style="1"/>
    <col min="23" max="23" width="15.28515625" style="1" bestFit="1" customWidth="1"/>
    <col min="24" max="24" width="18.28515625" style="1" bestFit="1" customWidth="1"/>
    <col min="25" max="25" width="9.140625" style="1"/>
    <col min="26" max="26" width="33.28515625" style="1" customWidth="1"/>
    <col min="27" max="27" width="33.140625" style="1" bestFit="1" customWidth="1"/>
    <col min="28" max="28" width="21.42578125" style="1" bestFit="1" customWidth="1"/>
    <col min="29" max="29" width="18.28515625" style="1" bestFit="1" customWidth="1"/>
    <col min="30" max="30" width="9.140625" style="1"/>
    <col min="31" max="31" width="25.28515625" style="1" bestFit="1" customWidth="1"/>
    <col min="32" max="32" width="24.28515625" style="1" bestFit="1" customWidth="1"/>
    <col min="33" max="33" width="26.140625" style="1" bestFit="1" customWidth="1"/>
    <col min="34" max="16384" width="9.140625" style="1"/>
  </cols>
  <sheetData>
    <row r="1" spans="1:33" ht="15" x14ac:dyDescent="0.25">
      <c r="A1" s="46" t="s">
        <v>516</v>
      </c>
      <c r="B1" s="46" t="s">
        <v>67</v>
      </c>
      <c r="C1" s="47" t="s">
        <v>68</v>
      </c>
      <c r="D1" s="48" t="s">
        <v>28</v>
      </c>
      <c r="E1" s="48" t="s">
        <v>839</v>
      </c>
      <c r="F1" s="47" t="s">
        <v>69</v>
      </c>
      <c r="G1"/>
      <c r="H1"/>
      <c r="I1" s="46" t="s">
        <v>70</v>
      </c>
      <c r="J1" s="46" t="s">
        <v>71</v>
      </c>
      <c r="L1" s="46" t="s">
        <v>40</v>
      </c>
      <c r="M1" s="46" t="s">
        <v>72</v>
      </c>
      <c r="O1" s="46" t="s">
        <v>38</v>
      </c>
      <c r="P1" s="46" t="s">
        <v>73</v>
      </c>
      <c r="Q1"/>
      <c r="R1" s="46" t="s">
        <v>74</v>
      </c>
      <c r="S1" s="46" t="s">
        <v>75</v>
      </c>
      <c r="T1" s="46" t="s">
        <v>76</v>
      </c>
      <c r="U1" s="46" t="s">
        <v>77</v>
      </c>
      <c r="V1"/>
      <c r="W1" s="46" t="s">
        <v>78</v>
      </c>
      <c r="X1" s="46" t="s">
        <v>79</v>
      </c>
      <c r="Y1"/>
      <c r="Z1" s="46" t="s">
        <v>29</v>
      </c>
      <c r="AA1" s="46" t="s">
        <v>80</v>
      </c>
      <c r="AB1" s="49" t="s">
        <v>81</v>
      </c>
      <c r="AC1" s="49" t="s">
        <v>82</v>
      </c>
      <c r="AD1"/>
      <c r="AE1" s="49" t="s">
        <v>81</v>
      </c>
      <c r="AF1" s="49" t="s">
        <v>83</v>
      </c>
      <c r="AG1" s="49" t="s">
        <v>84</v>
      </c>
    </row>
    <row r="2" spans="1:33" x14ac:dyDescent="0.2">
      <c r="T2" s="45"/>
      <c r="U2" s="45"/>
    </row>
    <row r="3" spans="1:33" x14ac:dyDescent="0.2">
      <c r="T3" s="45"/>
      <c r="U3" s="45"/>
    </row>
    <row r="4" spans="1:33" x14ac:dyDescent="0.2">
      <c r="T4" s="45"/>
      <c r="U4" s="45"/>
    </row>
    <row r="5" spans="1:33" x14ac:dyDescent="0.2">
      <c r="T5" s="45"/>
      <c r="U5" s="45"/>
    </row>
    <row r="6" spans="1:33" x14ac:dyDescent="0.2">
      <c r="T6" s="45"/>
      <c r="U6" s="45"/>
    </row>
    <row r="7" spans="1:33" x14ac:dyDescent="0.2">
      <c r="T7" s="45"/>
      <c r="U7" s="45"/>
    </row>
    <row r="8" spans="1:33" x14ac:dyDescent="0.2">
      <c r="T8" s="45"/>
      <c r="U8" s="45"/>
    </row>
    <row r="9" spans="1:33" x14ac:dyDescent="0.2">
      <c r="T9" s="45"/>
      <c r="U9" s="45"/>
    </row>
    <row r="10" spans="1:33" x14ac:dyDescent="0.2">
      <c r="T10" s="45"/>
      <c r="U10" s="45"/>
    </row>
    <row r="11" spans="1:33" x14ac:dyDescent="0.2">
      <c r="T11" s="45"/>
      <c r="U11" s="45"/>
    </row>
    <row r="12" spans="1:33" x14ac:dyDescent="0.2">
      <c r="T12" s="45"/>
      <c r="U12" s="45"/>
    </row>
    <row r="13" spans="1:33" x14ac:dyDescent="0.2">
      <c r="T13" s="45"/>
      <c r="U13" s="45"/>
    </row>
    <row r="14" spans="1:33" x14ac:dyDescent="0.2">
      <c r="T14" s="45"/>
      <c r="U14" s="45"/>
    </row>
    <row r="15" spans="1:33" x14ac:dyDescent="0.2">
      <c r="T15" s="45"/>
      <c r="U15" s="45"/>
    </row>
    <row r="16" spans="1:33" x14ac:dyDescent="0.2">
      <c r="T16" s="45"/>
      <c r="U16" s="45"/>
    </row>
    <row r="17" spans="20:21" x14ac:dyDescent="0.2">
      <c r="T17" s="45"/>
      <c r="U17" s="45"/>
    </row>
    <row r="18" spans="20:21" x14ac:dyDescent="0.2">
      <c r="T18" s="45"/>
      <c r="U18" s="45"/>
    </row>
    <row r="19" spans="20:21" x14ac:dyDescent="0.2">
      <c r="T19" s="45"/>
      <c r="U19" s="45"/>
    </row>
    <row r="20" spans="20:21" x14ac:dyDescent="0.2">
      <c r="T20" s="45"/>
      <c r="U20" s="45"/>
    </row>
    <row r="21" spans="20:21" x14ac:dyDescent="0.2">
      <c r="T21" s="45"/>
      <c r="U21" s="45"/>
    </row>
    <row r="22" spans="20:21" x14ac:dyDescent="0.2">
      <c r="T22" s="45"/>
      <c r="U22" s="45"/>
    </row>
    <row r="23" spans="20:21" x14ac:dyDescent="0.2">
      <c r="T23" s="45"/>
      <c r="U23" s="45"/>
    </row>
    <row r="24" spans="20:21" x14ac:dyDescent="0.2">
      <c r="T24" s="45"/>
      <c r="U24" s="45"/>
    </row>
    <row r="25" spans="20:21" x14ac:dyDescent="0.2">
      <c r="T25" s="45"/>
      <c r="U25" s="45"/>
    </row>
    <row r="26" spans="20:21" x14ac:dyDescent="0.2">
      <c r="T26" s="45"/>
      <c r="U26" s="45"/>
    </row>
    <row r="27" spans="20:21" x14ac:dyDescent="0.2">
      <c r="T27" s="45"/>
      <c r="U27" s="45"/>
    </row>
    <row r="28" spans="20:21" x14ac:dyDescent="0.2">
      <c r="T28" s="45"/>
      <c r="U28" s="45"/>
    </row>
    <row r="29" spans="20:21" x14ac:dyDescent="0.2">
      <c r="T29" s="45"/>
      <c r="U29" s="45"/>
    </row>
    <row r="30" spans="20:21" x14ac:dyDescent="0.2">
      <c r="T30" s="45"/>
      <c r="U30" s="45"/>
    </row>
    <row r="31" spans="20:21" x14ac:dyDescent="0.2">
      <c r="T31" s="45"/>
      <c r="U31" s="45"/>
    </row>
    <row r="32" spans="20:21" x14ac:dyDescent="0.2">
      <c r="T32" s="45"/>
      <c r="U32" s="45"/>
    </row>
    <row r="33" spans="20:21" x14ac:dyDescent="0.2">
      <c r="T33" s="45"/>
      <c r="U33" s="45"/>
    </row>
    <row r="34" spans="20:21" x14ac:dyDescent="0.2">
      <c r="T34" s="45"/>
      <c r="U34" s="45"/>
    </row>
    <row r="35" spans="20:21" x14ac:dyDescent="0.2">
      <c r="T35" s="45"/>
      <c r="U35" s="45"/>
    </row>
    <row r="36" spans="20:21" x14ac:dyDescent="0.2">
      <c r="T36" s="45"/>
      <c r="U36" s="45"/>
    </row>
    <row r="37" spans="20:21" x14ac:dyDescent="0.2">
      <c r="T37" s="45"/>
      <c r="U37" s="45"/>
    </row>
    <row r="38" spans="20:21" x14ac:dyDescent="0.2">
      <c r="T38" s="45"/>
      <c r="U38" s="45"/>
    </row>
    <row r="39" spans="20:21" x14ac:dyDescent="0.2">
      <c r="T39" s="45"/>
      <c r="U39" s="45"/>
    </row>
    <row r="40" spans="20:21" x14ac:dyDescent="0.2">
      <c r="T40" s="45"/>
      <c r="U40" s="45"/>
    </row>
    <row r="41" spans="20:21" x14ac:dyDescent="0.2">
      <c r="T41" s="45"/>
      <c r="U41" s="45"/>
    </row>
    <row r="42" spans="20:21" x14ac:dyDescent="0.2">
      <c r="T42" s="45"/>
      <c r="U42" s="45"/>
    </row>
    <row r="43" spans="20:21" x14ac:dyDescent="0.2">
      <c r="T43" s="45"/>
      <c r="U43" s="45"/>
    </row>
    <row r="44" spans="20:21" x14ac:dyDescent="0.2">
      <c r="T44" s="45"/>
      <c r="U44" s="45"/>
    </row>
    <row r="45" spans="20:21" x14ac:dyDescent="0.2">
      <c r="T45" s="45"/>
      <c r="U45" s="45"/>
    </row>
    <row r="46" spans="20:21" x14ac:dyDescent="0.2">
      <c r="T46" s="45"/>
      <c r="U46" s="45"/>
    </row>
    <row r="47" spans="20:21" x14ac:dyDescent="0.2">
      <c r="T47" s="45"/>
      <c r="U47" s="45"/>
    </row>
    <row r="48" spans="20:21" x14ac:dyDescent="0.2">
      <c r="T48" s="45"/>
      <c r="U48" s="45"/>
    </row>
    <row r="49" spans="20:21" x14ac:dyDescent="0.2">
      <c r="T49" s="45"/>
      <c r="U49" s="45"/>
    </row>
    <row r="50" spans="20:21" x14ac:dyDescent="0.2">
      <c r="T50" s="45"/>
      <c r="U50" s="45"/>
    </row>
    <row r="51" spans="20:21" x14ac:dyDescent="0.2">
      <c r="T51" s="45"/>
      <c r="U51" s="45"/>
    </row>
    <row r="52" spans="20:21" x14ac:dyDescent="0.2">
      <c r="T52" s="45"/>
      <c r="U52" s="45"/>
    </row>
    <row r="53" spans="20:21" x14ac:dyDescent="0.2">
      <c r="T53" s="45"/>
      <c r="U53" s="45"/>
    </row>
    <row r="54" spans="20:21" x14ac:dyDescent="0.2">
      <c r="T54" s="45"/>
      <c r="U54" s="45"/>
    </row>
    <row r="55" spans="20:21" x14ac:dyDescent="0.2">
      <c r="T55" s="45"/>
      <c r="U55" s="45"/>
    </row>
    <row r="56" spans="20:21" x14ac:dyDescent="0.2">
      <c r="T56" s="45"/>
      <c r="U56" s="45"/>
    </row>
    <row r="57" spans="20:21" x14ac:dyDescent="0.2">
      <c r="T57" s="45"/>
      <c r="U57" s="45"/>
    </row>
    <row r="58" spans="20:21" x14ac:dyDescent="0.2">
      <c r="T58" s="45"/>
      <c r="U58" s="45"/>
    </row>
    <row r="59" spans="20:21" x14ac:dyDescent="0.2">
      <c r="T59" s="45"/>
      <c r="U59" s="45"/>
    </row>
    <row r="60" spans="20:21" x14ac:dyDescent="0.2">
      <c r="T60" s="45"/>
      <c r="U60" s="45"/>
    </row>
    <row r="61" spans="20:21" x14ac:dyDescent="0.2">
      <c r="T61" s="45"/>
      <c r="U61" s="45"/>
    </row>
    <row r="62" spans="20:21" x14ac:dyDescent="0.2">
      <c r="T62" s="45"/>
      <c r="U62" s="45"/>
    </row>
    <row r="63" spans="20:21" x14ac:dyDescent="0.2">
      <c r="T63" s="45"/>
      <c r="U63" s="45"/>
    </row>
    <row r="64" spans="20:21" x14ac:dyDescent="0.2">
      <c r="T64" s="45"/>
      <c r="U64" s="45"/>
    </row>
    <row r="65" spans="20:21" x14ac:dyDescent="0.2">
      <c r="T65" s="45"/>
      <c r="U65" s="45"/>
    </row>
    <row r="66" spans="20:21" x14ac:dyDescent="0.2">
      <c r="T66" s="45"/>
      <c r="U66" s="45"/>
    </row>
    <row r="67" spans="20:21" x14ac:dyDescent="0.2">
      <c r="T67" s="45"/>
      <c r="U67" s="45"/>
    </row>
    <row r="68" spans="20:21" x14ac:dyDescent="0.2">
      <c r="T68" s="45"/>
      <c r="U68" s="45"/>
    </row>
    <row r="69" spans="20:21" x14ac:dyDescent="0.2">
      <c r="T69" s="45"/>
      <c r="U69" s="45"/>
    </row>
    <row r="70" spans="20:21" x14ac:dyDescent="0.2">
      <c r="T70" s="45"/>
      <c r="U70" s="45"/>
    </row>
    <row r="71" spans="20:21" x14ac:dyDescent="0.2">
      <c r="T71" s="45"/>
      <c r="U71" s="45"/>
    </row>
    <row r="72" spans="20:21" x14ac:dyDescent="0.2">
      <c r="T72" s="45"/>
      <c r="U72" s="45"/>
    </row>
    <row r="73" spans="20:21" x14ac:dyDescent="0.2">
      <c r="T73" s="45"/>
      <c r="U73" s="45"/>
    </row>
    <row r="74" spans="20:21" x14ac:dyDescent="0.2">
      <c r="T74" s="45"/>
      <c r="U74" s="45"/>
    </row>
    <row r="75" spans="20:21" x14ac:dyDescent="0.2">
      <c r="T75" s="45"/>
      <c r="U75" s="45"/>
    </row>
    <row r="76" spans="20:21" x14ac:dyDescent="0.2">
      <c r="T76" s="45"/>
      <c r="U76" s="45"/>
    </row>
    <row r="77" spans="20:21" x14ac:dyDescent="0.2">
      <c r="T77" s="45"/>
      <c r="U77" s="45"/>
    </row>
    <row r="78" spans="20:21" x14ac:dyDescent="0.2">
      <c r="T78" s="45"/>
      <c r="U78" s="45"/>
    </row>
    <row r="79" spans="20:21" x14ac:dyDescent="0.2">
      <c r="T79" s="45"/>
      <c r="U79" s="45"/>
    </row>
    <row r="80" spans="20:21" x14ac:dyDescent="0.2">
      <c r="T80" s="45"/>
      <c r="U80" s="45"/>
    </row>
    <row r="81" spans="20:21" x14ac:dyDescent="0.2">
      <c r="T81" s="45"/>
      <c r="U81" s="45"/>
    </row>
    <row r="82" spans="20:21" x14ac:dyDescent="0.2">
      <c r="T82" s="45"/>
      <c r="U82" s="45"/>
    </row>
    <row r="83" spans="20:21" x14ac:dyDescent="0.2">
      <c r="T83" s="45"/>
      <c r="U83" s="45"/>
    </row>
    <row r="84" spans="20:21" x14ac:dyDescent="0.2">
      <c r="T84" s="45"/>
      <c r="U84" s="45"/>
    </row>
    <row r="85" spans="20:21" x14ac:dyDescent="0.2">
      <c r="T85" s="45"/>
      <c r="U85" s="45"/>
    </row>
    <row r="86" spans="20:21" x14ac:dyDescent="0.2"/>
    <row r="87" spans="20:21" x14ac:dyDescent="0.2"/>
    <row r="88" spans="20:21" x14ac:dyDescent="0.2"/>
    <row r="89" spans="20:21" x14ac:dyDescent="0.2"/>
    <row r="90" spans="20:21" x14ac:dyDescent="0.2"/>
    <row r="91" spans="20:21" x14ac:dyDescent="0.2"/>
    <row r="92" spans="20:21" x14ac:dyDescent="0.2"/>
    <row r="93" spans="20:21" x14ac:dyDescent="0.2"/>
    <row r="94" spans="20:21" x14ac:dyDescent="0.2"/>
    <row r="95" spans="20:21" x14ac:dyDescent="0.2"/>
    <row r="96" spans="20:21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  <row r="1228" x14ac:dyDescent="0.2"/>
    <row r="1229" x14ac:dyDescent="0.2"/>
    <row r="1230" x14ac:dyDescent="0.2"/>
    <row r="1231" x14ac:dyDescent="0.2"/>
    <row r="1232" x14ac:dyDescent="0.2"/>
    <row r="1233" x14ac:dyDescent="0.2"/>
    <row r="1234" x14ac:dyDescent="0.2"/>
    <row r="1235" x14ac:dyDescent="0.2"/>
    <row r="1236" x14ac:dyDescent="0.2"/>
    <row r="1237" x14ac:dyDescent="0.2"/>
    <row r="1238" x14ac:dyDescent="0.2"/>
    <row r="1239" x14ac:dyDescent="0.2"/>
    <row r="1240" x14ac:dyDescent="0.2"/>
    <row r="1241" x14ac:dyDescent="0.2"/>
    <row r="1242" x14ac:dyDescent="0.2"/>
    <row r="1243" x14ac:dyDescent="0.2"/>
    <row r="1244" x14ac:dyDescent="0.2"/>
    <row r="1245" x14ac:dyDescent="0.2"/>
    <row r="1246" x14ac:dyDescent="0.2"/>
    <row r="1247" x14ac:dyDescent="0.2"/>
    <row r="1248" x14ac:dyDescent="0.2"/>
    <row r="1249" x14ac:dyDescent="0.2"/>
    <row r="1250" x14ac:dyDescent="0.2"/>
    <row r="1251" x14ac:dyDescent="0.2"/>
    <row r="1252" x14ac:dyDescent="0.2"/>
    <row r="1253" x14ac:dyDescent="0.2"/>
    <row r="1254" x14ac:dyDescent="0.2"/>
    <row r="1255" x14ac:dyDescent="0.2"/>
    <row r="1256" x14ac:dyDescent="0.2"/>
    <row r="1257" x14ac:dyDescent="0.2"/>
    <row r="1258" x14ac:dyDescent="0.2"/>
    <row r="1259" x14ac:dyDescent="0.2"/>
    <row r="1260" x14ac:dyDescent="0.2"/>
    <row r="1261" x14ac:dyDescent="0.2"/>
    <row r="1262" x14ac:dyDescent="0.2"/>
    <row r="1263" x14ac:dyDescent="0.2"/>
    <row r="1264" x14ac:dyDescent="0.2"/>
    <row r="1265" x14ac:dyDescent="0.2"/>
    <row r="1266" x14ac:dyDescent="0.2"/>
    <row r="1267" x14ac:dyDescent="0.2"/>
    <row r="1268" x14ac:dyDescent="0.2"/>
    <row r="1269" x14ac:dyDescent="0.2"/>
    <row r="1270" x14ac:dyDescent="0.2"/>
    <row r="1271" x14ac:dyDescent="0.2"/>
    <row r="1272" x14ac:dyDescent="0.2"/>
    <row r="1273" x14ac:dyDescent="0.2"/>
    <row r="1274" x14ac:dyDescent="0.2"/>
    <row r="1275" x14ac:dyDescent="0.2"/>
    <row r="1276" x14ac:dyDescent="0.2"/>
    <row r="1277" x14ac:dyDescent="0.2"/>
    <row r="1278" x14ac:dyDescent="0.2"/>
    <row r="1279" x14ac:dyDescent="0.2"/>
    <row r="1280" x14ac:dyDescent="0.2"/>
    <row r="1281" x14ac:dyDescent="0.2"/>
    <row r="1282" x14ac:dyDescent="0.2"/>
    <row r="1283" x14ac:dyDescent="0.2"/>
    <row r="1284" x14ac:dyDescent="0.2"/>
    <row r="1285" x14ac:dyDescent="0.2"/>
    <row r="1286" x14ac:dyDescent="0.2"/>
    <row r="1287" x14ac:dyDescent="0.2"/>
    <row r="1288" x14ac:dyDescent="0.2"/>
    <row r="1289" x14ac:dyDescent="0.2"/>
    <row r="1290" x14ac:dyDescent="0.2"/>
    <row r="1291" x14ac:dyDescent="0.2"/>
    <row r="1292" x14ac:dyDescent="0.2"/>
    <row r="1293" x14ac:dyDescent="0.2"/>
    <row r="1294" x14ac:dyDescent="0.2"/>
    <row r="1295" x14ac:dyDescent="0.2"/>
    <row r="1296" x14ac:dyDescent="0.2"/>
    <row r="1297" x14ac:dyDescent="0.2"/>
    <row r="1298" x14ac:dyDescent="0.2"/>
    <row r="1299" x14ac:dyDescent="0.2"/>
    <row r="1300" x14ac:dyDescent="0.2"/>
    <row r="1301" x14ac:dyDescent="0.2"/>
    <row r="1302" x14ac:dyDescent="0.2"/>
    <row r="1303" x14ac:dyDescent="0.2"/>
    <row r="1304" x14ac:dyDescent="0.2"/>
    <row r="1305" x14ac:dyDescent="0.2"/>
    <row r="1306" x14ac:dyDescent="0.2"/>
    <row r="1307" x14ac:dyDescent="0.2"/>
    <row r="1308" x14ac:dyDescent="0.2"/>
    <row r="1309" x14ac:dyDescent="0.2"/>
    <row r="1310" x14ac:dyDescent="0.2"/>
    <row r="1311" x14ac:dyDescent="0.2"/>
    <row r="1312" x14ac:dyDescent="0.2"/>
    <row r="1313" x14ac:dyDescent="0.2"/>
    <row r="1314" x14ac:dyDescent="0.2"/>
    <row r="1315" x14ac:dyDescent="0.2"/>
    <row r="1316" x14ac:dyDescent="0.2"/>
    <row r="1317" x14ac:dyDescent="0.2"/>
    <row r="1318" x14ac:dyDescent="0.2"/>
    <row r="1319" x14ac:dyDescent="0.2"/>
    <row r="1320" x14ac:dyDescent="0.2"/>
    <row r="1321" x14ac:dyDescent="0.2"/>
    <row r="1322" x14ac:dyDescent="0.2"/>
    <row r="1323" x14ac:dyDescent="0.2"/>
    <row r="1324" x14ac:dyDescent="0.2"/>
    <row r="1325" x14ac:dyDescent="0.2"/>
    <row r="1326" x14ac:dyDescent="0.2"/>
    <row r="1327" x14ac:dyDescent="0.2"/>
    <row r="1328" x14ac:dyDescent="0.2"/>
    <row r="1329" x14ac:dyDescent="0.2"/>
    <row r="1330" x14ac:dyDescent="0.2"/>
    <row r="1331" x14ac:dyDescent="0.2"/>
    <row r="1332" x14ac:dyDescent="0.2"/>
    <row r="1333" x14ac:dyDescent="0.2"/>
    <row r="1334" x14ac:dyDescent="0.2"/>
    <row r="1335" x14ac:dyDescent="0.2"/>
    <row r="1336" x14ac:dyDescent="0.2"/>
    <row r="1337" x14ac:dyDescent="0.2"/>
    <row r="1338" x14ac:dyDescent="0.2"/>
    <row r="1339" x14ac:dyDescent="0.2"/>
    <row r="1340" x14ac:dyDescent="0.2"/>
    <row r="1341" x14ac:dyDescent="0.2"/>
    <row r="1342" x14ac:dyDescent="0.2"/>
    <row r="1343" x14ac:dyDescent="0.2"/>
    <row r="1344" x14ac:dyDescent="0.2"/>
    <row r="1345" x14ac:dyDescent="0.2"/>
    <row r="1346" x14ac:dyDescent="0.2"/>
    <row r="1347" x14ac:dyDescent="0.2"/>
    <row r="1348" x14ac:dyDescent="0.2"/>
    <row r="1349" x14ac:dyDescent="0.2"/>
    <row r="1350" x14ac:dyDescent="0.2"/>
    <row r="1351" x14ac:dyDescent="0.2"/>
    <row r="1352" x14ac:dyDescent="0.2"/>
    <row r="1353" x14ac:dyDescent="0.2"/>
    <row r="1354" x14ac:dyDescent="0.2"/>
    <row r="1355" x14ac:dyDescent="0.2"/>
    <row r="1356" x14ac:dyDescent="0.2"/>
    <row r="1357" x14ac:dyDescent="0.2"/>
    <row r="1358" x14ac:dyDescent="0.2"/>
    <row r="1359" x14ac:dyDescent="0.2"/>
    <row r="1360" x14ac:dyDescent="0.2"/>
    <row r="1361" x14ac:dyDescent="0.2"/>
    <row r="1362" x14ac:dyDescent="0.2"/>
    <row r="1363" x14ac:dyDescent="0.2"/>
    <row r="1364" x14ac:dyDescent="0.2"/>
    <row r="1365" x14ac:dyDescent="0.2"/>
    <row r="1366" x14ac:dyDescent="0.2"/>
    <row r="1367" x14ac:dyDescent="0.2"/>
    <row r="1368" x14ac:dyDescent="0.2"/>
    <row r="1369" x14ac:dyDescent="0.2"/>
    <row r="1370" x14ac:dyDescent="0.2"/>
    <row r="1371" x14ac:dyDescent="0.2"/>
    <row r="1372" x14ac:dyDescent="0.2"/>
    <row r="1373" x14ac:dyDescent="0.2"/>
    <row r="1374" x14ac:dyDescent="0.2"/>
    <row r="1375" x14ac:dyDescent="0.2"/>
    <row r="1376" x14ac:dyDescent="0.2"/>
    <row r="1377" x14ac:dyDescent="0.2"/>
    <row r="1378" x14ac:dyDescent="0.2"/>
    <row r="1379" x14ac:dyDescent="0.2"/>
    <row r="1380" x14ac:dyDescent="0.2"/>
    <row r="1381" x14ac:dyDescent="0.2"/>
    <row r="1382" x14ac:dyDescent="0.2"/>
    <row r="1383" x14ac:dyDescent="0.2"/>
    <row r="1384" x14ac:dyDescent="0.2"/>
    <row r="1385" x14ac:dyDescent="0.2"/>
    <row r="1386" x14ac:dyDescent="0.2"/>
    <row r="1387" x14ac:dyDescent="0.2"/>
    <row r="1388" x14ac:dyDescent="0.2"/>
    <row r="1389" x14ac:dyDescent="0.2"/>
    <row r="1390" x14ac:dyDescent="0.2"/>
    <row r="1391" x14ac:dyDescent="0.2"/>
    <row r="1392" x14ac:dyDescent="0.2"/>
    <row r="1393" x14ac:dyDescent="0.2"/>
    <row r="1394" x14ac:dyDescent="0.2"/>
    <row r="1395" x14ac:dyDescent="0.2"/>
    <row r="1396" x14ac:dyDescent="0.2"/>
    <row r="1397" x14ac:dyDescent="0.2"/>
    <row r="1398" x14ac:dyDescent="0.2"/>
    <row r="1399" x14ac:dyDescent="0.2"/>
    <row r="1400" x14ac:dyDescent="0.2"/>
    <row r="1401" x14ac:dyDescent="0.2"/>
    <row r="1402" x14ac:dyDescent="0.2"/>
    <row r="1403" x14ac:dyDescent="0.2"/>
    <row r="1404" x14ac:dyDescent="0.2"/>
    <row r="1405" x14ac:dyDescent="0.2"/>
    <row r="1406" x14ac:dyDescent="0.2"/>
    <row r="1407" x14ac:dyDescent="0.2"/>
    <row r="1408" x14ac:dyDescent="0.2"/>
    <row r="1409" x14ac:dyDescent="0.2"/>
    <row r="1410" x14ac:dyDescent="0.2"/>
    <row r="1411" x14ac:dyDescent="0.2"/>
    <row r="1412" x14ac:dyDescent="0.2"/>
    <row r="1413" x14ac:dyDescent="0.2"/>
    <row r="1414" x14ac:dyDescent="0.2"/>
    <row r="1415" x14ac:dyDescent="0.2"/>
    <row r="1416" x14ac:dyDescent="0.2"/>
    <row r="1417" x14ac:dyDescent="0.2"/>
    <row r="1418" x14ac:dyDescent="0.2"/>
    <row r="1419" x14ac:dyDescent="0.2"/>
    <row r="1420" x14ac:dyDescent="0.2"/>
    <row r="1421" x14ac:dyDescent="0.2"/>
    <row r="1422" x14ac:dyDescent="0.2"/>
    <row r="1423" x14ac:dyDescent="0.2"/>
    <row r="1424" x14ac:dyDescent="0.2"/>
    <row r="1425" x14ac:dyDescent="0.2"/>
    <row r="1426" x14ac:dyDescent="0.2"/>
    <row r="1427" x14ac:dyDescent="0.2"/>
    <row r="1428" x14ac:dyDescent="0.2"/>
    <row r="1429" x14ac:dyDescent="0.2"/>
    <row r="1430" x14ac:dyDescent="0.2"/>
    <row r="1431" x14ac:dyDescent="0.2"/>
    <row r="1432" x14ac:dyDescent="0.2"/>
    <row r="1433" x14ac:dyDescent="0.2"/>
    <row r="1434" x14ac:dyDescent="0.2"/>
    <row r="1435" x14ac:dyDescent="0.2"/>
    <row r="1436" x14ac:dyDescent="0.2"/>
    <row r="1437" x14ac:dyDescent="0.2"/>
    <row r="1438" x14ac:dyDescent="0.2"/>
    <row r="1439" x14ac:dyDescent="0.2"/>
    <row r="1440" x14ac:dyDescent="0.2"/>
    <row r="1441" x14ac:dyDescent="0.2"/>
    <row r="1442" x14ac:dyDescent="0.2"/>
    <row r="1443" x14ac:dyDescent="0.2"/>
    <row r="1444" x14ac:dyDescent="0.2"/>
    <row r="1445" x14ac:dyDescent="0.2"/>
    <row r="1446" x14ac:dyDescent="0.2"/>
    <row r="1447" x14ac:dyDescent="0.2"/>
    <row r="1448" x14ac:dyDescent="0.2"/>
    <row r="1449" x14ac:dyDescent="0.2"/>
    <row r="1450" x14ac:dyDescent="0.2"/>
    <row r="1451" x14ac:dyDescent="0.2"/>
    <row r="1452" x14ac:dyDescent="0.2"/>
    <row r="1453" x14ac:dyDescent="0.2"/>
    <row r="1454" x14ac:dyDescent="0.2"/>
    <row r="1455" x14ac:dyDescent="0.2"/>
    <row r="1456" x14ac:dyDescent="0.2"/>
    <row r="1457" x14ac:dyDescent="0.2"/>
    <row r="1458" x14ac:dyDescent="0.2"/>
    <row r="1459" x14ac:dyDescent="0.2"/>
    <row r="1460" x14ac:dyDescent="0.2"/>
    <row r="1461" x14ac:dyDescent="0.2"/>
    <row r="1462" x14ac:dyDescent="0.2"/>
    <row r="1463" x14ac:dyDescent="0.2"/>
    <row r="1464" x14ac:dyDescent="0.2"/>
    <row r="1465" x14ac:dyDescent="0.2"/>
    <row r="1466" x14ac:dyDescent="0.2"/>
    <row r="1467" x14ac:dyDescent="0.2"/>
    <row r="1468" x14ac:dyDescent="0.2"/>
    <row r="1469" x14ac:dyDescent="0.2"/>
    <row r="1470" x14ac:dyDescent="0.2"/>
    <row r="1471" x14ac:dyDescent="0.2"/>
    <row r="1472" x14ac:dyDescent="0.2"/>
    <row r="1473" x14ac:dyDescent="0.2"/>
    <row r="1474" x14ac:dyDescent="0.2"/>
    <row r="1475" x14ac:dyDescent="0.2"/>
    <row r="1476" x14ac:dyDescent="0.2"/>
    <row r="1477" x14ac:dyDescent="0.2"/>
    <row r="1478" x14ac:dyDescent="0.2"/>
    <row r="1479" x14ac:dyDescent="0.2"/>
    <row r="1480" x14ac:dyDescent="0.2"/>
    <row r="1481" x14ac:dyDescent="0.2"/>
    <row r="1482" x14ac:dyDescent="0.2"/>
    <row r="1483" x14ac:dyDescent="0.2"/>
    <row r="1484" x14ac:dyDescent="0.2"/>
    <row r="1485" x14ac:dyDescent="0.2"/>
    <row r="1486" x14ac:dyDescent="0.2"/>
    <row r="1487" x14ac:dyDescent="0.2"/>
    <row r="1488" x14ac:dyDescent="0.2"/>
    <row r="1489" x14ac:dyDescent="0.2"/>
    <row r="1490" x14ac:dyDescent="0.2"/>
    <row r="1491" x14ac:dyDescent="0.2"/>
    <row r="1492" x14ac:dyDescent="0.2"/>
    <row r="1493" x14ac:dyDescent="0.2"/>
    <row r="1494" x14ac:dyDescent="0.2"/>
    <row r="1495" x14ac:dyDescent="0.2"/>
    <row r="1496" x14ac:dyDescent="0.2"/>
    <row r="1497" x14ac:dyDescent="0.2"/>
    <row r="1498" x14ac:dyDescent="0.2"/>
    <row r="1499" x14ac:dyDescent="0.2"/>
    <row r="1500" x14ac:dyDescent="0.2"/>
    <row r="1501" x14ac:dyDescent="0.2"/>
    <row r="1502" x14ac:dyDescent="0.2"/>
    <row r="1503" x14ac:dyDescent="0.2"/>
    <row r="1504" x14ac:dyDescent="0.2"/>
    <row r="1505" x14ac:dyDescent="0.2"/>
    <row r="1506" x14ac:dyDescent="0.2"/>
    <row r="1507" x14ac:dyDescent="0.2"/>
    <row r="1508" x14ac:dyDescent="0.2"/>
    <row r="1509" x14ac:dyDescent="0.2"/>
    <row r="1510" x14ac:dyDescent="0.2"/>
    <row r="1511" x14ac:dyDescent="0.2"/>
    <row r="1512" x14ac:dyDescent="0.2"/>
    <row r="1513" x14ac:dyDescent="0.2"/>
    <row r="1514" x14ac:dyDescent="0.2"/>
    <row r="1515" x14ac:dyDescent="0.2"/>
    <row r="1516" x14ac:dyDescent="0.2"/>
    <row r="1517" x14ac:dyDescent="0.2"/>
    <row r="1518" x14ac:dyDescent="0.2"/>
    <row r="1519" x14ac:dyDescent="0.2"/>
    <row r="1520" x14ac:dyDescent="0.2"/>
    <row r="1521" x14ac:dyDescent="0.2"/>
    <row r="1522" x14ac:dyDescent="0.2"/>
    <row r="1523" x14ac:dyDescent="0.2"/>
    <row r="1524" x14ac:dyDescent="0.2"/>
    <row r="1525" x14ac:dyDescent="0.2"/>
    <row r="1526" x14ac:dyDescent="0.2"/>
    <row r="1527" x14ac:dyDescent="0.2"/>
    <row r="1528" x14ac:dyDescent="0.2"/>
    <row r="1529" x14ac:dyDescent="0.2"/>
    <row r="1530" x14ac:dyDescent="0.2"/>
    <row r="1531" x14ac:dyDescent="0.2"/>
    <row r="1532" x14ac:dyDescent="0.2"/>
    <row r="1533" x14ac:dyDescent="0.2"/>
    <row r="1534" x14ac:dyDescent="0.2"/>
    <row r="1535" x14ac:dyDescent="0.2"/>
    <row r="1536" x14ac:dyDescent="0.2"/>
    <row r="1537" x14ac:dyDescent="0.2"/>
    <row r="1538" x14ac:dyDescent="0.2"/>
    <row r="1539" x14ac:dyDescent="0.2"/>
    <row r="1540" x14ac:dyDescent="0.2"/>
    <row r="1541" x14ac:dyDescent="0.2"/>
    <row r="1542" x14ac:dyDescent="0.2"/>
    <row r="1543" x14ac:dyDescent="0.2"/>
    <row r="1544" x14ac:dyDescent="0.2"/>
    <row r="1545" x14ac:dyDescent="0.2"/>
    <row r="1546" x14ac:dyDescent="0.2"/>
    <row r="1547" x14ac:dyDescent="0.2"/>
    <row r="1548" x14ac:dyDescent="0.2"/>
    <row r="1549" x14ac:dyDescent="0.2"/>
    <row r="1550" x14ac:dyDescent="0.2"/>
    <row r="1551" x14ac:dyDescent="0.2"/>
    <row r="1552" x14ac:dyDescent="0.2"/>
    <row r="1553" x14ac:dyDescent="0.2"/>
    <row r="1554" x14ac:dyDescent="0.2"/>
    <row r="1555" x14ac:dyDescent="0.2"/>
    <row r="1556" x14ac:dyDescent="0.2"/>
    <row r="1557" x14ac:dyDescent="0.2"/>
    <row r="1558" x14ac:dyDescent="0.2"/>
    <row r="1559" x14ac:dyDescent="0.2"/>
    <row r="1560" x14ac:dyDescent="0.2"/>
    <row r="1561" x14ac:dyDescent="0.2"/>
    <row r="1562" x14ac:dyDescent="0.2"/>
    <row r="1563" x14ac:dyDescent="0.2"/>
    <row r="1564" x14ac:dyDescent="0.2"/>
    <row r="1565" x14ac:dyDescent="0.2"/>
    <row r="1566" x14ac:dyDescent="0.2"/>
    <row r="1567" x14ac:dyDescent="0.2"/>
    <row r="1568" x14ac:dyDescent="0.2"/>
    <row r="1569" x14ac:dyDescent="0.2"/>
    <row r="1570" x14ac:dyDescent="0.2"/>
    <row r="1571" x14ac:dyDescent="0.2"/>
    <row r="1572" x14ac:dyDescent="0.2"/>
    <row r="1573" x14ac:dyDescent="0.2"/>
    <row r="1574" x14ac:dyDescent="0.2"/>
    <row r="1575" x14ac:dyDescent="0.2"/>
    <row r="1576" x14ac:dyDescent="0.2"/>
    <row r="1577" x14ac:dyDescent="0.2"/>
    <row r="1578" x14ac:dyDescent="0.2"/>
    <row r="1579" x14ac:dyDescent="0.2"/>
    <row r="1580" x14ac:dyDescent="0.2"/>
    <row r="1581" x14ac:dyDescent="0.2"/>
    <row r="1582" x14ac:dyDescent="0.2"/>
    <row r="1583" x14ac:dyDescent="0.2"/>
    <row r="1584" x14ac:dyDescent="0.2"/>
    <row r="1585" x14ac:dyDescent="0.2"/>
    <row r="1586" x14ac:dyDescent="0.2"/>
    <row r="1587" x14ac:dyDescent="0.2"/>
    <row r="1588" x14ac:dyDescent="0.2"/>
    <row r="1589" x14ac:dyDescent="0.2"/>
    <row r="1590" x14ac:dyDescent="0.2"/>
    <row r="1591" x14ac:dyDescent="0.2"/>
    <row r="1592" x14ac:dyDescent="0.2"/>
    <row r="1593" x14ac:dyDescent="0.2"/>
    <row r="1594" x14ac:dyDescent="0.2"/>
    <row r="1595" x14ac:dyDescent="0.2"/>
    <row r="1596" x14ac:dyDescent="0.2"/>
    <row r="1597" x14ac:dyDescent="0.2"/>
    <row r="1598" x14ac:dyDescent="0.2"/>
    <row r="1599" x14ac:dyDescent="0.2"/>
    <row r="1600" x14ac:dyDescent="0.2"/>
    <row r="1601" x14ac:dyDescent="0.2"/>
    <row r="1602" x14ac:dyDescent="0.2"/>
    <row r="1603" x14ac:dyDescent="0.2"/>
    <row r="1604" x14ac:dyDescent="0.2"/>
    <row r="1605" x14ac:dyDescent="0.2"/>
    <row r="1606" x14ac:dyDescent="0.2"/>
    <row r="1607" x14ac:dyDescent="0.2"/>
    <row r="1608" x14ac:dyDescent="0.2"/>
    <row r="1609" x14ac:dyDescent="0.2"/>
    <row r="1610" x14ac:dyDescent="0.2"/>
    <row r="1611" x14ac:dyDescent="0.2"/>
    <row r="1612" x14ac:dyDescent="0.2"/>
    <row r="1613" x14ac:dyDescent="0.2"/>
    <row r="1614" x14ac:dyDescent="0.2"/>
    <row r="1615" x14ac:dyDescent="0.2"/>
    <row r="1616" x14ac:dyDescent="0.2"/>
    <row r="1617" x14ac:dyDescent="0.2"/>
    <row r="1618" x14ac:dyDescent="0.2"/>
    <row r="1619" x14ac:dyDescent="0.2"/>
    <row r="1620" x14ac:dyDescent="0.2"/>
    <row r="1621" x14ac:dyDescent="0.2"/>
    <row r="1622" x14ac:dyDescent="0.2"/>
    <row r="1623" x14ac:dyDescent="0.2"/>
    <row r="1624" x14ac:dyDescent="0.2"/>
    <row r="1625" x14ac:dyDescent="0.2"/>
    <row r="1626" x14ac:dyDescent="0.2"/>
    <row r="1627" x14ac:dyDescent="0.2"/>
    <row r="1628" x14ac:dyDescent="0.2"/>
    <row r="1629" x14ac:dyDescent="0.2"/>
    <row r="1630" x14ac:dyDescent="0.2"/>
    <row r="1631" x14ac:dyDescent="0.2"/>
    <row r="1632" x14ac:dyDescent="0.2"/>
    <row r="1633" x14ac:dyDescent="0.2"/>
    <row r="1634" x14ac:dyDescent="0.2"/>
    <row r="1635" x14ac:dyDescent="0.2"/>
    <row r="1636" x14ac:dyDescent="0.2"/>
    <row r="1637" x14ac:dyDescent="0.2"/>
    <row r="1638" x14ac:dyDescent="0.2"/>
    <row r="1639" x14ac:dyDescent="0.2"/>
    <row r="1640" x14ac:dyDescent="0.2"/>
    <row r="1641" x14ac:dyDescent="0.2"/>
    <row r="1642" x14ac:dyDescent="0.2"/>
    <row r="1643" x14ac:dyDescent="0.2"/>
    <row r="1644" x14ac:dyDescent="0.2"/>
    <row r="1645" x14ac:dyDescent="0.2"/>
    <row r="1646" x14ac:dyDescent="0.2"/>
    <row r="1647" x14ac:dyDescent="0.2"/>
    <row r="1648" x14ac:dyDescent="0.2"/>
    <row r="1649" x14ac:dyDescent="0.2"/>
    <row r="1650" x14ac:dyDescent="0.2"/>
    <row r="1651" x14ac:dyDescent="0.2"/>
    <row r="1652" x14ac:dyDescent="0.2"/>
    <row r="1653" x14ac:dyDescent="0.2"/>
    <row r="1654" x14ac:dyDescent="0.2"/>
    <row r="1655" x14ac:dyDescent="0.2"/>
    <row r="1656" x14ac:dyDescent="0.2"/>
    <row r="1657" x14ac:dyDescent="0.2"/>
    <row r="1658" x14ac:dyDescent="0.2"/>
    <row r="1659" x14ac:dyDescent="0.2"/>
    <row r="1660" x14ac:dyDescent="0.2"/>
    <row r="1661" x14ac:dyDescent="0.2"/>
    <row r="1662" x14ac:dyDescent="0.2"/>
    <row r="1663" x14ac:dyDescent="0.2"/>
    <row r="1664" x14ac:dyDescent="0.2"/>
    <row r="1665" x14ac:dyDescent="0.2"/>
    <row r="1666" x14ac:dyDescent="0.2"/>
    <row r="1667" x14ac:dyDescent="0.2"/>
    <row r="1668" x14ac:dyDescent="0.2"/>
    <row r="1669" x14ac:dyDescent="0.2"/>
    <row r="1670" x14ac:dyDescent="0.2"/>
    <row r="1671" x14ac:dyDescent="0.2"/>
    <row r="1672" x14ac:dyDescent="0.2"/>
    <row r="1673" x14ac:dyDescent="0.2"/>
    <row r="1674" x14ac:dyDescent="0.2"/>
    <row r="1675" x14ac:dyDescent="0.2"/>
    <row r="1676" x14ac:dyDescent="0.2"/>
    <row r="1677" x14ac:dyDescent="0.2"/>
    <row r="1678" x14ac:dyDescent="0.2"/>
    <row r="1679" x14ac:dyDescent="0.2"/>
    <row r="1680" x14ac:dyDescent="0.2"/>
    <row r="1681" x14ac:dyDescent="0.2"/>
    <row r="1682" x14ac:dyDescent="0.2"/>
    <row r="1683" x14ac:dyDescent="0.2"/>
    <row r="1684" x14ac:dyDescent="0.2"/>
    <row r="1685" x14ac:dyDescent="0.2"/>
    <row r="1686" x14ac:dyDescent="0.2"/>
    <row r="1687" x14ac:dyDescent="0.2"/>
    <row r="1688" x14ac:dyDescent="0.2"/>
    <row r="1689" x14ac:dyDescent="0.2"/>
    <row r="1690" x14ac:dyDescent="0.2"/>
    <row r="1691" x14ac:dyDescent="0.2"/>
    <row r="1692" x14ac:dyDescent="0.2"/>
    <row r="1693" x14ac:dyDescent="0.2"/>
    <row r="1694" x14ac:dyDescent="0.2"/>
    <row r="1695" x14ac:dyDescent="0.2"/>
    <row r="1696" x14ac:dyDescent="0.2"/>
    <row r="1697" x14ac:dyDescent="0.2"/>
    <row r="1698" x14ac:dyDescent="0.2"/>
    <row r="1699" x14ac:dyDescent="0.2"/>
    <row r="1700" x14ac:dyDescent="0.2"/>
    <row r="1701" x14ac:dyDescent="0.2"/>
    <row r="1702" x14ac:dyDescent="0.2"/>
    <row r="1703" x14ac:dyDescent="0.2"/>
    <row r="1704" x14ac:dyDescent="0.2"/>
    <row r="1705" x14ac:dyDescent="0.2"/>
    <row r="1706" x14ac:dyDescent="0.2"/>
    <row r="1707" x14ac:dyDescent="0.2"/>
    <row r="1708" x14ac:dyDescent="0.2"/>
    <row r="1709" x14ac:dyDescent="0.2"/>
    <row r="1710" x14ac:dyDescent="0.2"/>
    <row r="1711" x14ac:dyDescent="0.2"/>
    <row r="1712" x14ac:dyDescent="0.2"/>
    <row r="1713" x14ac:dyDescent="0.2"/>
    <row r="1714" x14ac:dyDescent="0.2"/>
    <row r="1715" x14ac:dyDescent="0.2"/>
    <row r="1716" x14ac:dyDescent="0.2"/>
    <row r="1717" x14ac:dyDescent="0.2"/>
    <row r="1718" x14ac:dyDescent="0.2"/>
    <row r="1719" x14ac:dyDescent="0.2"/>
    <row r="1720" x14ac:dyDescent="0.2"/>
    <row r="1721" x14ac:dyDescent="0.2"/>
    <row r="1722" x14ac:dyDescent="0.2"/>
    <row r="1723" x14ac:dyDescent="0.2"/>
    <row r="1724" x14ac:dyDescent="0.2"/>
    <row r="1725" x14ac:dyDescent="0.2"/>
    <row r="1726" x14ac:dyDescent="0.2"/>
    <row r="1727" x14ac:dyDescent="0.2"/>
    <row r="1728" x14ac:dyDescent="0.2"/>
    <row r="1729" x14ac:dyDescent="0.2"/>
    <row r="1730" x14ac:dyDescent="0.2"/>
    <row r="1731" x14ac:dyDescent="0.2"/>
    <row r="1732" x14ac:dyDescent="0.2"/>
    <row r="1733" x14ac:dyDescent="0.2"/>
    <row r="1734" x14ac:dyDescent="0.2"/>
    <row r="1735" x14ac:dyDescent="0.2"/>
    <row r="1736" x14ac:dyDescent="0.2"/>
    <row r="1737" x14ac:dyDescent="0.2"/>
    <row r="1738" x14ac:dyDescent="0.2"/>
    <row r="1739" x14ac:dyDescent="0.2"/>
    <row r="1740" x14ac:dyDescent="0.2"/>
    <row r="1741" x14ac:dyDescent="0.2"/>
    <row r="1742" x14ac:dyDescent="0.2"/>
    <row r="1743" x14ac:dyDescent="0.2"/>
    <row r="1744" x14ac:dyDescent="0.2"/>
    <row r="1745" x14ac:dyDescent="0.2"/>
    <row r="1746" x14ac:dyDescent="0.2"/>
    <row r="1747" x14ac:dyDescent="0.2"/>
    <row r="1748" x14ac:dyDescent="0.2"/>
    <row r="1749" x14ac:dyDescent="0.2"/>
    <row r="1750" x14ac:dyDescent="0.2"/>
    <row r="1751" x14ac:dyDescent="0.2"/>
    <row r="1752" x14ac:dyDescent="0.2"/>
    <row r="1753" x14ac:dyDescent="0.2"/>
    <row r="1754" x14ac:dyDescent="0.2"/>
    <row r="1755" x14ac:dyDescent="0.2"/>
    <row r="1756" x14ac:dyDescent="0.2"/>
    <row r="1757" x14ac:dyDescent="0.2"/>
    <row r="1758" x14ac:dyDescent="0.2"/>
    <row r="1759" x14ac:dyDescent="0.2"/>
    <row r="1760" x14ac:dyDescent="0.2"/>
    <row r="1761" x14ac:dyDescent="0.2"/>
    <row r="1762" x14ac:dyDescent="0.2"/>
    <row r="1763" x14ac:dyDescent="0.2"/>
    <row r="1764" x14ac:dyDescent="0.2"/>
    <row r="1765" x14ac:dyDescent="0.2"/>
    <row r="1766" x14ac:dyDescent="0.2"/>
    <row r="1767" x14ac:dyDescent="0.2"/>
    <row r="1768" x14ac:dyDescent="0.2"/>
    <row r="1769" x14ac:dyDescent="0.2"/>
    <row r="1770" x14ac:dyDescent="0.2"/>
    <row r="1771" x14ac:dyDescent="0.2"/>
    <row r="1772" x14ac:dyDescent="0.2"/>
    <row r="1773" x14ac:dyDescent="0.2"/>
    <row r="1774" x14ac:dyDescent="0.2"/>
    <row r="1775" x14ac:dyDescent="0.2"/>
    <row r="1776" x14ac:dyDescent="0.2"/>
    <row r="1777" x14ac:dyDescent="0.2"/>
    <row r="1778" x14ac:dyDescent="0.2"/>
    <row r="1779" x14ac:dyDescent="0.2"/>
    <row r="1780" x14ac:dyDescent="0.2"/>
    <row r="1781" x14ac:dyDescent="0.2"/>
    <row r="1782" x14ac:dyDescent="0.2"/>
    <row r="1783" x14ac:dyDescent="0.2"/>
    <row r="1784" x14ac:dyDescent="0.2"/>
    <row r="1785" x14ac:dyDescent="0.2"/>
    <row r="1786" x14ac:dyDescent="0.2"/>
    <row r="1787" x14ac:dyDescent="0.2"/>
    <row r="1788" x14ac:dyDescent="0.2"/>
    <row r="1789" x14ac:dyDescent="0.2"/>
    <row r="1790" x14ac:dyDescent="0.2"/>
    <row r="1791" x14ac:dyDescent="0.2"/>
    <row r="1792" x14ac:dyDescent="0.2"/>
    <row r="1793" x14ac:dyDescent="0.2"/>
    <row r="1794" x14ac:dyDescent="0.2"/>
    <row r="1795" x14ac:dyDescent="0.2"/>
    <row r="1796" x14ac:dyDescent="0.2"/>
    <row r="1797" x14ac:dyDescent="0.2"/>
    <row r="1798" x14ac:dyDescent="0.2"/>
    <row r="1799" x14ac:dyDescent="0.2"/>
    <row r="1800" x14ac:dyDescent="0.2"/>
    <row r="1801" x14ac:dyDescent="0.2"/>
    <row r="1802" x14ac:dyDescent="0.2"/>
    <row r="1803" x14ac:dyDescent="0.2"/>
    <row r="1804" x14ac:dyDescent="0.2"/>
    <row r="1805" x14ac:dyDescent="0.2"/>
    <row r="1806" x14ac:dyDescent="0.2"/>
    <row r="1807" x14ac:dyDescent="0.2"/>
    <row r="1808" x14ac:dyDescent="0.2"/>
    <row r="1809" x14ac:dyDescent="0.2"/>
    <row r="1810" x14ac:dyDescent="0.2"/>
    <row r="1811" x14ac:dyDescent="0.2"/>
    <row r="1812" x14ac:dyDescent="0.2"/>
    <row r="1813" x14ac:dyDescent="0.2"/>
    <row r="1814" x14ac:dyDescent="0.2"/>
    <row r="1815" x14ac:dyDescent="0.2"/>
    <row r="1816" x14ac:dyDescent="0.2"/>
    <row r="1817" x14ac:dyDescent="0.2"/>
    <row r="1818" x14ac:dyDescent="0.2"/>
    <row r="1819" x14ac:dyDescent="0.2"/>
    <row r="1820" x14ac:dyDescent="0.2"/>
    <row r="1821" x14ac:dyDescent="0.2"/>
    <row r="1822" x14ac:dyDescent="0.2"/>
    <row r="1823" x14ac:dyDescent="0.2"/>
    <row r="1824" x14ac:dyDescent="0.2"/>
    <row r="1825" x14ac:dyDescent="0.2"/>
    <row r="1826" x14ac:dyDescent="0.2"/>
    <row r="1827" x14ac:dyDescent="0.2"/>
    <row r="1828" x14ac:dyDescent="0.2"/>
    <row r="1829" x14ac:dyDescent="0.2"/>
    <row r="1830" x14ac:dyDescent="0.2"/>
    <row r="1831" x14ac:dyDescent="0.2"/>
    <row r="1832" x14ac:dyDescent="0.2"/>
    <row r="1833" x14ac:dyDescent="0.2"/>
    <row r="1834" x14ac:dyDescent="0.2"/>
    <row r="1835" x14ac:dyDescent="0.2"/>
    <row r="1836" x14ac:dyDescent="0.2"/>
    <row r="1837" x14ac:dyDescent="0.2"/>
    <row r="1838" x14ac:dyDescent="0.2"/>
    <row r="1839" x14ac:dyDescent="0.2"/>
    <row r="1840" x14ac:dyDescent="0.2"/>
    <row r="1841" x14ac:dyDescent="0.2"/>
    <row r="1842" x14ac:dyDescent="0.2"/>
    <row r="1843" x14ac:dyDescent="0.2"/>
    <row r="1844" x14ac:dyDescent="0.2"/>
    <row r="1845" x14ac:dyDescent="0.2"/>
    <row r="1846" x14ac:dyDescent="0.2"/>
    <row r="1847" x14ac:dyDescent="0.2"/>
    <row r="1848" x14ac:dyDescent="0.2"/>
    <row r="1849" x14ac:dyDescent="0.2"/>
    <row r="1850" x14ac:dyDescent="0.2"/>
    <row r="1851" x14ac:dyDescent="0.2"/>
    <row r="1852" x14ac:dyDescent="0.2"/>
    <row r="1853" x14ac:dyDescent="0.2"/>
    <row r="1854" x14ac:dyDescent="0.2"/>
    <row r="1855" x14ac:dyDescent="0.2"/>
    <row r="1856" x14ac:dyDescent="0.2"/>
    <row r="1857" x14ac:dyDescent="0.2"/>
    <row r="1858" x14ac:dyDescent="0.2"/>
    <row r="1859" x14ac:dyDescent="0.2"/>
    <row r="1860" x14ac:dyDescent="0.2"/>
    <row r="1861" x14ac:dyDescent="0.2"/>
    <row r="1862" x14ac:dyDescent="0.2"/>
    <row r="1863" x14ac:dyDescent="0.2"/>
    <row r="1864" x14ac:dyDescent="0.2"/>
    <row r="1865" x14ac:dyDescent="0.2"/>
    <row r="1866" x14ac:dyDescent="0.2"/>
    <row r="1867" x14ac:dyDescent="0.2"/>
    <row r="1868" x14ac:dyDescent="0.2"/>
    <row r="1869" x14ac:dyDescent="0.2"/>
    <row r="1870" x14ac:dyDescent="0.2"/>
    <row r="1871" x14ac:dyDescent="0.2"/>
    <row r="1872" x14ac:dyDescent="0.2"/>
    <row r="1873" x14ac:dyDescent="0.2"/>
    <row r="1874" x14ac:dyDescent="0.2"/>
    <row r="1875" x14ac:dyDescent="0.2"/>
    <row r="1876" x14ac:dyDescent="0.2"/>
    <row r="1877" x14ac:dyDescent="0.2"/>
    <row r="1878" x14ac:dyDescent="0.2"/>
    <row r="1879" x14ac:dyDescent="0.2"/>
    <row r="1880" x14ac:dyDescent="0.2"/>
    <row r="1881" x14ac:dyDescent="0.2"/>
    <row r="1882" x14ac:dyDescent="0.2"/>
    <row r="1883" x14ac:dyDescent="0.2"/>
    <row r="1884" x14ac:dyDescent="0.2"/>
    <row r="1885" x14ac:dyDescent="0.2"/>
    <row r="1886" x14ac:dyDescent="0.2"/>
    <row r="1887" x14ac:dyDescent="0.2"/>
    <row r="1888" x14ac:dyDescent="0.2"/>
    <row r="1889" x14ac:dyDescent="0.2"/>
    <row r="1890" x14ac:dyDescent="0.2"/>
    <row r="1891" x14ac:dyDescent="0.2"/>
    <row r="1892" x14ac:dyDescent="0.2"/>
    <row r="1893" x14ac:dyDescent="0.2"/>
    <row r="1894" x14ac:dyDescent="0.2"/>
    <row r="1895" x14ac:dyDescent="0.2"/>
    <row r="1896" x14ac:dyDescent="0.2"/>
    <row r="1897" x14ac:dyDescent="0.2"/>
    <row r="1898" x14ac:dyDescent="0.2"/>
    <row r="1899" x14ac:dyDescent="0.2"/>
    <row r="1900" x14ac:dyDescent="0.2"/>
    <row r="1901" x14ac:dyDescent="0.2"/>
    <row r="1902" x14ac:dyDescent="0.2"/>
    <row r="1903" x14ac:dyDescent="0.2"/>
    <row r="1904" x14ac:dyDescent="0.2"/>
    <row r="1905" x14ac:dyDescent="0.2"/>
    <row r="1906" x14ac:dyDescent="0.2"/>
    <row r="1907" x14ac:dyDescent="0.2"/>
    <row r="1908" x14ac:dyDescent="0.2"/>
    <row r="1909" x14ac:dyDescent="0.2"/>
    <row r="1910" x14ac:dyDescent="0.2"/>
    <row r="1911" x14ac:dyDescent="0.2"/>
    <row r="1912" x14ac:dyDescent="0.2"/>
    <row r="1913" x14ac:dyDescent="0.2"/>
    <row r="1914" x14ac:dyDescent="0.2"/>
    <row r="1915" x14ac:dyDescent="0.2"/>
    <row r="1916" x14ac:dyDescent="0.2"/>
    <row r="1917" x14ac:dyDescent="0.2"/>
    <row r="1918" x14ac:dyDescent="0.2"/>
    <row r="1919" x14ac:dyDescent="0.2"/>
    <row r="1920" x14ac:dyDescent="0.2"/>
    <row r="1921" x14ac:dyDescent="0.2"/>
    <row r="1922" x14ac:dyDescent="0.2"/>
    <row r="1923" x14ac:dyDescent="0.2"/>
    <row r="1924" x14ac:dyDescent="0.2"/>
    <row r="1925" x14ac:dyDescent="0.2"/>
    <row r="1926" x14ac:dyDescent="0.2"/>
    <row r="1927" x14ac:dyDescent="0.2"/>
    <row r="1928" x14ac:dyDescent="0.2"/>
    <row r="1929" x14ac:dyDescent="0.2"/>
    <row r="1930" x14ac:dyDescent="0.2"/>
    <row r="1931" x14ac:dyDescent="0.2"/>
    <row r="1932" x14ac:dyDescent="0.2"/>
    <row r="1933" x14ac:dyDescent="0.2"/>
    <row r="1934" x14ac:dyDescent="0.2"/>
    <row r="1935" x14ac:dyDescent="0.2"/>
    <row r="1936" x14ac:dyDescent="0.2"/>
    <row r="1937" x14ac:dyDescent="0.2"/>
    <row r="1938" x14ac:dyDescent="0.2"/>
    <row r="1939" x14ac:dyDescent="0.2"/>
    <row r="1940" x14ac:dyDescent="0.2"/>
    <row r="1941" x14ac:dyDescent="0.2"/>
    <row r="1942" x14ac:dyDescent="0.2"/>
    <row r="1943" x14ac:dyDescent="0.2"/>
    <row r="1944" x14ac:dyDescent="0.2"/>
    <row r="1945" x14ac:dyDescent="0.2"/>
    <row r="1946" x14ac:dyDescent="0.2"/>
    <row r="1947" x14ac:dyDescent="0.2"/>
    <row r="1948" x14ac:dyDescent="0.2"/>
    <row r="1949" x14ac:dyDescent="0.2"/>
    <row r="1950" x14ac:dyDescent="0.2"/>
    <row r="1951" x14ac:dyDescent="0.2"/>
    <row r="1952" x14ac:dyDescent="0.2"/>
    <row r="1953" x14ac:dyDescent="0.2"/>
    <row r="1954" x14ac:dyDescent="0.2"/>
    <row r="1955" x14ac:dyDescent="0.2"/>
    <row r="1956" x14ac:dyDescent="0.2"/>
    <row r="1957" x14ac:dyDescent="0.2"/>
    <row r="1958" x14ac:dyDescent="0.2"/>
    <row r="1959" x14ac:dyDescent="0.2"/>
    <row r="1960" x14ac:dyDescent="0.2"/>
    <row r="1961" x14ac:dyDescent="0.2"/>
    <row r="1962" x14ac:dyDescent="0.2"/>
    <row r="1963" x14ac:dyDescent="0.2"/>
    <row r="1964" x14ac:dyDescent="0.2"/>
    <row r="1965" x14ac:dyDescent="0.2"/>
    <row r="1966" x14ac:dyDescent="0.2"/>
    <row r="1967" x14ac:dyDescent="0.2"/>
    <row r="1968" x14ac:dyDescent="0.2"/>
    <row r="1969" x14ac:dyDescent="0.2"/>
    <row r="1970" x14ac:dyDescent="0.2"/>
    <row r="1971" x14ac:dyDescent="0.2"/>
    <row r="1972" x14ac:dyDescent="0.2"/>
    <row r="1973" x14ac:dyDescent="0.2"/>
    <row r="1974" x14ac:dyDescent="0.2"/>
    <row r="1975" x14ac:dyDescent="0.2"/>
    <row r="1976" x14ac:dyDescent="0.2"/>
    <row r="1977" x14ac:dyDescent="0.2"/>
    <row r="1978" x14ac:dyDescent="0.2"/>
    <row r="1979" x14ac:dyDescent="0.2"/>
    <row r="1980" x14ac:dyDescent="0.2"/>
    <row r="1981" x14ac:dyDescent="0.2"/>
    <row r="1982" x14ac:dyDescent="0.2"/>
    <row r="1983" x14ac:dyDescent="0.2"/>
    <row r="1984" x14ac:dyDescent="0.2"/>
    <row r="1985" x14ac:dyDescent="0.2"/>
    <row r="1986" x14ac:dyDescent="0.2"/>
    <row r="1987" x14ac:dyDescent="0.2"/>
    <row r="1988" x14ac:dyDescent="0.2"/>
    <row r="1989" x14ac:dyDescent="0.2"/>
    <row r="1990" x14ac:dyDescent="0.2"/>
    <row r="1991" x14ac:dyDescent="0.2"/>
    <row r="1992" x14ac:dyDescent="0.2"/>
    <row r="1993" x14ac:dyDescent="0.2"/>
    <row r="1994" x14ac:dyDescent="0.2"/>
    <row r="1995" x14ac:dyDescent="0.2"/>
    <row r="1996" x14ac:dyDescent="0.2"/>
    <row r="1997" x14ac:dyDescent="0.2"/>
    <row r="1998" x14ac:dyDescent="0.2"/>
    <row r="1999" x14ac:dyDescent="0.2"/>
    <row r="2000" x14ac:dyDescent="0.2"/>
    <row r="2001" x14ac:dyDescent="0.2"/>
    <row r="2002" x14ac:dyDescent="0.2"/>
    <row r="2003" x14ac:dyDescent="0.2"/>
    <row r="2004" x14ac:dyDescent="0.2"/>
    <row r="2005" x14ac:dyDescent="0.2"/>
    <row r="2006" x14ac:dyDescent="0.2"/>
    <row r="2007" x14ac:dyDescent="0.2"/>
    <row r="2008" x14ac:dyDescent="0.2"/>
    <row r="2009" x14ac:dyDescent="0.2"/>
    <row r="2010" x14ac:dyDescent="0.2"/>
    <row r="2011" x14ac:dyDescent="0.2"/>
    <row r="2012" x14ac:dyDescent="0.2"/>
    <row r="2013" x14ac:dyDescent="0.2"/>
    <row r="2014" x14ac:dyDescent="0.2"/>
    <row r="2015" x14ac:dyDescent="0.2"/>
    <row r="2016" x14ac:dyDescent="0.2"/>
    <row r="2017" x14ac:dyDescent="0.2"/>
    <row r="2018" x14ac:dyDescent="0.2"/>
    <row r="2019" x14ac:dyDescent="0.2"/>
    <row r="2020" x14ac:dyDescent="0.2"/>
    <row r="2021" x14ac:dyDescent="0.2"/>
    <row r="2022" x14ac:dyDescent="0.2"/>
    <row r="2023" x14ac:dyDescent="0.2"/>
    <row r="2024" x14ac:dyDescent="0.2"/>
    <row r="2025" x14ac:dyDescent="0.2"/>
    <row r="2026" x14ac:dyDescent="0.2"/>
    <row r="2027" x14ac:dyDescent="0.2"/>
    <row r="2028" x14ac:dyDescent="0.2"/>
    <row r="2029" x14ac:dyDescent="0.2"/>
    <row r="2030" x14ac:dyDescent="0.2"/>
    <row r="2031" x14ac:dyDescent="0.2"/>
    <row r="2032" x14ac:dyDescent="0.2"/>
    <row r="2033" x14ac:dyDescent="0.2"/>
    <row r="2034" x14ac:dyDescent="0.2"/>
    <row r="2035" x14ac:dyDescent="0.2"/>
    <row r="2036" x14ac:dyDescent="0.2"/>
    <row r="2037" x14ac:dyDescent="0.2"/>
    <row r="2038" x14ac:dyDescent="0.2"/>
    <row r="2039" x14ac:dyDescent="0.2"/>
    <row r="2040" x14ac:dyDescent="0.2"/>
    <row r="2041" x14ac:dyDescent="0.2"/>
    <row r="2042" x14ac:dyDescent="0.2"/>
    <row r="2043" x14ac:dyDescent="0.2"/>
    <row r="2044" x14ac:dyDescent="0.2"/>
    <row r="2045" x14ac:dyDescent="0.2"/>
    <row r="2046" x14ac:dyDescent="0.2"/>
    <row r="2047" x14ac:dyDescent="0.2"/>
    <row r="2048" x14ac:dyDescent="0.2"/>
    <row r="2049" x14ac:dyDescent="0.2"/>
    <row r="2050" x14ac:dyDescent="0.2"/>
    <row r="2051" x14ac:dyDescent="0.2"/>
    <row r="2052" x14ac:dyDescent="0.2"/>
    <row r="2053" x14ac:dyDescent="0.2"/>
    <row r="2054" x14ac:dyDescent="0.2"/>
    <row r="2055" x14ac:dyDescent="0.2"/>
    <row r="2056" x14ac:dyDescent="0.2"/>
    <row r="2057" x14ac:dyDescent="0.2"/>
    <row r="2058" x14ac:dyDescent="0.2"/>
    <row r="2059" x14ac:dyDescent="0.2"/>
    <row r="2060" x14ac:dyDescent="0.2"/>
    <row r="2061" x14ac:dyDescent="0.2"/>
    <row r="2062" x14ac:dyDescent="0.2"/>
    <row r="2063" x14ac:dyDescent="0.2"/>
    <row r="2064" x14ac:dyDescent="0.2"/>
    <row r="2065" x14ac:dyDescent="0.2"/>
    <row r="2066" x14ac:dyDescent="0.2"/>
    <row r="2067" x14ac:dyDescent="0.2"/>
    <row r="2068" x14ac:dyDescent="0.2"/>
    <row r="2069" x14ac:dyDescent="0.2"/>
    <row r="2070" x14ac:dyDescent="0.2"/>
    <row r="2071" x14ac:dyDescent="0.2"/>
    <row r="2072" x14ac:dyDescent="0.2"/>
    <row r="2073" x14ac:dyDescent="0.2"/>
    <row r="2074" x14ac:dyDescent="0.2"/>
    <row r="2075" x14ac:dyDescent="0.2"/>
    <row r="2076" x14ac:dyDescent="0.2"/>
    <row r="2077" x14ac:dyDescent="0.2"/>
    <row r="2078" x14ac:dyDescent="0.2"/>
    <row r="2079" x14ac:dyDescent="0.2"/>
    <row r="2080" x14ac:dyDescent="0.2"/>
    <row r="2081" x14ac:dyDescent="0.2"/>
    <row r="2082" x14ac:dyDescent="0.2"/>
    <row r="2083" x14ac:dyDescent="0.2"/>
    <row r="2084" x14ac:dyDescent="0.2"/>
    <row r="2085" x14ac:dyDescent="0.2"/>
    <row r="2086" x14ac:dyDescent="0.2"/>
    <row r="2087" x14ac:dyDescent="0.2"/>
    <row r="2088" x14ac:dyDescent="0.2"/>
    <row r="2089" x14ac:dyDescent="0.2"/>
    <row r="2090" x14ac:dyDescent="0.2"/>
    <row r="2091" x14ac:dyDescent="0.2"/>
    <row r="2092" x14ac:dyDescent="0.2"/>
    <row r="2093" x14ac:dyDescent="0.2"/>
    <row r="2094" x14ac:dyDescent="0.2"/>
    <row r="2095" x14ac:dyDescent="0.2"/>
    <row r="2096" x14ac:dyDescent="0.2"/>
    <row r="2097" x14ac:dyDescent="0.2"/>
    <row r="2098" x14ac:dyDescent="0.2"/>
    <row r="2099" x14ac:dyDescent="0.2"/>
    <row r="2100" x14ac:dyDescent="0.2"/>
    <row r="2101" x14ac:dyDescent="0.2"/>
    <row r="2102" x14ac:dyDescent="0.2"/>
    <row r="2103" x14ac:dyDescent="0.2"/>
    <row r="2104" x14ac:dyDescent="0.2"/>
    <row r="2105" x14ac:dyDescent="0.2"/>
    <row r="2106" x14ac:dyDescent="0.2"/>
    <row r="2107" x14ac:dyDescent="0.2"/>
    <row r="2108" x14ac:dyDescent="0.2"/>
    <row r="2109" x14ac:dyDescent="0.2"/>
    <row r="2110" x14ac:dyDescent="0.2"/>
    <row r="2111" x14ac:dyDescent="0.2"/>
    <row r="2112" x14ac:dyDescent="0.2"/>
    <row r="2113" x14ac:dyDescent="0.2"/>
    <row r="2114" x14ac:dyDescent="0.2"/>
    <row r="2115" x14ac:dyDescent="0.2"/>
    <row r="2116" x14ac:dyDescent="0.2"/>
    <row r="2117" x14ac:dyDescent="0.2"/>
    <row r="2118" x14ac:dyDescent="0.2"/>
    <row r="2119" x14ac:dyDescent="0.2"/>
    <row r="2120" x14ac:dyDescent="0.2"/>
    <row r="2121" x14ac:dyDescent="0.2"/>
    <row r="2122" x14ac:dyDescent="0.2"/>
    <row r="2123" x14ac:dyDescent="0.2"/>
    <row r="2124" x14ac:dyDescent="0.2"/>
    <row r="2125" x14ac:dyDescent="0.2"/>
    <row r="2126" x14ac:dyDescent="0.2"/>
    <row r="2127" x14ac:dyDescent="0.2"/>
    <row r="2128" x14ac:dyDescent="0.2"/>
    <row r="2129" x14ac:dyDescent="0.2"/>
    <row r="2130" x14ac:dyDescent="0.2"/>
    <row r="2131" x14ac:dyDescent="0.2"/>
    <row r="2132" x14ac:dyDescent="0.2"/>
    <row r="2133" x14ac:dyDescent="0.2"/>
    <row r="2134" x14ac:dyDescent="0.2"/>
    <row r="2135" x14ac:dyDescent="0.2"/>
    <row r="2136" x14ac:dyDescent="0.2"/>
    <row r="2137" x14ac:dyDescent="0.2"/>
    <row r="2138" x14ac:dyDescent="0.2"/>
    <row r="2139" x14ac:dyDescent="0.2"/>
    <row r="2140" x14ac:dyDescent="0.2"/>
    <row r="2141" x14ac:dyDescent="0.2"/>
    <row r="2142" x14ac:dyDescent="0.2"/>
    <row r="2143" x14ac:dyDescent="0.2"/>
    <row r="2144" x14ac:dyDescent="0.2"/>
    <row r="2145" x14ac:dyDescent="0.2"/>
    <row r="2146" x14ac:dyDescent="0.2"/>
    <row r="2147" x14ac:dyDescent="0.2"/>
    <row r="2148" x14ac:dyDescent="0.2"/>
    <row r="2149" x14ac:dyDescent="0.2"/>
    <row r="2150" x14ac:dyDescent="0.2"/>
    <row r="2151" x14ac:dyDescent="0.2"/>
    <row r="2152" x14ac:dyDescent="0.2"/>
    <row r="2153" x14ac:dyDescent="0.2"/>
    <row r="2154" x14ac:dyDescent="0.2"/>
    <row r="2155" x14ac:dyDescent="0.2"/>
    <row r="2156" x14ac:dyDescent="0.2"/>
    <row r="2157" x14ac:dyDescent="0.2"/>
    <row r="2158" x14ac:dyDescent="0.2"/>
    <row r="2159" x14ac:dyDescent="0.2"/>
    <row r="2160" x14ac:dyDescent="0.2"/>
    <row r="2161" x14ac:dyDescent="0.2"/>
    <row r="2162" x14ac:dyDescent="0.2"/>
    <row r="2163" x14ac:dyDescent="0.2"/>
    <row r="2164" x14ac:dyDescent="0.2"/>
    <row r="2165" x14ac:dyDescent="0.2"/>
    <row r="2166" x14ac:dyDescent="0.2"/>
    <row r="2167" x14ac:dyDescent="0.2"/>
    <row r="2168" x14ac:dyDescent="0.2"/>
    <row r="2169" x14ac:dyDescent="0.2"/>
    <row r="2170" x14ac:dyDescent="0.2"/>
    <row r="2171" x14ac:dyDescent="0.2"/>
    <row r="2172" x14ac:dyDescent="0.2"/>
    <row r="2173" x14ac:dyDescent="0.2"/>
    <row r="2174" x14ac:dyDescent="0.2"/>
    <row r="2175" x14ac:dyDescent="0.2"/>
    <row r="2176" x14ac:dyDescent="0.2"/>
    <row r="2177" x14ac:dyDescent="0.2"/>
    <row r="2178" x14ac:dyDescent="0.2"/>
    <row r="2179" x14ac:dyDescent="0.2"/>
    <row r="2180" x14ac:dyDescent="0.2"/>
    <row r="2181" x14ac:dyDescent="0.2"/>
    <row r="2182" x14ac:dyDescent="0.2"/>
    <row r="2183" x14ac:dyDescent="0.2"/>
    <row r="2184" x14ac:dyDescent="0.2"/>
    <row r="2185" x14ac:dyDescent="0.2"/>
    <row r="2186" x14ac:dyDescent="0.2"/>
    <row r="2187" x14ac:dyDescent="0.2"/>
    <row r="2188" x14ac:dyDescent="0.2"/>
    <row r="2189" x14ac:dyDescent="0.2"/>
    <row r="2190" x14ac:dyDescent="0.2"/>
    <row r="2191" x14ac:dyDescent="0.2"/>
    <row r="2192" x14ac:dyDescent="0.2"/>
    <row r="2193" x14ac:dyDescent="0.2"/>
    <row r="2194" x14ac:dyDescent="0.2"/>
    <row r="2195" x14ac:dyDescent="0.2"/>
    <row r="2196" x14ac:dyDescent="0.2"/>
    <row r="2197" x14ac:dyDescent="0.2"/>
    <row r="2198" x14ac:dyDescent="0.2"/>
    <row r="2199" x14ac:dyDescent="0.2"/>
    <row r="2200" x14ac:dyDescent="0.2"/>
    <row r="2201" x14ac:dyDescent="0.2"/>
    <row r="2202" x14ac:dyDescent="0.2"/>
    <row r="2203" x14ac:dyDescent="0.2"/>
    <row r="2204" x14ac:dyDescent="0.2"/>
    <row r="2205" x14ac:dyDescent="0.2"/>
    <row r="2206" x14ac:dyDescent="0.2"/>
    <row r="2207" x14ac:dyDescent="0.2"/>
    <row r="2208" x14ac:dyDescent="0.2"/>
    <row r="2209" x14ac:dyDescent="0.2"/>
    <row r="2210" x14ac:dyDescent="0.2"/>
    <row r="2211" x14ac:dyDescent="0.2"/>
    <row r="2212" x14ac:dyDescent="0.2"/>
    <row r="2213" x14ac:dyDescent="0.2"/>
    <row r="2214" x14ac:dyDescent="0.2"/>
    <row r="2215" x14ac:dyDescent="0.2"/>
    <row r="2216" x14ac:dyDescent="0.2"/>
    <row r="2217" x14ac:dyDescent="0.2"/>
    <row r="2218" x14ac:dyDescent="0.2"/>
    <row r="2219" x14ac:dyDescent="0.2"/>
    <row r="2220" x14ac:dyDescent="0.2"/>
    <row r="2221" x14ac:dyDescent="0.2"/>
    <row r="2222" x14ac:dyDescent="0.2"/>
    <row r="2223" x14ac:dyDescent="0.2"/>
    <row r="2224" x14ac:dyDescent="0.2"/>
    <row r="2225" x14ac:dyDescent="0.2"/>
    <row r="2226" x14ac:dyDescent="0.2"/>
    <row r="2227" x14ac:dyDescent="0.2"/>
    <row r="2228" x14ac:dyDescent="0.2"/>
    <row r="2229" x14ac:dyDescent="0.2"/>
    <row r="2230" x14ac:dyDescent="0.2"/>
    <row r="2231" x14ac:dyDescent="0.2"/>
    <row r="2232" x14ac:dyDescent="0.2"/>
    <row r="2233" x14ac:dyDescent="0.2"/>
    <row r="2234" x14ac:dyDescent="0.2"/>
    <row r="2235" x14ac:dyDescent="0.2"/>
    <row r="2236" x14ac:dyDescent="0.2"/>
    <row r="2237" x14ac:dyDescent="0.2"/>
    <row r="2238" x14ac:dyDescent="0.2"/>
    <row r="2239" x14ac:dyDescent="0.2"/>
    <row r="2240" x14ac:dyDescent="0.2"/>
    <row r="2241" x14ac:dyDescent="0.2"/>
    <row r="2242" x14ac:dyDescent="0.2"/>
    <row r="2243" x14ac:dyDescent="0.2"/>
    <row r="2244" x14ac:dyDescent="0.2"/>
    <row r="2245" x14ac:dyDescent="0.2"/>
    <row r="2246" x14ac:dyDescent="0.2"/>
    <row r="2247" x14ac:dyDescent="0.2"/>
    <row r="2248" x14ac:dyDescent="0.2"/>
    <row r="2249" x14ac:dyDescent="0.2"/>
    <row r="2250" x14ac:dyDescent="0.2"/>
    <row r="2251" x14ac:dyDescent="0.2"/>
    <row r="2252" x14ac:dyDescent="0.2"/>
    <row r="2253" x14ac:dyDescent="0.2"/>
    <row r="2254" x14ac:dyDescent="0.2"/>
    <row r="2255" x14ac:dyDescent="0.2"/>
    <row r="2256" x14ac:dyDescent="0.2"/>
    <row r="2257" x14ac:dyDescent="0.2"/>
    <row r="2258" x14ac:dyDescent="0.2"/>
    <row r="2259" x14ac:dyDescent="0.2"/>
    <row r="2260" x14ac:dyDescent="0.2"/>
    <row r="2261" x14ac:dyDescent="0.2"/>
    <row r="2262" x14ac:dyDescent="0.2"/>
    <row r="2263" x14ac:dyDescent="0.2"/>
    <row r="2264" x14ac:dyDescent="0.2"/>
    <row r="2265" x14ac:dyDescent="0.2"/>
    <row r="2266" x14ac:dyDescent="0.2"/>
    <row r="2267" x14ac:dyDescent="0.2"/>
    <row r="2268" x14ac:dyDescent="0.2"/>
    <row r="2269" x14ac:dyDescent="0.2"/>
    <row r="2270" x14ac:dyDescent="0.2"/>
    <row r="2271" x14ac:dyDescent="0.2"/>
    <row r="2272" x14ac:dyDescent="0.2"/>
    <row r="2273" x14ac:dyDescent="0.2"/>
    <row r="2274" x14ac:dyDescent="0.2"/>
    <row r="2275" x14ac:dyDescent="0.2"/>
    <row r="2276" x14ac:dyDescent="0.2"/>
    <row r="2277" x14ac:dyDescent="0.2"/>
    <row r="2278" x14ac:dyDescent="0.2"/>
    <row r="2279" x14ac:dyDescent="0.2"/>
    <row r="2280" x14ac:dyDescent="0.2"/>
    <row r="2281" x14ac:dyDescent="0.2"/>
    <row r="2282" x14ac:dyDescent="0.2"/>
    <row r="2283" x14ac:dyDescent="0.2"/>
    <row r="2284" x14ac:dyDescent="0.2"/>
    <row r="2285" x14ac:dyDescent="0.2"/>
    <row r="2286" x14ac:dyDescent="0.2"/>
    <row r="2287" x14ac:dyDescent="0.2"/>
    <row r="2288" x14ac:dyDescent="0.2"/>
    <row r="2289" x14ac:dyDescent="0.2"/>
    <row r="2290" x14ac:dyDescent="0.2"/>
    <row r="2291" x14ac:dyDescent="0.2"/>
    <row r="2292" x14ac:dyDescent="0.2"/>
    <row r="2293" x14ac:dyDescent="0.2"/>
    <row r="2294" x14ac:dyDescent="0.2"/>
    <row r="2295" x14ac:dyDescent="0.2"/>
    <row r="2296" x14ac:dyDescent="0.2"/>
    <row r="2297" x14ac:dyDescent="0.2"/>
    <row r="2298" x14ac:dyDescent="0.2"/>
    <row r="2299" x14ac:dyDescent="0.2"/>
    <row r="2300" x14ac:dyDescent="0.2"/>
    <row r="2301" x14ac:dyDescent="0.2"/>
    <row r="2302" x14ac:dyDescent="0.2"/>
    <row r="2303" x14ac:dyDescent="0.2"/>
    <row r="2304" x14ac:dyDescent="0.2"/>
    <row r="2305" x14ac:dyDescent="0.2"/>
    <row r="2306" x14ac:dyDescent="0.2"/>
    <row r="2307" x14ac:dyDescent="0.2"/>
    <row r="2308" x14ac:dyDescent="0.2"/>
    <row r="2309" x14ac:dyDescent="0.2"/>
    <row r="2310" x14ac:dyDescent="0.2"/>
    <row r="2311" x14ac:dyDescent="0.2"/>
    <row r="2312" x14ac:dyDescent="0.2"/>
    <row r="2313" x14ac:dyDescent="0.2"/>
    <row r="2314" x14ac:dyDescent="0.2"/>
    <row r="2315" x14ac:dyDescent="0.2"/>
    <row r="2316" x14ac:dyDescent="0.2"/>
    <row r="2317" x14ac:dyDescent="0.2"/>
    <row r="2318" x14ac:dyDescent="0.2"/>
    <row r="2319" x14ac:dyDescent="0.2"/>
    <row r="2320" x14ac:dyDescent="0.2"/>
    <row r="2321" x14ac:dyDescent="0.2"/>
    <row r="2322" x14ac:dyDescent="0.2"/>
    <row r="2323" x14ac:dyDescent="0.2"/>
    <row r="2324" x14ac:dyDescent="0.2"/>
    <row r="2325" x14ac:dyDescent="0.2"/>
    <row r="2326" x14ac:dyDescent="0.2"/>
    <row r="2327" x14ac:dyDescent="0.2"/>
    <row r="2328" x14ac:dyDescent="0.2"/>
    <row r="2329" x14ac:dyDescent="0.2"/>
    <row r="2330" x14ac:dyDescent="0.2"/>
    <row r="2331" x14ac:dyDescent="0.2"/>
    <row r="2332" x14ac:dyDescent="0.2"/>
    <row r="2333" x14ac:dyDescent="0.2"/>
    <row r="2334" x14ac:dyDescent="0.2"/>
    <row r="2335" x14ac:dyDescent="0.2"/>
    <row r="2336" x14ac:dyDescent="0.2"/>
    <row r="2337" x14ac:dyDescent="0.2"/>
    <row r="2338" x14ac:dyDescent="0.2"/>
    <row r="2339" x14ac:dyDescent="0.2"/>
    <row r="2340" x14ac:dyDescent="0.2"/>
    <row r="2341" x14ac:dyDescent="0.2"/>
    <row r="2342" x14ac:dyDescent="0.2"/>
    <row r="2343" x14ac:dyDescent="0.2"/>
    <row r="2344" x14ac:dyDescent="0.2"/>
    <row r="2345" x14ac:dyDescent="0.2"/>
    <row r="2346" x14ac:dyDescent="0.2"/>
    <row r="2347" x14ac:dyDescent="0.2"/>
    <row r="2348" x14ac:dyDescent="0.2"/>
    <row r="2349" x14ac:dyDescent="0.2"/>
    <row r="2350" x14ac:dyDescent="0.2"/>
    <row r="2351" x14ac:dyDescent="0.2"/>
    <row r="2352" x14ac:dyDescent="0.2"/>
    <row r="2353" x14ac:dyDescent="0.2"/>
    <row r="2354" x14ac:dyDescent="0.2"/>
    <row r="2355" x14ac:dyDescent="0.2"/>
    <row r="2356" x14ac:dyDescent="0.2"/>
    <row r="2357" x14ac:dyDescent="0.2"/>
    <row r="2358" x14ac:dyDescent="0.2"/>
    <row r="2359" x14ac:dyDescent="0.2"/>
    <row r="2360" x14ac:dyDescent="0.2"/>
    <row r="2361" x14ac:dyDescent="0.2"/>
    <row r="2362" x14ac:dyDescent="0.2"/>
    <row r="2363" x14ac:dyDescent="0.2"/>
    <row r="2364" x14ac:dyDescent="0.2"/>
    <row r="2365" x14ac:dyDescent="0.2"/>
    <row r="2366" x14ac:dyDescent="0.2"/>
    <row r="2367" x14ac:dyDescent="0.2"/>
    <row r="2368" x14ac:dyDescent="0.2"/>
    <row r="2369" x14ac:dyDescent="0.2"/>
    <row r="2370" x14ac:dyDescent="0.2"/>
    <row r="2371" x14ac:dyDescent="0.2"/>
    <row r="2372" x14ac:dyDescent="0.2"/>
    <row r="2373" x14ac:dyDescent="0.2"/>
    <row r="2374" x14ac:dyDescent="0.2"/>
    <row r="2375" x14ac:dyDescent="0.2"/>
    <row r="2376" x14ac:dyDescent="0.2"/>
    <row r="2377" x14ac:dyDescent="0.2"/>
    <row r="2378" x14ac:dyDescent="0.2"/>
    <row r="2379" x14ac:dyDescent="0.2"/>
    <row r="2380" x14ac:dyDescent="0.2"/>
    <row r="2381" x14ac:dyDescent="0.2"/>
    <row r="2382" x14ac:dyDescent="0.2"/>
    <row r="2383" x14ac:dyDescent="0.2"/>
    <row r="2384" x14ac:dyDescent="0.2"/>
    <row r="2385" x14ac:dyDescent="0.2"/>
    <row r="2386" x14ac:dyDescent="0.2"/>
    <row r="2387" x14ac:dyDescent="0.2"/>
    <row r="2388" x14ac:dyDescent="0.2"/>
    <row r="2389" x14ac:dyDescent="0.2"/>
    <row r="2390" x14ac:dyDescent="0.2"/>
    <row r="2391" x14ac:dyDescent="0.2"/>
    <row r="2392" x14ac:dyDescent="0.2"/>
    <row r="2393" x14ac:dyDescent="0.2"/>
    <row r="2394" x14ac:dyDescent="0.2"/>
    <row r="2395" x14ac:dyDescent="0.2"/>
    <row r="2396" x14ac:dyDescent="0.2"/>
    <row r="2397" x14ac:dyDescent="0.2"/>
    <row r="2398" x14ac:dyDescent="0.2"/>
    <row r="2399" x14ac:dyDescent="0.2"/>
    <row r="2400" x14ac:dyDescent="0.2"/>
    <row r="2401" x14ac:dyDescent="0.2"/>
    <row r="2402" x14ac:dyDescent="0.2"/>
    <row r="2403" x14ac:dyDescent="0.2"/>
    <row r="2404" x14ac:dyDescent="0.2"/>
    <row r="2405" x14ac:dyDescent="0.2"/>
    <row r="2406" x14ac:dyDescent="0.2"/>
    <row r="2407" x14ac:dyDescent="0.2"/>
    <row r="2408" x14ac:dyDescent="0.2"/>
    <row r="2409" x14ac:dyDescent="0.2"/>
    <row r="2410" x14ac:dyDescent="0.2"/>
    <row r="2411" x14ac:dyDescent="0.2"/>
    <row r="2412" x14ac:dyDescent="0.2"/>
    <row r="2413" x14ac:dyDescent="0.2"/>
    <row r="2414" x14ac:dyDescent="0.2"/>
    <row r="2415" x14ac:dyDescent="0.2"/>
    <row r="2416" x14ac:dyDescent="0.2"/>
    <row r="2417" x14ac:dyDescent="0.2"/>
    <row r="2418" x14ac:dyDescent="0.2"/>
    <row r="2419" x14ac:dyDescent="0.2"/>
    <row r="2420" x14ac:dyDescent="0.2"/>
    <row r="2421" x14ac:dyDescent="0.2"/>
    <row r="2422" x14ac:dyDescent="0.2"/>
    <row r="2423" x14ac:dyDescent="0.2"/>
    <row r="2424" x14ac:dyDescent="0.2"/>
    <row r="2425" x14ac:dyDescent="0.2"/>
    <row r="2426" x14ac:dyDescent="0.2"/>
    <row r="2427" x14ac:dyDescent="0.2"/>
    <row r="2428" x14ac:dyDescent="0.2"/>
    <row r="2429" x14ac:dyDescent="0.2"/>
    <row r="2430" x14ac:dyDescent="0.2"/>
    <row r="2431" x14ac:dyDescent="0.2"/>
    <row r="2432" x14ac:dyDescent="0.2"/>
    <row r="2433" x14ac:dyDescent="0.2"/>
    <row r="2434" x14ac:dyDescent="0.2"/>
    <row r="2435" x14ac:dyDescent="0.2"/>
    <row r="2436" x14ac:dyDescent="0.2"/>
    <row r="2437" x14ac:dyDescent="0.2"/>
    <row r="2438" x14ac:dyDescent="0.2"/>
    <row r="2439" x14ac:dyDescent="0.2"/>
    <row r="2440" x14ac:dyDescent="0.2"/>
    <row r="2441" x14ac:dyDescent="0.2"/>
    <row r="2442" x14ac:dyDescent="0.2"/>
    <row r="2443" x14ac:dyDescent="0.2"/>
    <row r="2444" x14ac:dyDescent="0.2"/>
    <row r="2445" x14ac:dyDescent="0.2"/>
    <row r="2446" x14ac:dyDescent="0.2"/>
    <row r="2447" x14ac:dyDescent="0.2"/>
    <row r="2448" x14ac:dyDescent="0.2"/>
    <row r="2449" x14ac:dyDescent="0.2"/>
    <row r="2450" x14ac:dyDescent="0.2"/>
    <row r="2451" x14ac:dyDescent="0.2"/>
    <row r="2452" x14ac:dyDescent="0.2"/>
    <row r="2453" x14ac:dyDescent="0.2"/>
    <row r="2454" x14ac:dyDescent="0.2"/>
    <row r="2455" x14ac:dyDescent="0.2"/>
    <row r="2456" x14ac:dyDescent="0.2"/>
    <row r="2457" x14ac:dyDescent="0.2"/>
    <row r="2458" x14ac:dyDescent="0.2"/>
    <row r="2459" x14ac:dyDescent="0.2"/>
    <row r="2460" x14ac:dyDescent="0.2"/>
    <row r="2461" x14ac:dyDescent="0.2"/>
    <row r="2462" x14ac:dyDescent="0.2"/>
    <row r="2463" x14ac:dyDescent="0.2"/>
    <row r="2464" x14ac:dyDescent="0.2"/>
    <row r="2465" x14ac:dyDescent="0.2"/>
    <row r="2466" x14ac:dyDescent="0.2"/>
    <row r="2467" x14ac:dyDescent="0.2"/>
    <row r="2468" x14ac:dyDescent="0.2"/>
    <row r="2469" x14ac:dyDescent="0.2"/>
    <row r="2470" x14ac:dyDescent="0.2"/>
    <row r="2471" x14ac:dyDescent="0.2"/>
    <row r="2472" x14ac:dyDescent="0.2"/>
    <row r="2473" x14ac:dyDescent="0.2"/>
    <row r="2474" x14ac:dyDescent="0.2"/>
    <row r="2475" x14ac:dyDescent="0.2"/>
    <row r="2476" x14ac:dyDescent="0.2"/>
    <row r="2477" x14ac:dyDescent="0.2"/>
    <row r="2478" x14ac:dyDescent="0.2"/>
    <row r="2479" x14ac:dyDescent="0.2"/>
    <row r="2480" x14ac:dyDescent="0.2"/>
    <row r="2481" x14ac:dyDescent="0.2"/>
    <row r="2482" x14ac:dyDescent="0.2"/>
    <row r="2483" x14ac:dyDescent="0.2"/>
    <row r="2484" x14ac:dyDescent="0.2"/>
    <row r="2485" x14ac:dyDescent="0.2"/>
    <row r="2486" x14ac:dyDescent="0.2"/>
    <row r="2487" x14ac:dyDescent="0.2"/>
    <row r="2488" x14ac:dyDescent="0.2"/>
    <row r="2489" x14ac:dyDescent="0.2"/>
    <row r="2490" x14ac:dyDescent="0.2"/>
    <row r="2491" x14ac:dyDescent="0.2"/>
    <row r="2492" x14ac:dyDescent="0.2"/>
    <row r="2493" x14ac:dyDescent="0.2"/>
    <row r="2494" x14ac:dyDescent="0.2"/>
    <row r="2495" x14ac:dyDescent="0.2"/>
    <row r="2496" x14ac:dyDescent="0.2"/>
    <row r="2497" x14ac:dyDescent="0.2"/>
    <row r="2498" x14ac:dyDescent="0.2"/>
    <row r="2499" x14ac:dyDescent="0.2"/>
    <row r="2500" x14ac:dyDescent="0.2"/>
    <row r="2501" x14ac:dyDescent="0.2"/>
    <row r="2502" x14ac:dyDescent="0.2"/>
    <row r="2503" x14ac:dyDescent="0.2"/>
    <row r="2504" x14ac:dyDescent="0.2"/>
    <row r="2505" x14ac:dyDescent="0.2"/>
    <row r="2506" x14ac:dyDescent="0.2"/>
    <row r="2507" x14ac:dyDescent="0.2"/>
    <row r="2508" x14ac:dyDescent="0.2"/>
    <row r="2509" x14ac:dyDescent="0.2"/>
    <row r="2510" x14ac:dyDescent="0.2"/>
    <row r="2511" x14ac:dyDescent="0.2"/>
    <row r="2512" x14ac:dyDescent="0.2"/>
    <row r="2513" x14ac:dyDescent="0.2"/>
    <row r="2514" x14ac:dyDescent="0.2"/>
    <row r="2515" x14ac:dyDescent="0.2"/>
    <row r="2516" x14ac:dyDescent="0.2"/>
    <row r="2517" x14ac:dyDescent="0.2"/>
    <row r="2518" x14ac:dyDescent="0.2"/>
    <row r="2519" x14ac:dyDescent="0.2"/>
    <row r="2520" x14ac:dyDescent="0.2"/>
    <row r="2521" x14ac:dyDescent="0.2"/>
    <row r="2522" x14ac:dyDescent="0.2"/>
    <row r="2523" x14ac:dyDescent="0.2"/>
    <row r="2524" x14ac:dyDescent="0.2"/>
    <row r="2525" x14ac:dyDescent="0.2"/>
    <row r="2526" x14ac:dyDescent="0.2"/>
    <row r="2527" x14ac:dyDescent="0.2"/>
    <row r="2528" x14ac:dyDescent="0.2"/>
    <row r="2529" x14ac:dyDescent="0.2"/>
    <row r="2530" x14ac:dyDescent="0.2"/>
    <row r="2531" x14ac:dyDescent="0.2"/>
    <row r="2532" x14ac:dyDescent="0.2"/>
    <row r="2533" x14ac:dyDescent="0.2"/>
    <row r="2534" x14ac:dyDescent="0.2"/>
    <row r="2535" x14ac:dyDescent="0.2"/>
    <row r="2536" x14ac:dyDescent="0.2"/>
    <row r="2537" x14ac:dyDescent="0.2"/>
    <row r="2538" x14ac:dyDescent="0.2"/>
    <row r="2539" x14ac:dyDescent="0.2"/>
    <row r="2540" x14ac:dyDescent="0.2"/>
    <row r="2541" x14ac:dyDescent="0.2"/>
    <row r="2542" x14ac:dyDescent="0.2"/>
    <row r="2543" x14ac:dyDescent="0.2"/>
    <row r="2544" x14ac:dyDescent="0.2"/>
    <row r="2545" x14ac:dyDescent="0.2"/>
    <row r="2546" x14ac:dyDescent="0.2"/>
    <row r="2547" x14ac:dyDescent="0.2"/>
    <row r="2548" x14ac:dyDescent="0.2"/>
    <row r="2549" x14ac:dyDescent="0.2"/>
    <row r="2550" x14ac:dyDescent="0.2"/>
    <row r="2551" x14ac:dyDescent="0.2"/>
    <row r="2552" x14ac:dyDescent="0.2"/>
    <row r="2553" x14ac:dyDescent="0.2"/>
    <row r="2554" x14ac:dyDescent="0.2"/>
    <row r="2555" x14ac:dyDescent="0.2"/>
    <row r="2556" x14ac:dyDescent="0.2"/>
    <row r="2557" x14ac:dyDescent="0.2"/>
    <row r="2558" x14ac:dyDescent="0.2"/>
    <row r="2559" x14ac:dyDescent="0.2"/>
    <row r="2560" x14ac:dyDescent="0.2"/>
    <row r="2561" x14ac:dyDescent="0.2"/>
    <row r="2562" x14ac:dyDescent="0.2"/>
    <row r="2563" x14ac:dyDescent="0.2"/>
    <row r="2564" x14ac:dyDescent="0.2"/>
    <row r="2565" x14ac:dyDescent="0.2"/>
    <row r="2566" x14ac:dyDescent="0.2"/>
    <row r="2567" x14ac:dyDescent="0.2"/>
    <row r="2568" x14ac:dyDescent="0.2"/>
    <row r="2569" x14ac:dyDescent="0.2"/>
    <row r="2570" x14ac:dyDescent="0.2"/>
    <row r="2571" x14ac:dyDescent="0.2"/>
    <row r="2572" x14ac:dyDescent="0.2"/>
    <row r="2573" x14ac:dyDescent="0.2"/>
    <row r="2574" x14ac:dyDescent="0.2"/>
    <row r="2575" x14ac:dyDescent="0.2"/>
    <row r="2576" x14ac:dyDescent="0.2"/>
    <row r="2577" x14ac:dyDescent="0.2"/>
    <row r="2578" x14ac:dyDescent="0.2"/>
    <row r="2579" x14ac:dyDescent="0.2"/>
    <row r="2580" x14ac:dyDescent="0.2"/>
    <row r="2581" x14ac:dyDescent="0.2"/>
    <row r="2582" x14ac:dyDescent="0.2"/>
    <row r="2583" x14ac:dyDescent="0.2"/>
    <row r="2584" x14ac:dyDescent="0.2"/>
    <row r="2585" x14ac:dyDescent="0.2"/>
    <row r="2586" x14ac:dyDescent="0.2"/>
    <row r="2587" x14ac:dyDescent="0.2"/>
    <row r="2588" x14ac:dyDescent="0.2"/>
    <row r="2589" x14ac:dyDescent="0.2"/>
    <row r="2590" x14ac:dyDescent="0.2"/>
    <row r="2591" x14ac:dyDescent="0.2"/>
    <row r="2592" x14ac:dyDescent="0.2"/>
    <row r="2593" x14ac:dyDescent="0.2"/>
    <row r="2594" x14ac:dyDescent="0.2"/>
    <row r="2595" x14ac:dyDescent="0.2"/>
    <row r="2596" x14ac:dyDescent="0.2"/>
    <row r="2597" x14ac:dyDescent="0.2"/>
    <row r="2598" x14ac:dyDescent="0.2"/>
    <row r="2599" x14ac:dyDescent="0.2"/>
    <row r="2600" x14ac:dyDescent="0.2"/>
    <row r="2601" x14ac:dyDescent="0.2"/>
    <row r="2602" x14ac:dyDescent="0.2"/>
    <row r="2603" x14ac:dyDescent="0.2"/>
    <row r="2604" x14ac:dyDescent="0.2"/>
    <row r="2605" x14ac:dyDescent="0.2"/>
    <row r="2606" x14ac:dyDescent="0.2"/>
    <row r="2607" x14ac:dyDescent="0.2"/>
    <row r="2608" x14ac:dyDescent="0.2"/>
    <row r="2609" x14ac:dyDescent="0.2"/>
    <row r="2610" x14ac:dyDescent="0.2"/>
    <row r="2611" x14ac:dyDescent="0.2"/>
    <row r="2612" x14ac:dyDescent="0.2"/>
    <row r="2613" x14ac:dyDescent="0.2"/>
    <row r="2614" x14ac:dyDescent="0.2"/>
    <row r="2615" x14ac:dyDescent="0.2"/>
    <row r="2616" x14ac:dyDescent="0.2"/>
    <row r="2617" x14ac:dyDescent="0.2"/>
    <row r="2618" x14ac:dyDescent="0.2"/>
    <row r="2619" x14ac:dyDescent="0.2"/>
    <row r="2620" x14ac:dyDescent="0.2"/>
    <row r="2621" x14ac:dyDescent="0.2"/>
    <row r="2622" x14ac:dyDescent="0.2"/>
    <row r="2623" x14ac:dyDescent="0.2"/>
    <row r="2624" x14ac:dyDescent="0.2"/>
    <row r="2625" x14ac:dyDescent="0.2"/>
    <row r="2626" x14ac:dyDescent="0.2"/>
    <row r="2627" x14ac:dyDescent="0.2"/>
    <row r="2628" x14ac:dyDescent="0.2"/>
    <row r="2629" x14ac:dyDescent="0.2"/>
    <row r="2630" x14ac:dyDescent="0.2"/>
    <row r="2631" x14ac:dyDescent="0.2"/>
    <row r="2632" x14ac:dyDescent="0.2"/>
    <row r="2633" x14ac:dyDescent="0.2"/>
    <row r="2634" x14ac:dyDescent="0.2"/>
    <row r="2635" x14ac:dyDescent="0.2"/>
    <row r="2636" x14ac:dyDescent="0.2"/>
    <row r="2637" x14ac:dyDescent="0.2"/>
    <row r="2638" x14ac:dyDescent="0.2"/>
    <row r="2639" x14ac:dyDescent="0.2"/>
    <row r="2640" x14ac:dyDescent="0.2"/>
    <row r="2641" x14ac:dyDescent="0.2"/>
    <row r="2642" x14ac:dyDescent="0.2"/>
    <row r="2643" x14ac:dyDescent="0.2"/>
    <row r="2644" x14ac:dyDescent="0.2"/>
    <row r="2645" x14ac:dyDescent="0.2"/>
    <row r="2646" x14ac:dyDescent="0.2"/>
    <row r="2647" x14ac:dyDescent="0.2"/>
    <row r="2648" x14ac:dyDescent="0.2"/>
    <row r="2649" x14ac:dyDescent="0.2"/>
    <row r="2650" x14ac:dyDescent="0.2"/>
    <row r="2651" x14ac:dyDescent="0.2"/>
    <row r="2652" x14ac:dyDescent="0.2"/>
    <row r="2653" x14ac:dyDescent="0.2"/>
    <row r="2654" x14ac:dyDescent="0.2"/>
    <row r="2655" x14ac:dyDescent="0.2"/>
    <row r="2656" x14ac:dyDescent="0.2"/>
    <row r="2657" x14ac:dyDescent="0.2"/>
    <row r="2658" x14ac:dyDescent="0.2"/>
    <row r="2659" x14ac:dyDescent="0.2"/>
    <row r="2660" x14ac:dyDescent="0.2"/>
    <row r="2661" x14ac:dyDescent="0.2"/>
    <row r="2662" x14ac:dyDescent="0.2"/>
    <row r="2663" x14ac:dyDescent="0.2"/>
    <row r="2664" x14ac:dyDescent="0.2"/>
    <row r="2665" x14ac:dyDescent="0.2"/>
    <row r="2666" x14ac:dyDescent="0.2"/>
    <row r="2667" x14ac:dyDescent="0.2"/>
    <row r="2668" x14ac:dyDescent="0.2"/>
    <row r="2669" x14ac:dyDescent="0.2"/>
    <row r="2670" x14ac:dyDescent="0.2"/>
    <row r="2671" x14ac:dyDescent="0.2"/>
    <row r="2672" x14ac:dyDescent="0.2"/>
    <row r="2673" x14ac:dyDescent="0.2"/>
    <row r="2674" x14ac:dyDescent="0.2"/>
    <row r="2675" x14ac:dyDescent="0.2"/>
    <row r="2676" x14ac:dyDescent="0.2"/>
    <row r="2677" x14ac:dyDescent="0.2"/>
    <row r="2678" x14ac:dyDescent="0.2"/>
    <row r="2679" x14ac:dyDescent="0.2"/>
    <row r="2680" x14ac:dyDescent="0.2"/>
    <row r="2681" x14ac:dyDescent="0.2"/>
    <row r="2682" x14ac:dyDescent="0.2"/>
    <row r="2683" x14ac:dyDescent="0.2"/>
    <row r="2684" x14ac:dyDescent="0.2"/>
    <row r="2685" x14ac:dyDescent="0.2"/>
    <row r="2686" x14ac:dyDescent="0.2"/>
    <row r="2687" x14ac:dyDescent="0.2"/>
    <row r="2688" x14ac:dyDescent="0.2"/>
    <row r="2689" x14ac:dyDescent="0.2"/>
    <row r="2690" x14ac:dyDescent="0.2"/>
    <row r="2691" x14ac:dyDescent="0.2"/>
    <row r="2692" x14ac:dyDescent="0.2"/>
    <row r="2693" x14ac:dyDescent="0.2"/>
    <row r="2694" x14ac:dyDescent="0.2"/>
    <row r="2695" x14ac:dyDescent="0.2"/>
    <row r="2696" x14ac:dyDescent="0.2"/>
    <row r="2697" x14ac:dyDescent="0.2"/>
    <row r="2698" x14ac:dyDescent="0.2"/>
    <row r="2699" x14ac:dyDescent="0.2"/>
    <row r="2700" x14ac:dyDescent="0.2"/>
    <row r="2701" x14ac:dyDescent="0.2"/>
    <row r="2702" x14ac:dyDescent="0.2"/>
    <row r="2703" x14ac:dyDescent="0.2"/>
    <row r="2704" x14ac:dyDescent="0.2"/>
    <row r="2705" x14ac:dyDescent="0.2"/>
    <row r="2706" x14ac:dyDescent="0.2"/>
    <row r="2707" x14ac:dyDescent="0.2"/>
    <row r="2708" x14ac:dyDescent="0.2"/>
    <row r="2709" x14ac:dyDescent="0.2"/>
    <row r="2710" x14ac:dyDescent="0.2"/>
    <row r="2711" x14ac:dyDescent="0.2"/>
    <row r="2712" x14ac:dyDescent="0.2"/>
    <row r="2713" x14ac:dyDescent="0.2"/>
    <row r="2714" x14ac:dyDescent="0.2"/>
    <row r="2715" x14ac:dyDescent="0.2"/>
    <row r="2716" x14ac:dyDescent="0.2"/>
    <row r="2717" x14ac:dyDescent="0.2"/>
    <row r="2718" x14ac:dyDescent="0.2"/>
    <row r="2719" x14ac:dyDescent="0.2"/>
    <row r="2720" x14ac:dyDescent="0.2"/>
    <row r="2721" x14ac:dyDescent="0.2"/>
    <row r="2722" x14ac:dyDescent="0.2"/>
    <row r="2723" x14ac:dyDescent="0.2"/>
    <row r="2724" x14ac:dyDescent="0.2"/>
    <row r="2725" x14ac:dyDescent="0.2"/>
    <row r="2726" x14ac:dyDescent="0.2"/>
    <row r="2727" x14ac:dyDescent="0.2"/>
    <row r="2728" x14ac:dyDescent="0.2"/>
    <row r="2729" x14ac:dyDescent="0.2"/>
    <row r="2730" x14ac:dyDescent="0.2"/>
    <row r="2731" x14ac:dyDescent="0.2"/>
    <row r="2732" x14ac:dyDescent="0.2"/>
    <row r="2733" x14ac:dyDescent="0.2"/>
    <row r="2734" x14ac:dyDescent="0.2"/>
    <row r="2735" x14ac:dyDescent="0.2"/>
    <row r="2736" x14ac:dyDescent="0.2"/>
    <row r="2737" x14ac:dyDescent="0.2"/>
    <row r="2738" x14ac:dyDescent="0.2"/>
    <row r="2739" x14ac:dyDescent="0.2"/>
    <row r="2740" x14ac:dyDescent="0.2"/>
    <row r="2741" x14ac:dyDescent="0.2"/>
    <row r="2742" x14ac:dyDescent="0.2"/>
    <row r="2743" x14ac:dyDescent="0.2"/>
    <row r="2744" x14ac:dyDescent="0.2"/>
    <row r="2745" x14ac:dyDescent="0.2"/>
    <row r="2746" x14ac:dyDescent="0.2"/>
    <row r="2747" x14ac:dyDescent="0.2"/>
    <row r="2748" x14ac:dyDescent="0.2"/>
    <row r="2749" x14ac:dyDescent="0.2"/>
    <row r="2750" x14ac:dyDescent="0.2"/>
    <row r="2751" x14ac:dyDescent="0.2"/>
    <row r="2752" x14ac:dyDescent="0.2"/>
    <row r="2753" x14ac:dyDescent="0.2"/>
    <row r="2754" x14ac:dyDescent="0.2"/>
    <row r="2755" x14ac:dyDescent="0.2"/>
    <row r="2756" x14ac:dyDescent="0.2"/>
    <row r="2757" x14ac:dyDescent="0.2"/>
    <row r="2758" x14ac:dyDescent="0.2"/>
    <row r="2759" x14ac:dyDescent="0.2"/>
    <row r="2760" x14ac:dyDescent="0.2"/>
    <row r="2761" x14ac:dyDescent="0.2"/>
    <row r="2762" x14ac:dyDescent="0.2"/>
    <row r="2763" x14ac:dyDescent="0.2"/>
    <row r="2764" x14ac:dyDescent="0.2"/>
    <row r="2765" x14ac:dyDescent="0.2"/>
    <row r="2766" x14ac:dyDescent="0.2"/>
    <row r="2767" x14ac:dyDescent="0.2"/>
    <row r="2768" x14ac:dyDescent="0.2"/>
    <row r="2769" x14ac:dyDescent="0.2"/>
    <row r="2770" x14ac:dyDescent="0.2"/>
    <row r="2771" x14ac:dyDescent="0.2"/>
    <row r="2772" x14ac:dyDescent="0.2"/>
    <row r="2773" x14ac:dyDescent="0.2"/>
    <row r="2774" x14ac:dyDescent="0.2"/>
    <row r="2775" x14ac:dyDescent="0.2"/>
    <row r="2776" x14ac:dyDescent="0.2"/>
    <row r="2777" x14ac:dyDescent="0.2"/>
    <row r="2778" x14ac:dyDescent="0.2"/>
    <row r="2779" x14ac:dyDescent="0.2"/>
    <row r="2780" x14ac:dyDescent="0.2"/>
    <row r="2781" x14ac:dyDescent="0.2"/>
    <row r="2782" x14ac:dyDescent="0.2"/>
    <row r="2783" x14ac:dyDescent="0.2"/>
    <row r="2784" x14ac:dyDescent="0.2"/>
    <row r="2785" x14ac:dyDescent="0.2"/>
    <row r="2786" x14ac:dyDescent="0.2"/>
    <row r="2787" x14ac:dyDescent="0.2"/>
    <row r="2788" x14ac:dyDescent="0.2"/>
    <row r="2789" x14ac:dyDescent="0.2"/>
    <row r="2790" x14ac:dyDescent="0.2"/>
    <row r="2791" x14ac:dyDescent="0.2"/>
    <row r="2792" x14ac:dyDescent="0.2"/>
    <row r="2793" x14ac:dyDescent="0.2"/>
    <row r="2794" x14ac:dyDescent="0.2"/>
    <row r="2795" x14ac:dyDescent="0.2"/>
    <row r="2796" x14ac:dyDescent="0.2"/>
    <row r="2797" x14ac:dyDescent="0.2"/>
    <row r="2798" x14ac:dyDescent="0.2"/>
    <row r="2799" x14ac:dyDescent="0.2"/>
    <row r="2800" x14ac:dyDescent="0.2"/>
    <row r="2801" x14ac:dyDescent="0.2"/>
    <row r="2802" x14ac:dyDescent="0.2"/>
    <row r="2803" x14ac:dyDescent="0.2"/>
    <row r="2804" x14ac:dyDescent="0.2"/>
    <row r="2805" x14ac:dyDescent="0.2"/>
    <row r="2806" x14ac:dyDescent="0.2"/>
    <row r="2807" x14ac:dyDescent="0.2"/>
    <row r="2808" x14ac:dyDescent="0.2"/>
    <row r="2809" x14ac:dyDescent="0.2"/>
    <row r="2810" x14ac:dyDescent="0.2"/>
    <row r="2811" x14ac:dyDescent="0.2"/>
    <row r="2812" x14ac:dyDescent="0.2"/>
    <row r="2813" x14ac:dyDescent="0.2"/>
    <row r="2814" x14ac:dyDescent="0.2"/>
    <row r="2815" x14ac:dyDescent="0.2"/>
    <row r="2816" x14ac:dyDescent="0.2"/>
    <row r="2817" x14ac:dyDescent="0.2"/>
    <row r="2818" x14ac:dyDescent="0.2"/>
    <row r="2819" x14ac:dyDescent="0.2"/>
    <row r="2820" x14ac:dyDescent="0.2"/>
    <row r="2821" x14ac:dyDescent="0.2"/>
    <row r="2822" x14ac:dyDescent="0.2"/>
    <row r="2823" x14ac:dyDescent="0.2"/>
    <row r="2824" x14ac:dyDescent="0.2"/>
    <row r="2825" x14ac:dyDescent="0.2"/>
    <row r="2826" x14ac:dyDescent="0.2"/>
    <row r="2827" x14ac:dyDescent="0.2"/>
    <row r="2828" x14ac:dyDescent="0.2"/>
    <row r="2829" x14ac:dyDescent="0.2"/>
    <row r="2830" x14ac:dyDescent="0.2"/>
    <row r="2831" x14ac:dyDescent="0.2"/>
    <row r="2832" x14ac:dyDescent="0.2"/>
    <row r="2833" x14ac:dyDescent="0.2"/>
    <row r="2834" x14ac:dyDescent="0.2"/>
    <row r="2835" x14ac:dyDescent="0.2"/>
    <row r="2836" x14ac:dyDescent="0.2"/>
    <row r="2837" x14ac:dyDescent="0.2"/>
    <row r="2838" x14ac:dyDescent="0.2"/>
    <row r="2839" x14ac:dyDescent="0.2"/>
    <row r="2840" x14ac:dyDescent="0.2"/>
    <row r="2841" x14ac:dyDescent="0.2"/>
    <row r="2842" x14ac:dyDescent="0.2"/>
    <row r="2843" x14ac:dyDescent="0.2"/>
    <row r="2844" x14ac:dyDescent="0.2"/>
    <row r="2845" x14ac:dyDescent="0.2"/>
    <row r="2846" x14ac:dyDescent="0.2"/>
    <row r="2847" x14ac:dyDescent="0.2"/>
    <row r="2848" x14ac:dyDescent="0.2"/>
    <row r="2849" x14ac:dyDescent="0.2"/>
    <row r="2850" x14ac:dyDescent="0.2"/>
    <row r="2851" x14ac:dyDescent="0.2"/>
    <row r="2852" x14ac:dyDescent="0.2"/>
    <row r="2853" x14ac:dyDescent="0.2"/>
    <row r="2854" x14ac:dyDescent="0.2"/>
    <row r="2855" x14ac:dyDescent="0.2"/>
    <row r="2856" x14ac:dyDescent="0.2"/>
    <row r="2857" x14ac:dyDescent="0.2"/>
    <row r="2858" x14ac:dyDescent="0.2"/>
    <row r="2859" x14ac:dyDescent="0.2"/>
    <row r="2860" x14ac:dyDescent="0.2"/>
    <row r="2861" x14ac:dyDescent="0.2"/>
    <row r="2862" x14ac:dyDescent="0.2"/>
    <row r="2863" x14ac:dyDescent="0.2"/>
    <row r="2864" x14ac:dyDescent="0.2"/>
    <row r="2865" x14ac:dyDescent="0.2"/>
    <row r="2866" x14ac:dyDescent="0.2"/>
    <row r="2867" x14ac:dyDescent="0.2"/>
    <row r="2868" x14ac:dyDescent="0.2"/>
    <row r="2869" x14ac:dyDescent="0.2"/>
    <row r="2870" x14ac:dyDescent="0.2"/>
    <row r="2871" x14ac:dyDescent="0.2"/>
    <row r="2872" x14ac:dyDescent="0.2"/>
    <row r="2873" x14ac:dyDescent="0.2"/>
    <row r="2874" x14ac:dyDescent="0.2"/>
    <row r="2875" x14ac:dyDescent="0.2"/>
    <row r="2876" x14ac:dyDescent="0.2"/>
    <row r="2877" x14ac:dyDescent="0.2"/>
    <row r="2878" x14ac:dyDescent="0.2"/>
    <row r="2879" x14ac:dyDescent="0.2"/>
    <row r="2880" x14ac:dyDescent="0.2"/>
    <row r="2881" x14ac:dyDescent="0.2"/>
    <row r="2882" x14ac:dyDescent="0.2"/>
    <row r="2883" x14ac:dyDescent="0.2"/>
    <row r="2884" x14ac:dyDescent="0.2"/>
    <row r="2885" x14ac:dyDescent="0.2"/>
    <row r="2886" x14ac:dyDescent="0.2"/>
    <row r="2887" x14ac:dyDescent="0.2"/>
    <row r="2888" x14ac:dyDescent="0.2"/>
    <row r="2889" x14ac:dyDescent="0.2"/>
    <row r="2890" x14ac:dyDescent="0.2"/>
    <row r="2891" x14ac:dyDescent="0.2"/>
    <row r="2892" x14ac:dyDescent="0.2"/>
    <row r="2893" x14ac:dyDescent="0.2"/>
    <row r="2894" x14ac:dyDescent="0.2"/>
    <row r="2895" x14ac:dyDescent="0.2"/>
    <row r="2896" x14ac:dyDescent="0.2"/>
    <row r="2897" x14ac:dyDescent="0.2"/>
    <row r="2898" x14ac:dyDescent="0.2"/>
    <row r="2899" x14ac:dyDescent="0.2"/>
    <row r="2900" x14ac:dyDescent="0.2"/>
    <row r="2901" x14ac:dyDescent="0.2"/>
    <row r="2902" x14ac:dyDescent="0.2"/>
    <row r="2903" x14ac:dyDescent="0.2"/>
    <row r="2904" x14ac:dyDescent="0.2"/>
    <row r="2905" x14ac:dyDescent="0.2"/>
    <row r="2906" x14ac:dyDescent="0.2"/>
    <row r="2907" x14ac:dyDescent="0.2"/>
    <row r="2908" x14ac:dyDescent="0.2"/>
    <row r="2909" x14ac:dyDescent="0.2"/>
    <row r="2910" x14ac:dyDescent="0.2"/>
    <row r="2911" x14ac:dyDescent="0.2"/>
    <row r="2912" x14ac:dyDescent="0.2"/>
    <row r="2913" x14ac:dyDescent="0.2"/>
    <row r="2914" x14ac:dyDescent="0.2"/>
    <row r="2915" x14ac:dyDescent="0.2"/>
    <row r="2916" x14ac:dyDescent="0.2"/>
    <row r="2917" x14ac:dyDescent="0.2"/>
    <row r="2918" x14ac:dyDescent="0.2"/>
    <row r="2919" x14ac:dyDescent="0.2"/>
    <row r="2920" x14ac:dyDescent="0.2"/>
    <row r="2921" x14ac:dyDescent="0.2"/>
    <row r="2922" x14ac:dyDescent="0.2"/>
    <row r="2923" x14ac:dyDescent="0.2"/>
    <row r="2924" x14ac:dyDescent="0.2"/>
    <row r="2925" x14ac:dyDescent="0.2"/>
    <row r="2926" x14ac:dyDescent="0.2"/>
    <row r="2927" x14ac:dyDescent="0.2"/>
    <row r="2928" x14ac:dyDescent="0.2"/>
    <row r="2929" x14ac:dyDescent="0.2"/>
    <row r="2930" x14ac:dyDescent="0.2"/>
    <row r="2931" x14ac:dyDescent="0.2"/>
    <row r="2932" x14ac:dyDescent="0.2"/>
    <row r="2933" x14ac:dyDescent="0.2"/>
    <row r="2934" x14ac:dyDescent="0.2"/>
    <row r="2935" x14ac:dyDescent="0.2"/>
    <row r="2936" x14ac:dyDescent="0.2"/>
    <row r="2937" x14ac:dyDescent="0.2"/>
    <row r="2938" x14ac:dyDescent="0.2"/>
    <row r="2939" x14ac:dyDescent="0.2"/>
    <row r="2940" x14ac:dyDescent="0.2"/>
    <row r="2941" x14ac:dyDescent="0.2"/>
    <row r="2942" x14ac:dyDescent="0.2"/>
    <row r="2943" x14ac:dyDescent="0.2"/>
    <row r="2944" x14ac:dyDescent="0.2"/>
    <row r="2945" x14ac:dyDescent="0.2"/>
    <row r="2946" x14ac:dyDescent="0.2"/>
    <row r="2947" x14ac:dyDescent="0.2"/>
    <row r="2948" x14ac:dyDescent="0.2"/>
    <row r="2949" x14ac:dyDescent="0.2"/>
    <row r="2950" x14ac:dyDescent="0.2"/>
    <row r="2951" x14ac:dyDescent="0.2"/>
    <row r="2952" x14ac:dyDescent="0.2"/>
    <row r="2953" x14ac:dyDescent="0.2"/>
    <row r="2954" x14ac:dyDescent="0.2"/>
    <row r="2955" x14ac:dyDescent="0.2"/>
    <row r="2956" x14ac:dyDescent="0.2"/>
    <row r="2957" x14ac:dyDescent="0.2"/>
    <row r="2958" x14ac:dyDescent="0.2"/>
    <row r="2959" x14ac:dyDescent="0.2"/>
    <row r="2960" x14ac:dyDescent="0.2"/>
    <row r="2961" x14ac:dyDescent="0.2"/>
    <row r="2962" x14ac:dyDescent="0.2"/>
    <row r="2963" x14ac:dyDescent="0.2"/>
    <row r="2964" x14ac:dyDescent="0.2"/>
    <row r="2965" x14ac:dyDescent="0.2"/>
    <row r="2966" x14ac:dyDescent="0.2"/>
    <row r="2967" x14ac:dyDescent="0.2"/>
    <row r="2968" x14ac:dyDescent="0.2"/>
    <row r="2969" x14ac:dyDescent="0.2"/>
    <row r="2970" x14ac:dyDescent="0.2"/>
    <row r="2971" x14ac:dyDescent="0.2"/>
    <row r="2972" x14ac:dyDescent="0.2"/>
    <row r="2973" x14ac:dyDescent="0.2"/>
    <row r="2974" x14ac:dyDescent="0.2"/>
    <row r="2975" x14ac:dyDescent="0.2"/>
    <row r="2976" x14ac:dyDescent="0.2"/>
    <row r="2977" x14ac:dyDescent="0.2"/>
    <row r="2978" x14ac:dyDescent="0.2"/>
    <row r="2979" x14ac:dyDescent="0.2"/>
    <row r="2980" x14ac:dyDescent="0.2"/>
    <row r="2981" x14ac:dyDescent="0.2"/>
    <row r="2982" x14ac:dyDescent="0.2"/>
    <row r="2983" x14ac:dyDescent="0.2"/>
    <row r="2984" x14ac:dyDescent="0.2"/>
    <row r="2985" x14ac:dyDescent="0.2"/>
    <row r="2986" x14ac:dyDescent="0.2"/>
    <row r="2987" x14ac:dyDescent="0.2"/>
    <row r="2988" x14ac:dyDescent="0.2"/>
    <row r="2989" x14ac:dyDescent="0.2"/>
    <row r="2990" x14ac:dyDescent="0.2"/>
    <row r="2991" x14ac:dyDescent="0.2"/>
    <row r="2992" x14ac:dyDescent="0.2"/>
    <row r="2993" x14ac:dyDescent="0.2"/>
    <row r="2994" x14ac:dyDescent="0.2"/>
    <row r="2995" x14ac:dyDescent="0.2"/>
    <row r="2996" x14ac:dyDescent="0.2"/>
    <row r="2997" x14ac:dyDescent="0.2"/>
    <row r="2998" x14ac:dyDescent="0.2"/>
    <row r="2999" x14ac:dyDescent="0.2"/>
    <row r="3000" x14ac:dyDescent="0.2"/>
    <row r="3001" x14ac:dyDescent="0.2"/>
    <row r="3002" x14ac:dyDescent="0.2"/>
    <row r="3003" x14ac:dyDescent="0.2"/>
    <row r="3004" x14ac:dyDescent="0.2"/>
    <row r="3005" x14ac:dyDescent="0.2"/>
    <row r="3006" x14ac:dyDescent="0.2"/>
    <row r="3007" x14ac:dyDescent="0.2"/>
    <row r="3008" x14ac:dyDescent="0.2"/>
    <row r="3009" x14ac:dyDescent="0.2"/>
    <row r="3010" x14ac:dyDescent="0.2"/>
    <row r="3011" x14ac:dyDescent="0.2"/>
    <row r="3012" x14ac:dyDescent="0.2"/>
    <row r="3013" x14ac:dyDescent="0.2"/>
    <row r="3014" x14ac:dyDescent="0.2"/>
    <row r="3015" x14ac:dyDescent="0.2"/>
    <row r="3016" x14ac:dyDescent="0.2"/>
    <row r="3017" x14ac:dyDescent="0.2"/>
    <row r="3018" x14ac:dyDescent="0.2"/>
    <row r="3019" x14ac:dyDescent="0.2"/>
    <row r="3020" x14ac:dyDescent="0.2"/>
    <row r="3021" x14ac:dyDescent="0.2"/>
    <row r="3022" x14ac:dyDescent="0.2"/>
    <row r="3023" x14ac:dyDescent="0.2"/>
    <row r="3024" x14ac:dyDescent="0.2"/>
    <row r="3025" x14ac:dyDescent="0.2"/>
    <row r="3026" x14ac:dyDescent="0.2"/>
    <row r="3027" x14ac:dyDescent="0.2"/>
    <row r="3028" x14ac:dyDescent="0.2"/>
    <row r="3029" x14ac:dyDescent="0.2"/>
    <row r="3030" x14ac:dyDescent="0.2"/>
    <row r="3031" x14ac:dyDescent="0.2"/>
    <row r="3032" x14ac:dyDescent="0.2"/>
    <row r="3033" x14ac:dyDescent="0.2"/>
    <row r="3034" x14ac:dyDescent="0.2"/>
    <row r="3035" x14ac:dyDescent="0.2"/>
    <row r="3036" x14ac:dyDescent="0.2"/>
    <row r="3037" x14ac:dyDescent="0.2"/>
    <row r="3038" x14ac:dyDescent="0.2"/>
    <row r="3039" x14ac:dyDescent="0.2"/>
    <row r="3040" x14ac:dyDescent="0.2"/>
    <row r="3041" x14ac:dyDescent="0.2"/>
    <row r="3042" x14ac:dyDescent="0.2"/>
    <row r="3043" x14ac:dyDescent="0.2"/>
    <row r="3044" x14ac:dyDescent="0.2"/>
    <row r="3045" x14ac:dyDescent="0.2"/>
    <row r="3046" x14ac:dyDescent="0.2"/>
    <row r="3047" x14ac:dyDescent="0.2"/>
    <row r="3048" x14ac:dyDescent="0.2"/>
    <row r="3049" x14ac:dyDescent="0.2"/>
    <row r="3050" x14ac:dyDescent="0.2"/>
    <row r="3051" x14ac:dyDescent="0.2"/>
    <row r="3052" x14ac:dyDescent="0.2"/>
    <row r="3053" x14ac:dyDescent="0.2"/>
    <row r="3054" x14ac:dyDescent="0.2"/>
    <row r="3055" x14ac:dyDescent="0.2"/>
    <row r="3056" x14ac:dyDescent="0.2"/>
    <row r="3057" x14ac:dyDescent="0.2"/>
    <row r="3058" x14ac:dyDescent="0.2"/>
    <row r="3059" x14ac:dyDescent="0.2"/>
    <row r="3060" x14ac:dyDescent="0.2"/>
    <row r="3061" x14ac:dyDescent="0.2"/>
    <row r="3062" x14ac:dyDescent="0.2"/>
    <row r="3063" x14ac:dyDescent="0.2"/>
    <row r="3064" x14ac:dyDescent="0.2"/>
    <row r="3065" x14ac:dyDescent="0.2"/>
    <row r="3066" x14ac:dyDescent="0.2"/>
    <row r="3067" x14ac:dyDescent="0.2"/>
    <row r="3068" x14ac:dyDescent="0.2"/>
    <row r="3069" x14ac:dyDescent="0.2"/>
    <row r="3070" x14ac:dyDescent="0.2"/>
    <row r="3071" x14ac:dyDescent="0.2"/>
    <row r="3072" x14ac:dyDescent="0.2"/>
    <row r="3073" x14ac:dyDescent="0.2"/>
    <row r="3074" x14ac:dyDescent="0.2"/>
    <row r="3075" x14ac:dyDescent="0.2"/>
    <row r="3076" x14ac:dyDescent="0.2"/>
    <row r="3077" x14ac:dyDescent="0.2"/>
    <row r="3078" x14ac:dyDescent="0.2"/>
    <row r="3079" x14ac:dyDescent="0.2"/>
    <row r="3080" x14ac:dyDescent="0.2"/>
    <row r="3081" x14ac:dyDescent="0.2"/>
    <row r="3082" x14ac:dyDescent="0.2"/>
    <row r="3083" x14ac:dyDescent="0.2"/>
    <row r="3084" x14ac:dyDescent="0.2"/>
    <row r="3085" x14ac:dyDescent="0.2"/>
    <row r="3086" x14ac:dyDescent="0.2"/>
    <row r="3087" x14ac:dyDescent="0.2"/>
    <row r="3088" x14ac:dyDescent="0.2"/>
    <row r="3089" x14ac:dyDescent="0.2"/>
    <row r="3090" x14ac:dyDescent="0.2"/>
    <row r="3091" x14ac:dyDescent="0.2"/>
    <row r="3092" x14ac:dyDescent="0.2"/>
    <row r="3093" x14ac:dyDescent="0.2"/>
    <row r="3094" x14ac:dyDescent="0.2"/>
    <row r="3095" x14ac:dyDescent="0.2"/>
    <row r="3096" x14ac:dyDescent="0.2"/>
    <row r="3097" x14ac:dyDescent="0.2"/>
    <row r="3098" x14ac:dyDescent="0.2"/>
    <row r="3099" x14ac:dyDescent="0.2"/>
    <row r="3100" x14ac:dyDescent="0.2"/>
    <row r="3101" x14ac:dyDescent="0.2"/>
    <row r="3102" x14ac:dyDescent="0.2"/>
    <row r="3103" x14ac:dyDescent="0.2"/>
    <row r="3104" x14ac:dyDescent="0.2"/>
    <row r="3105" x14ac:dyDescent="0.2"/>
    <row r="3106" x14ac:dyDescent="0.2"/>
    <row r="3107" x14ac:dyDescent="0.2"/>
    <row r="3108" x14ac:dyDescent="0.2"/>
    <row r="3109" x14ac:dyDescent="0.2"/>
    <row r="3110" x14ac:dyDescent="0.2"/>
    <row r="3111" x14ac:dyDescent="0.2"/>
    <row r="3112" x14ac:dyDescent="0.2"/>
    <row r="3113" x14ac:dyDescent="0.2"/>
    <row r="3114" x14ac:dyDescent="0.2"/>
    <row r="3115" x14ac:dyDescent="0.2"/>
    <row r="3116" x14ac:dyDescent="0.2"/>
    <row r="3117" x14ac:dyDescent="0.2"/>
    <row r="3118" x14ac:dyDescent="0.2"/>
    <row r="3119" x14ac:dyDescent="0.2"/>
    <row r="3120" x14ac:dyDescent="0.2"/>
    <row r="3121" x14ac:dyDescent="0.2"/>
    <row r="3122" x14ac:dyDescent="0.2"/>
    <row r="3123" x14ac:dyDescent="0.2"/>
    <row r="3124" x14ac:dyDescent="0.2"/>
    <row r="3125" x14ac:dyDescent="0.2"/>
    <row r="3126" x14ac:dyDescent="0.2"/>
    <row r="3127" x14ac:dyDescent="0.2"/>
    <row r="3128" x14ac:dyDescent="0.2"/>
    <row r="3129" x14ac:dyDescent="0.2"/>
    <row r="3130" x14ac:dyDescent="0.2"/>
    <row r="3131" x14ac:dyDescent="0.2"/>
    <row r="3132" x14ac:dyDescent="0.2"/>
    <row r="3133" x14ac:dyDescent="0.2"/>
    <row r="3134" x14ac:dyDescent="0.2"/>
    <row r="3135" x14ac:dyDescent="0.2"/>
    <row r="3136" x14ac:dyDescent="0.2"/>
    <row r="3137" x14ac:dyDescent="0.2"/>
    <row r="3138" x14ac:dyDescent="0.2"/>
    <row r="3139" x14ac:dyDescent="0.2"/>
    <row r="3140" x14ac:dyDescent="0.2"/>
    <row r="3141" x14ac:dyDescent="0.2"/>
    <row r="3142" x14ac:dyDescent="0.2"/>
    <row r="3143" x14ac:dyDescent="0.2"/>
    <row r="3144" x14ac:dyDescent="0.2"/>
    <row r="3145" x14ac:dyDescent="0.2"/>
    <row r="3146" x14ac:dyDescent="0.2"/>
    <row r="3147" x14ac:dyDescent="0.2"/>
    <row r="3148" x14ac:dyDescent="0.2"/>
    <row r="3149" x14ac:dyDescent="0.2"/>
    <row r="3150" x14ac:dyDescent="0.2"/>
    <row r="3151" x14ac:dyDescent="0.2"/>
    <row r="3152" x14ac:dyDescent="0.2"/>
    <row r="3153" x14ac:dyDescent="0.2"/>
    <row r="3154" x14ac:dyDescent="0.2"/>
    <row r="3155" x14ac:dyDescent="0.2"/>
    <row r="3156" x14ac:dyDescent="0.2"/>
    <row r="3157" x14ac:dyDescent="0.2"/>
    <row r="3158" x14ac:dyDescent="0.2"/>
    <row r="3159" x14ac:dyDescent="0.2"/>
    <row r="3160" x14ac:dyDescent="0.2"/>
    <row r="3161" x14ac:dyDescent="0.2"/>
    <row r="3162" x14ac:dyDescent="0.2"/>
    <row r="3163" x14ac:dyDescent="0.2"/>
    <row r="3164" x14ac:dyDescent="0.2"/>
    <row r="3165" x14ac:dyDescent="0.2"/>
    <row r="3166" x14ac:dyDescent="0.2"/>
    <row r="3167" x14ac:dyDescent="0.2"/>
    <row r="3168" x14ac:dyDescent="0.2"/>
    <row r="3169" x14ac:dyDescent="0.2"/>
    <row r="3170" x14ac:dyDescent="0.2"/>
    <row r="3171" x14ac:dyDescent="0.2"/>
    <row r="3172" x14ac:dyDescent="0.2"/>
    <row r="3173" x14ac:dyDescent="0.2"/>
    <row r="3174" x14ac:dyDescent="0.2"/>
    <row r="3175" x14ac:dyDescent="0.2"/>
    <row r="3176" x14ac:dyDescent="0.2"/>
    <row r="3177" x14ac:dyDescent="0.2"/>
    <row r="3178" x14ac:dyDescent="0.2"/>
    <row r="3179" x14ac:dyDescent="0.2"/>
    <row r="3180" x14ac:dyDescent="0.2"/>
    <row r="3181" x14ac:dyDescent="0.2"/>
    <row r="3182" x14ac:dyDescent="0.2"/>
    <row r="3183" x14ac:dyDescent="0.2"/>
    <row r="3184" x14ac:dyDescent="0.2"/>
    <row r="3185" x14ac:dyDescent="0.2"/>
    <row r="3186" x14ac:dyDescent="0.2"/>
    <row r="3187" x14ac:dyDescent="0.2"/>
    <row r="3188" x14ac:dyDescent="0.2"/>
    <row r="3189" x14ac:dyDescent="0.2"/>
    <row r="3190" x14ac:dyDescent="0.2"/>
    <row r="3191" x14ac:dyDescent="0.2"/>
    <row r="3192" x14ac:dyDescent="0.2"/>
    <row r="3193" x14ac:dyDescent="0.2"/>
    <row r="3194" x14ac:dyDescent="0.2"/>
    <row r="3195" x14ac:dyDescent="0.2"/>
    <row r="3196" x14ac:dyDescent="0.2"/>
    <row r="3197" x14ac:dyDescent="0.2"/>
    <row r="3198" x14ac:dyDescent="0.2"/>
    <row r="3199" x14ac:dyDescent="0.2"/>
    <row r="3200" x14ac:dyDescent="0.2"/>
    <row r="3201" x14ac:dyDescent="0.2"/>
    <row r="3202" x14ac:dyDescent="0.2"/>
    <row r="3203" x14ac:dyDescent="0.2"/>
    <row r="3204" x14ac:dyDescent="0.2"/>
    <row r="3205" x14ac:dyDescent="0.2"/>
    <row r="3206" x14ac:dyDescent="0.2"/>
    <row r="3207" x14ac:dyDescent="0.2"/>
    <row r="3208" x14ac:dyDescent="0.2"/>
    <row r="3209" x14ac:dyDescent="0.2"/>
    <row r="3210" x14ac:dyDescent="0.2"/>
    <row r="3211" x14ac:dyDescent="0.2"/>
    <row r="3212" x14ac:dyDescent="0.2"/>
    <row r="3213" x14ac:dyDescent="0.2"/>
    <row r="3214" x14ac:dyDescent="0.2"/>
    <row r="3215" x14ac:dyDescent="0.2"/>
    <row r="3216" x14ac:dyDescent="0.2"/>
    <row r="3217" x14ac:dyDescent="0.2"/>
    <row r="3218" x14ac:dyDescent="0.2"/>
    <row r="3219" x14ac:dyDescent="0.2"/>
    <row r="3220" x14ac:dyDescent="0.2"/>
    <row r="3221" x14ac:dyDescent="0.2"/>
    <row r="3222" x14ac:dyDescent="0.2"/>
    <row r="3223" x14ac:dyDescent="0.2"/>
    <row r="3224" x14ac:dyDescent="0.2"/>
    <row r="3225" x14ac:dyDescent="0.2"/>
    <row r="3226" x14ac:dyDescent="0.2"/>
    <row r="3227" x14ac:dyDescent="0.2"/>
    <row r="3228" x14ac:dyDescent="0.2"/>
    <row r="3229" x14ac:dyDescent="0.2"/>
    <row r="3230" x14ac:dyDescent="0.2"/>
    <row r="3231" x14ac:dyDescent="0.2"/>
    <row r="3232" x14ac:dyDescent="0.2"/>
    <row r="3233" x14ac:dyDescent="0.2"/>
    <row r="3234" x14ac:dyDescent="0.2"/>
    <row r="3235" x14ac:dyDescent="0.2"/>
    <row r="3236" x14ac:dyDescent="0.2"/>
    <row r="3237" x14ac:dyDescent="0.2"/>
    <row r="3238" x14ac:dyDescent="0.2"/>
    <row r="3239" x14ac:dyDescent="0.2"/>
    <row r="3240" x14ac:dyDescent="0.2"/>
    <row r="3241" x14ac:dyDescent="0.2"/>
    <row r="3242" x14ac:dyDescent="0.2"/>
    <row r="3243" x14ac:dyDescent="0.2"/>
    <row r="3244" x14ac:dyDescent="0.2"/>
    <row r="3245" x14ac:dyDescent="0.2"/>
    <row r="3246" x14ac:dyDescent="0.2"/>
    <row r="3247" x14ac:dyDescent="0.2"/>
    <row r="3248" x14ac:dyDescent="0.2"/>
    <row r="3249" x14ac:dyDescent="0.2"/>
    <row r="3250" x14ac:dyDescent="0.2"/>
    <row r="3251" x14ac:dyDescent="0.2"/>
    <row r="3252" x14ac:dyDescent="0.2"/>
    <row r="3253" x14ac:dyDescent="0.2"/>
    <row r="3254" x14ac:dyDescent="0.2"/>
    <row r="3255" x14ac:dyDescent="0.2"/>
    <row r="3256" x14ac:dyDescent="0.2"/>
    <row r="3257" x14ac:dyDescent="0.2"/>
    <row r="3258" x14ac:dyDescent="0.2"/>
    <row r="3259" x14ac:dyDescent="0.2"/>
    <row r="3260" x14ac:dyDescent="0.2"/>
    <row r="3261" x14ac:dyDescent="0.2"/>
    <row r="3262" x14ac:dyDescent="0.2"/>
    <row r="3263" x14ac:dyDescent="0.2"/>
    <row r="3264" x14ac:dyDescent="0.2"/>
    <row r="3265" x14ac:dyDescent="0.2"/>
    <row r="3266" x14ac:dyDescent="0.2"/>
    <row r="3267" x14ac:dyDescent="0.2"/>
    <row r="3268" x14ac:dyDescent="0.2"/>
    <row r="3269" x14ac:dyDescent="0.2"/>
    <row r="3270" x14ac:dyDescent="0.2"/>
    <row r="3271" x14ac:dyDescent="0.2"/>
    <row r="3272" x14ac:dyDescent="0.2"/>
    <row r="3273" x14ac:dyDescent="0.2"/>
    <row r="3274" x14ac:dyDescent="0.2"/>
    <row r="3275" x14ac:dyDescent="0.2"/>
    <row r="3276" x14ac:dyDescent="0.2"/>
    <row r="3277" x14ac:dyDescent="0.2"/>
    <row r="3278" x14ac:dyDescent="0.2"/>
    <row r="3279" x14ac:dyDescent="0.2"/>
    <row r="3280" x14ac:dyDescent="0.2"/>
    <row r="3281" x14ac:dyDescent="0.2"/>
    <row r="3282" x14ac:dyDescent="0.2"/>
    <row r="3283" x14ac:dyDescent="0.2"/>
    <row r="3284" x14ac:dyDescent="0.2"/>
    <row r="3285" x14ac:dyDescent="0.2"/>
    <row r="3286" x14ac:dyDescent="0.2"/>
    <row r="3287" x14ac:dyDescent="0.2"/>
    <row r="3288" x14ac:dyDescent="0.2"/>
    <row r="3289" x14ac:dyDescent="0.2"/>
    <row r="3290" x14ac:dyDescent="0.2"/>
    <row r="3291" x14ac:dyDescent="0.2"/>
    <row r="3292" x14ac:dyDescent="0.2"/>
    <row r="3293" x14ac:dyDescent="0.2"/>
    <row r="3294" x14ac:dyDescent="0.2"/>
    <row r="3295" x14ac:dyDescent="0.2"/>
    <row r="3296" x14ac:dyDescent="0.2"/>
    <row r="3297" x14ac:dyDescent="0.2"/>
    <row r="3298" x14ac:dyDescent="0.2"/>
    <row r="3299" x14ac:dyDescent="0.2"/>
    <row r="3300" x14ac:dyDescent="0.2"/>
    <row r="3301" x14ac:dyDescent="0.2"/>
    <row r="3302" x14ac:dyDescent="0.2"/>
    <row r="3303" x14ac:dyDescent="0.2"/>
    <row r="3304" x14ac:dyDescent="0.2"/>
    <row r="3305" x14ac:dyDescent="0.2"/>
    <row r="3306" x14ac:dyDescent="0.2"/>
    <row r="3307" x14ac:dyDescent="0.2"/>
    <row r="3308" x14ac:dyDescent="0.2"/>
    <row r="3309" x14ac:dyDescent="0.2"/>
    <row r="3310" x14ac:dyDescent="0.2"/>
    <row r="3311" x14ac:dyDescent="0.2"/>
    <row r="3312" x14ac:dyDescent="0.2"/>
    <row r="3313" x14ac:dyDescent="0.2"/>
    <row r="3314" x14ac:dyDescent="0.2"/>
    <row r="3315" x14ac:dyDescent="0.2"/>
    <row r="3316" x14ac:dyDescent="0.2"/>
    <row r="3317" x14ac:dyDescent="0.2"/>
    <row r="3318" x14ac:dyDescent="0.2"/>
    <row r="3319" x14ac:dyDescent="0.2"/>
    <row r="3320" x14ac:dyDescent="0.2"/>
    <row r="3321" x14ac:dyDescent="0.2"/>
    <row r="3322" x14ac:dyDescent="0.2"/>
    <row r="3323" x14ac:dyDescent="0.2"/>
    <row r="3324" x14ac:dyDescent="0.2"/>
    <row r="3325" x14ac:dyDescent="0.2"/>
    <row r="3326" x14ac:dyDescent="0.2"/>
    <row r="3327" x14ac:dyDescent="0.2"/>
    <row r="3328" x14ac:dyDescent="0.2"/>
    <row r="3329" x14ac:dyDescent="0.2"/>
    <row r="3330" x14ac:dyDescent="0.2"/>
    <row r="3331" x14ac:dyDescent="0.2"/>
    <row r="3332" x14ac:dyDescent="0.2"/>
    <row r="3333" x14ac:dyDescent="0.2"/>
    <row r="3334" x14ac:dyDescent="0.2"/>
    <row r="3335" x14ac:dyDescent="0.2"/>
    <row r="3336" x14ac:dyDescent="0.2"/>
    <row r="3337" x14ac:dyDescent="0.2"/>
    <row r="3338" x14ac:dyDescent="0.2"/>
    <row r="3339" x14ac:dyDescent="0.2"/>
    <row r="3340" x14ac:dyDescent="0.2"/>
    <row r="3341" x14ac:dyDescent="0.2"/>
    <row r="3342" x14ac:dyDescent="0.2"/>
    <row r="3343" x14ac:dyDescent="0.2"/>
    <row r="3344" x14ac:dyDescent="0.2"/>
    <row r="3345" x14ac:dyDescent="0.2"/>
    <row r="3346" x14ac:dyDescent="0.2"/>
    <row r="3347" x14ac:dyDescent="0.2"/>
    <row r="3348" x14ac:dyDescent="0.2"/>
    <row r="3349" x14ac:dyDescent="0.2"/>
    <row r="3350" x14ac:dyDescent="0.2"/>
    <row r="3351" x14ac:dyDescent="0.2"/>
    <row r="3352" x14ac:dyDescent="0.2"/>
    <row r="3353" x14ac:dyDescent="0.2"/>
    <row r="3354" x14ac:dyDescent="0.2"/>
    <row r="3355" x14ac:dyDescent="0.2"/>
    <row r="3356" x14ac:dyDescent="0.2"/>
    <row r="3357" x14ac:dyDescent="0.2"/>
    <row r="3358" x14ac:dyDescent="0.2"/>
    <row r="3359" x14ac:dyDescent="0.2"/>
    <row r="3360" x14ac:dyDescent="0.2"/>
    <row r="3361" x14ac:dyDescent="0.2"/>
    <row r="3362" x14ac:dyDescent="0.2"/>
    <row r="3363" x14ac:dyDescent="0.2"/>
    <row r="3364" x14ac:dyDescent="0.2"/>
    <row r="3365" x14ac:dyDescent="0.2"/>
    <row r="3366" x14ac:dyDescent="0.2"/>
    <row r="3367" x14ac:dyDescent="0.2"/>
    <row r="3368" x14ac:dyDescent="0.2"/>
    <row r="3369" x14ac:dyDescent="0.2"/>
    <row r="3370" x14ac:dyDescent="0.2"/>
    <row r="3371" x14ac:dyDescent="0.2"/>
    <row r="3372" x14ac:dyDescent="0.2"/>
    <row r="3373" x14ac:dyDescent="0.2"/>
    <row r="3374" x14ac:dyDescent="0.2"/>
    <row r="3375" x14ac:dyDescent="0.2"/>
    <row r="3376" x14ac:dyDescent="0.2"/>
    <row r="3377" x14ac:dyDescent="0.2"/>
    <row r="3378" x14ac:dyDescent="0.2"/>
    <row r="3379" x14ac:dyDescent="0.2"/>
    <row r="3380" x14ac:dyDescent="0.2"/>
    <row r="3381" x14ac:dyDescent="0.2"/>
    <row r="3382" x14ac:dyDescent="0.2"/>
    <row r="3383" x14ac:dyDescent="0.2"/>
    <row r="3384" x14ac:dyDescent="0.2"/>
    <row r="3385" x14ac:dyDescent="0.2"/>
    <row r="3386" x14ac:dyDescent="0.2"/>
    <row r="3387" x14ac:dyDescent="0.2"/>
    <row r="3388" x14ac:dyDescent="0.2"/>
    <row r="3389" x14ac:dyDescent="0.2"/>
    <row r="3390" x14ac:dyDescent="0.2"/>
    <row r="3391" x14ac:dyDescent="0.2"/>
    <row r="3392" x14ac:dyDescent="0.2"/>
    <row r="3393" x14ac:dyDescent="0.2"/>
    <row r="3394" x14ac:dyDescent="0.2"/>
    <row r="3395" x14ac:dyDescent="0.2"/>
    <row r="3396" x14ac:dyDescent="0.2"/>
    <row r="3397" x14ac:dyDescent="0.2"/>
    <row r="3398" x14ac:dyDescent="0.2"/>
    <row r="3399" x14ac:dyDescent="0.2"/>
    <row r="3400" x14ac:dyDescent="0.2"/>
    <row r="3401" x14ac:dyDescent="0.2"/>
    <row r="3402" x14ac:dyDescent="0.2"/>
    <row r="3403" x14ac:dyDescent="0.2"/>
    <row r="3404" x14ac:dyDescent="0.2"/>
    <row r="3405" x14ac:dyDescent="0.2"/>
    <row r="3406" x14ac:dyDescent="0.2"/>
    <row r="3407" x14ac:dyDescent="0.2"/>
    <row r="3408" x14ac:dyDescent="0.2"/>
    <row r="3409" x14ac:dyDescent="0.2"/>
    <row r="3410" x14ac:dyDescent="0.2"/>
    <row r="3411" x14ac:dyDescent="0.2"/>
    <row r="3412" x14ac:dyDescent="0.2"/>
    <row r="3413" x14ac:dyDescent="0.2"/>
    <row r="3414" x14ac:dyDescent="0.2"/>
    <row r="3415" x14ac:dyDescent="0.2"/>
    <row r="3416" x14ac:dyDescent="0.2"/>
    <row r="3417" x14ac:dyDescent="0.2"/>
    <row r="3418" x14ac:dyDescent="0.2"/>
    <row r="3419" x14ac:dyDescent="0.2"/>
    <row r="3420" x14ac:dyDescent="0.2"/>
    <row r="3421" x14ac:dyDescent="0.2"/>
    <row r="3422" x14ac:dyDescent="0.2"/>
    <row r="3423" x14ac:dyDescent="0.2"/>
    <row r="3424" x14ac:dyDescent="0.2"/>
    <row r="3425" x14ac:dyDescent="0.2"/>
    <row r="3426" x14ac:dyDescent="0.2"/>
    <row r="3427" x14ac:dyDescent="0.2"/>
    <row r="3428" x14ac:dyDescent="0.2"/>
    <row r="3429" x14ac:dyDescent="0.2"/>
    <row r="3430" x14ac:dyDescent="0.2"/>
    <row r="3431" x14ac:dyDescent="0.2"/>
    <row r="3432" x14ac:dyDescent="0.2"/>
    <row r="3433" x14ac:dyDescent="0.2"/>
    <row r="3434" x14ac:dyDescent="0.2"/>
    <row r="3435" x14ac:dyDescent="0.2"/>
    <row r="3436" x14ac:dyDescent="0.2"/>
    <row r="3437" x14ac:dyDescent="0.2"/>
    <row r="3438" x14ac:dyDescent="0.2"/>
    <row r="3439" x14ac:dyDescent="0.2"/>
    <row r="3440" x14ac:dyDescent="0.2"/>
    <row r="3441" x14ac:dyDescent="0.2"/>
    <row r="3442" x14ac:dyDescent="0.2"/>
    <row r="3443" x14ac:dyDescent="0.2"/>
    <row r="3444" x14ac:dyDescent="0.2"/>
    <row r="3445" x14ac:dyDescent="0.2"/>
    <row r="3446" x14ac:dyDescent="0.2"/>
    <row r="3447" x14ac:dyDescent="0.2"/>
    <row r="3448" x14ac:dyDescent="0.2"/>
    <row r="3449" x14ac:dyDescent="0.2"/>
    <row r="3450" x14ac:dyDescent="0.2"/>
    <row r="3451" x14ac:dyDescent="0.2"/>
    <row r="3452" x14ac:dyDescent="0.2"/>
    <row r="3453" x14ac:dyDescent="0.2"/>
    <row r="3454" x14ac:dyDescent="0.2"/>
    <row r="3455" x14ac:dyDescent="0.2"/>
    <row r="3456" x14ac:dyDescent="0.2"/>
    <row r="3457" x14ac:dyDescent="0.2"/>
    <row r="3458" x14ac:dyDescent="0.2"/>
    <row r="3459" x14ac:dyDescent="0.2"/>
    <row r="3460" x14ac:dyDescent="0.2"/>
    <row r="3461" x14ac:dyDescent="0.2"/>
    <row r="3462" x14ac:dyDescent="0.2"/>
    <row r="3463" x14ac:dyDescent="0.2"/>
    <row r="3464" x14ac:dyDescent="0.2"/>
    <row r="3465" x14ac:dyDescent="0.2"/>
    <row r="3466" x14ac:dyDescent="0.2"/>
    <row r="3467" x14ac:dyDescent="0.2"/>
    <row r="3468" x14ac:dyDescent="0.2"/>
    <row r="3469" x14ac:dyDescent="0.2"/>
    <row r="3470" x14ac:dyDescent="0.2"/>
    <row r="3471" x14ac:dyDescent="0.2"/>
    <row r="3472" x14ac:dyDescent="0.2"/>
    <row r="3473" x14ac:dyDescent="0.2"/>
    <row r="3474" x14ac:dyDescent="0.2"/>
    <row r="3475" x14ac:dyDescent="0.2"/>
    <row r="3476" x14ac:dyDescent="0.2"/>
    <row r="3477" x14ac:dyDescent="0.2"/>
    <row r="3478" x14ac:dyDescent="0.2"/>
    <row r="3479" x14ac:dyDescent="0.2"/>
    <row r="3480" x14ac:dyDescent="0.2"/>
    <row r="3481" x14ac:dyDescent="0.2"/>
    <row r="3482" x14ac:dyDescent="0.2"/>
    <row r="3483" x14ac:dyDescent="0.2"/>
    <row r="3484" x14ac:dyDescent="0.2"/>
    <row r="3485" x14ac:dyDescent="0.2"/>
    <row r="3486" x14ac:dyDescent="0.2"/>
    <row r="3487" x14ac:dyDescent="0.2"/>
    <row r="3488" x14ac:dyDescent="0.2"/>
    <row r="3489" x14ac:dyDescent="0.2"/>
    <row r="3490" x14ac:dyDescent="0.2"/>
    <row r="3491" x14ac:dyDescent="0.2"/>
    <row r="3492" x14ac:dyDescent="0.2"/>
    <row r="3493" x14ac:dyDescent="0.2"/>
    <row r="3494" x14ac:dyDescent="0.2"/>
    <row r="3495" x14ac:dyDescent="0.2"/>
    <row r="3496" x14ac:dyDescent="0.2"/>
    <row r="3497" x14ac:dyDescent="0.2"/>
    <row r="3498" x14ac:dyDescent="0.2"/>
    <row r="3499" x14ac:dyDescent="0.2"/>
    <row r="3500" x14ac:dyDescent="0.2"/>
    <row r="3501" x14ac:dyDescent="0.2"/>
    <row r="3502" x14ac:dyDescent="0.2"/>
    <row r="3503" x14ac:dyDescent="0.2"/>
    <row r="3504" x14ac:dyDescent="0.2"/>
    <row r="3505" x14ac:dyDescent="0.2"/>
    <row r="3506" x14ac:dyDescent="0.2"/>
    <row r="3507" x14ac:dyDescent="0.2"/>
    <row r="3508" x14ac:dyDescent="0.2"/>
    <row r="3509" x14ac:dyDescent="0.2"/>
    <row r="3510" x14ac:dyDescent="0.2"/>
    <row r="3511" x14ac:dyDescent="0.2"/>
    <row r="3512" x14ac:dyDescent="0.2"/>
    <row r="3513" x14ac:dyDescent="0.2"/>
    <row r="3514" x14ac:dyDescent="0.2"/>
    <row r="3515" x14ac:dyDescent="0.2"/>
    <row r="3516" x14ac:dyDescent="0.2"/>
    <row r="3517" x14ac:dyDescent="0.2"/>
    <row r="3518" x14ac:dyDescent="0.2"/>
    <row r="3519" x14ac:dyDescent="0.2"/>
    <row r="3520" x14ac:dyDescent="0.2"/>
    <row r="3521" x14ac:dyDescent="0.2"/>
    <row r="3522" x14ac:dyDescent="0.2"/>
    <row r="3523" x14ac:dyDescent="0.2"/>
    <row r="3524" x14ac:dyDescent="0.2"/>
    <row r="3525" x14ac:dyDescent="0.2"/>
    <row r="3526" x14ac:dyDescent="0.2"/>
    <row r="3527" x14ac:dyDescent="0.2"/>
    <row r="3528" x14ac:dyDescent="0.2"/>
    <row r="3529" x14ac:dyDescent="0.2"/>
    <row r="3530" x14ac:dyDescent="0.2"/>
    <row r="3531" x14ac:dyDescent="0.2"/>
    <row r="3532" x14ac:dyDescent="0.2"/>
    <row r="3533" x14ac:dyDescent="0.2"/>
    <row r="3534" x14ac:dyDescent="0.2"/>
    <row r="3535" x14ac:dyDescent="0.2"/>
    <row r="3536" x14ac:dyDescent="0.2"/>
    <row r="3537" x14ac:dyDescent="0.2"/>
    <row r="3538" x14ac:dyDescent="0.2"/>
    <row r="3539" x14ac:dyDescent="0.2"/>
    <row r="3540" x14ac:dyDescent="0.2"/>
    <row r="3541" x14ac:dyDescent="0.2"/>
    <row r="3542" x14ac:dyDescent="0.2"/>
    <row r="3543" x14ac:dyDescent="0.2"/>
    <row r="3544" x14ac:dyDescent="0.2"/>
    <row r="3545" x14ac:dyDescent="0.2"/>
    <row r="3546" x14ac:dyDescent="0.2"/>
    <row r="3547" x14ac:dyDescent="0.2"/>
    <row r="3548" x14ac:dyDescent="0.2"/>
    <row r="3549" x14ac:dyDescent="0.2"/>
    <row r="3550" x14ac:dyDescent="0.2"/>
    <row r="3551" x14ac:dyDescent="0.2"/>
    <row r="3552" x14ac:dyDescent="0.2"/>
    <row r="3553" x14ac:dyDescent="0.2"/>
    <row r="3554" x14ac:dyDescent="0.2"/>
    <row r="3555" x14ac:dyDescent="0.2"/>
    <row r="3556" x14ac:dyDescent="0.2"/>
    <row r="3557" x14ac:dyDescent="0.2"/>
    <row r="3558" x14ac:dyDescent="0.2"/>
    <row r="3559" x14ac:dyDescent="0.2"/>
    <row r="3560" x14ac:dyDescent="0.2"/>
    <row r="3561" x14ac:dyDescent="0.2"/>
    <row r="3562" x14ac:dyDescent="0.2"/>
    <row r="3563" x14ac:dyDescent="0.2"/>
    <row r="3564" x14ac:dyDescent="0.2"/>
    <row r="3565" x14ac:dyDescent="0.2"/>
    <row r="3566" x14ac:dyDescent="0.2"/>
    <row r="3567" x14ac:dyDescent="0.2"/>
    <row r="3568" x14ac:dyDescent="0.2"/>
    <row r="3569" x14ac:dyDescent="0.2"/>
    <row r="3570" x14ac:dyDescent="0.2"/>
    <row r="3571" x14ac:dyDescent="0.2"/>
    <row r="3572" x14ac:dyDescent="0.2"/>
    <row r="3573" x14ac:dyDescent="0.2"/>
    <row r="3574" x14ac:dyDescent="0.2"/>
    <row r="3575" x14ac:dyDescent="0.2"/>
    <row r="3576" x14ac:dyDescent="0.2"/>
    <row r="3577" x14ac:dyDescent="0.2"/>
    <row r="3578" x14ac:dyDescent="0.2"/>
    <row r="3579" x14ac:dyDescent="0.2"/>
    <row r="3580" x14ac:dyDescent="0.2"/>
    <row r="3581" x14ac:dyDescent="0.2"/>
    <row r="3582" x14ac:dyDescent="0.2"/>
    <row r="3583" x14ac:dyDescent="0.2"/>
    <row r="3584" x14ac:dyDescent="0.2"/>
    <row r="3585" x14ac:dyDescent="0.2"/>
    <row r="3586" x14ac:dyDescent="0.2"/>
    <row r="3587" x14ac:dyDescent="0.2"/>
    <row r="3588" x14ac:dyDescent="0.2"/>
    <row r="3589" x14ac:dyDescent="0.2"/>
    <row r="3590" x14ac:dyDescent="0.2"/>
    <row r="3591" x14ac:dyDescent="0.2"/>
    <row r="3592" x14ac:dyDescent="0.2"/>
    <row r="3593" x14ac:dyDescent="0.2"/>
    <row r="3594" x14ac:dyDescent="0.2"/>
    <row r="3595" x14ac:dyDescent="0.2"/>
    <row r="3596" x14ac:dyDescent="0.2"/>
    <row r="3597" x14ac:dyDescent="0.2"/>
    <row r="3598" x14ac:dyDescent="0.2"/>
    <row r="3599" x14ac:dyDescent="0.2"/>
    <row r="3600" x14ac:dyDescent="0.2"/>
    <row r="3601" x14ac:dyDescent="0.2"/>
    <row r="3602" x14ac:dyDescent="0.2"/>
    <row r="3603" x14ac:dyDescent="0.2"/>
    <row r="3604" x14ac:dyDescent="0.2"/>
    <row r="3605" x14ac:dyDescent="0.2"/>
    <row r="3606" x14ac:dyDescent="0.2"/>
    <row r="3607" x14ac:dyDescent="0.2"/>
    <row r="3608" x14ac:dyDescent="0.2"/>
    <row r="3609" x14ac:dyDescent="0.2"/>
    <row r="3610" x14ac:dyDescent="0.2"/>
    <row r="3611" x14ac:dyDescent="0.2"/>
    <row r="3612" x14ac:dyDescent="0.2"/>
    <row r="3613" x14ac:dyDescent="0.2"/>
    <row r="3614" x14ac:dyDescent="0.2"/>
    <row r="3615" x14ac:dyDescent="0.2"/>
    <row r="3616" x14ac:dyDescent="0.2"/>
    <row r="3617" x14ac:dyDescent="0.2"/>
    <row r="3618" x14ac:dyDescent="0.2"/>
    <row r="3619" x14ac:dyDescent="0.2"/>
    <row r="3620" x14ac:dyDescent="0.2"/>
    <row r="3621" x14ac:dyDescent="0.2"/>
    <row r="3622" x14ac:dyDescent="0.2"/>
    <row r="3623" x14ac:dyDescent="0.2"/>
    <row r="3624" x14ac:dyDescent="0.2"/>
    <row r="3625" x14ac:dyDescent="0.2"/>
    <row r="3626" x14ac:dyDescent="0.2"/>
    <row r="3627" x14ac:dyDescent="0.2"/>
    <row r="3628" x14ac:dyDescent="0.2"/>
    <row r="3629" x14ac:dyDescent="0.2"/>
    <row r="3630" x14ac:dyDescent="0.2"/>
    <row r="3631" x14ac:dyDescent="0.2"/>
    <row r="3632" x14ac:dyDescent="0.2"/>
    <row r="3633" x14ac:dyDescent="0.2"/>
    <row r="3634" x14ac:dyDescent="0.2"/>
    <row r="3635" x14ac:dyDescent="0.2"/>
    <row r="3636" x14ac:dyDescent="0.2"/>
    <row r="3637" x14ac:dyDescent="0.2"/>
    <row r="3638" x14ac:dyDescent="0.2"/>
    <row r="3639" x14ac:dyDescent="0.2"/>
    <row r="3640" x14ac:dyDescent="0.2"/>
    <row r="3641" x14ac:dyDescent="0.2"/>
    <row r="3642" x14ac:dyDescent="0.2"/>
    <row r="3643" x14ac:dyDescent="0.2"/>
    <row r="3644" x14ac:dyDescent="0.2"/>
    <row r="3645" x14ac:dyDescent="0.2"/>
    <row r="3646" x14ac:dyDescent="0.2"/>
    <row r="3647" x14ac:dyDescent="0.2"/>
    <row r="3648" x14ac:dyDescent="0.2"/>
    <row r="3649" x14ac:dyDescent="0.2"/>
    <row r="3650" x14ac:dyDescent="0.2"/>
    <row r="3651" x14ac:dyDescent="0.2"/>
    <row r="3652" x14ac:dyDescent="0.2"/>
    <row r="3653" x14ac:dyDescent="0.2"/>
    <row r="3654" x14ac:dyDescent="0.2"/>
    <row r="3655" x14ac:dyDescent="0.2"/>
    <row r="3656" x14ac:dyDescent="0.2"/>
    <row r="3657" x14ac:dyDescent="0.2"/>
    <row r="3658" x14ac:dyDescent="0.2"/>
    <row r="3659" x14ac:dyDescent="0.2"/>
    <row r="3660" x14ac:dyDescent="0.2"/>
    <row r="3661" x14ac:dyDescent="0.2"/>
    <row r="3662" x14ac:dyDescent="0.2"/>
    <row r="3663" x14ac:dyDescent="0.2"/>
    <row r="3664" x14ac:dyDescent="0.2"/>
    <row r="3665" x14ac:dyDescent="0.2"/>
    <row r="3666" x14ac:dyDescent="0.2"/>
    <row r="3667" x14ac:dyDescent="0.2"/>
    <row r="3668" x14ac:dyDescent="0.2"/>
    <row r="3669" x14ac:dyDescent="0.2"/>
    <row r="3670" x14ac:dyDescent="0.2"/>
    <row r="3671" x14ac:dyDescent="0.2"/>
    <row r="3672" x14ac:dyDescent="0.2"/>
    <row r="3673" x14ac:dyDescent="0.2"/>
    <row r="3674" x14ac:dyDescent="0.2"/>
    <row r="3675" x14ac:dyDescent="0.2"/>
    <row r="3676" x14ac:dyDescent="0.2"/>
    <row r="3677" x14ac:dyDescent="0.2"/>
    <row r="3678" x14ac:dyDescent="0.2"/>
    <row r="3679" x14ac:dyDescent="0.2"/>
    <row r="3680" x14ac:dyDescent="0.2"/>
    <row r="3681" x14ac:dyDescent="0.2"/>
    <row r="3682" x14ac:dyDescent="0.2"/>
    <row r="3683" x14ac:dyDescent="0.2"/>
    <row r="3684" x14ac:dyDescent="0.2"/>
    <row r="3685" x14ac:dyDescent="0.2"/>
    <row r="3686" x14ac:dyDescent="0.2"/>
    <row r="3687" x14ac:dyDescent="0.2"/>
    <row r="3688" x14ac:dyDescent="0.2"/>
    <row r="3689" x14ac:dyDescent="0.2"/>
    <row r="3690" x14ac:dyDescent="0.2"/>
    <row r="3691" x14ac:dyDescent="0.2"/>
    <row r="3692" x14ac:dyDescent="0.2"/>
    <row r="3693" x14ac:dyDescent="0.2"/>
    <row r="3694" x14ac:dyDescent="0.2"/>
    <row r="3695" x14ac:dyDescent="0.2"/>
    <row r="3696" x14ac:dyDescent="0.2"/>
    <row r="3697" x14ac:dyDescent="0.2"/>
    <row r="3698" x14ac:dyDescent="0.2"/>
    <row r="3699" x14ac:dyDescent="0.2"/>
    <row r="3700" x14ac:dyDescent="0.2"/>
    <row r="3701" x14ac:dyDescent="0.2"/>
    <row r="3702" x14ac:dyDescent="0.2"/>
    <row r="3703" x14ac:dyDescent="0.2"/>
    <row r="3704" x14ac:dyDescent="0.2"/>
    <row r="3705" x14ac:dyDescent="0.2"/>
    <row r="3706" x14ac:dyDescent="0.2"/>
    <row r="3707" x14ac:dyDescent="0.2"/>
    <row r="3708" x14ac:dyDescent="0.2"/>
    <row r="3709" x14ac:dyDescent="0.2"/>
    <row r="3710" x14ac:dyDescent="0.2"/>
    <row r="3711" x14ac:dyDescent="0.2"/>
    <row r="3712" x14ac:dyDescent="0.2"/>
    <row r="3713" x14ac:dyDescent="0.2"/>
    <row r="3714" x14ac:dyDescent="0.2"/>
    <row r="3715" x14ac:dyDescent="0.2"/>
    <row r="3716" x14ac:dyDescent="0.2"/>
    <row r="3717" x14ac:dyDescent="0.2"/>
    <row r="3718" x14ac:dyDescent="0.2"/>
    <row r="3719" x14ac:dyDescent="0.2"/>
    <row r="3720" x14ac:dyDescent="0.2"/>
    <row r="3721" x14ac:dyDescent="0.2"/>
    <row r="3722" x14ac:dyDescent="0.2"/>
    <row r="3723" x14ac:dyDescent="0.2"/>
    <row r="3724" x14ac:dyDescent="0.2"/>
    <row r="3725" x14ac:dyDescent="0.2"/>
    <row r="3726" x14ac:dyDescent="0.2"/>
    <row r="3727" x14ac:dyDescent="0.2"/>
    <row r="3728" x14ac:dyDescent="0.2"/>
    <row r="3729" x14ac:dyDescent="0.2"/>
    <row r="3730" x14ac:dyDescent="0.2"/>
    <row r="3731" x14ac:dyDescent="0.2"/>
    <row r="3732" x14ac:dyDescent="0.2"/>
    <row r="3733" x14ac:dyDescent="0.2"/>
    <row r="3734" x14ac:dyDescent="0.2"/>
    <row r="3735" x14ac:dyDescent="0.2"/>
    <row r="3736" x14ac:dyDescent="0.2"/>
    <row r="3737" x14ac:dyDescent="0.2"/>
    <row r="3738" x14ac:dyDescent="0.2"/>
    <row r="3739" x14ac:dyDescent="0.2"/>
    <row r="3740" x14ac:dyDescent="0.2"/>
    <row r="3741" x14ac:dyDescent="0.2"/>
    <row r="3742" x14ac:dyDescent="0.2"/>
    <row r="3743" x14ac:dyDescent="0.2"/>
    <row r="3744" x14ac:dyDescent="0.2"/>
    <row r="3745" x14ac:dyDescent="0.2"/>
    <row r="3746" x14ac:dyDescent="0.2"/>
    <row r="3747" x14ac:dyDescent="0.2"/>
    <row r="3748" x14ac:dyDescent="0.2"/>
    <row r="3749" x14ac:dyDescent="0.2"/>
    <row r="3750" x14ac:dyDescent="0.2"/>
    <row r="3751" x14ac:dyDescent="0.2"/>
    <row r="3752" x14ac:dyDescent="0.2"/>
    <row r="3753" x14ac:dyDescent="0.2"/>
    <row r="3754" x14ac:dyDescent="0.2"/>
    <row r="3755" x14ac:dyDescent="0.2"/>
    <row r="3756" x14ac:dyDescent="0.2"/>
    <row r="3757" x14ac:dyDescent="0.2"/>
    <row r="3758" x14ac:dyDescent="0.2"/>
    <row r="3759" x14ac:dyDescent="0.2"/>
    <row r="3760" x14ac:dyDescent="0.2"/>
    <row r="3761" x14ac:dyDescent="0.2"/>
    <row r="3762" x14ac:dyDescent="0.2"/>
    <row r="3763" x14ac:dyDescent="0.2"/>
    <row r="3764" x14ac:dyDescent="0.2"/>
    <row r="3765" x14ac:dyDescent="0.2"/>
    <row r="3766" x14ac:dyDescent="0.2"/>
    <row r="3767" x14ac:dyDescent="0.2"/>
    <row r="3768" x14ac:dyDescent="0.2"/>
    <row r="3769" x14ac:dyDescent="0.2"/>
    <row r="3770" x14ac:dyDescent="0.2"/>
    <row r="3771" x14ac:dyDescent="0.2"/>
    <row r="3772" x14ac:dyDescent="0.2"/>
    <row r="3773" x14ac:dyDescent="0.2"/>
    <row r="3774" x14ac:dyDescent="0.2"/>
    <row r="3775" x14ac:dyDescent="0.2"/>
    <row r="3776" x14ac:dyDescent="0.2"/>
    <row r="3777" x14ac:dyDescent="0.2"/>
    <row r="3778" x14ac:dyDescent="0.2"/>
    <row r="3779" x14ac:dyDescent="0.2"/>
    <row r="3780" x14ac:dyDescent="0.2"/>
    <row r="3781" x14ac:dyDescent="0.2"/>
    <row r="3782" x14ac:dyDescent="0.2"/>
    <row r="3783" x14ac:dyDescent="0.2"/>
    <row r="3784" x14ac:dyDescent="0.2"/>
    <row r="3785" x14ac:dyDescent="0.2"/>
    <row r="3786" x14ac:dyDescent="0.2"/>
    <row r="3787" x14ac:dyDescent="0.2"/>
    <row r="3788" x14ac:dyDescent="0.2"/>
    <row r="3789" x14ac:dyDescent="0.2"/>
    <row r="3790" x14ac:dyDescent="0.2"/>
    <row r="3791" x14ac:dyDescent="0.2"/>
    <row r="3792" x14ac:dyDescent="0.2"/>
    <row r="3793" x14ac:dyDescent="0.2"/>
    <row r="3794" x14ac:dyDescent="0.2"/>
    <row r="3795" x14ac:dyDescent="0.2"/>
    <row r="3796" x14ac:dyDescent="0.2"/>
    <row r="3797" x14ac:dyDescent="0.2"/>
    <row r="3798" x14ac:dyDescent="0.2"/>
    <row r="3799" x14ac:dyDescent="0.2"/>
    <row r="3800" x14ac:dyDescent="0.2"/>
    <row r="3801" x14ac:dyDescent="0.2"/>
    <row r="3802" x14ac:dyDescent="0.2"/>
    <row r="3803" x14ac:dyDescent="0.2"/>
    <row r="3804" x14ac:dyDescent="0.2"/>
    <row r="3805" x14ac:dyDescent="0.2"/>
    <row r="3806" x14ac:dyDescent="0.2"/>
    <row r="3807" x14ac:dyDescent="0.2"/>
    <row r="3808" x14ac:dyDescent="0.2"/>
    <row r="3809" x14ac:dyDescent="0.2"/>
    <row r="3810" x14ac:dyDescent="0.2"/>
    <row r="3811" x14ac:dyDescent="0.2"/>
    <row r="3812" x14ac:dyDescent="0.2"/>
    <row r="3813" x14ac:dyDescent="0.2"/>
    <row r="3814" x14ac:dyDescent="0.2"/>
    <row r="3815" x14ac:dyDescent="0.2"/>
    <row r="3816" x14ac:dyDescent="0.2"/>
    <row r="3817" x14ac:dyDescent="0.2"/>
    <row r="3818" x14ac:dyDescent="0.2"/>
    <row r="3819" x14ac:dyDescent="0.2"/>
    <row r="3820" x14ac:dyDescent="0.2"/>
    <row r="3821" x14ac:dyDescent="0.2"/>
    <row r="3822" x14ac:dyDescent="0.2"/>
    <row r="3823" x14ac:dyDescent="0.2"/>
    <row r="3824" x14ac:dyDescent="0.2"/>
    <row r="3825" x14ac:dyDescent="0.2"/>
    <row r="3826" x14ac:dyDescent="0.2"/>
    <row r="3827" x14ac:dyDescent="0.2"/>
    <row r="3828" x14ac:dyDescent="0.2"/>
    <row r="3829" x14ac:dyDescent="0.2"/>
    <row r="3830" x14ac:dyDescent="0.2"/>
    <row r="3831" x14ac:dyDescent="0.2"/>
    <row r="3832" x14ac:dyDescent="0.2"/>
    <row r="3833" x14ac:dyDescent="0.2"/>
    <row r="3834" x14ac:dyDescent="0.2"/>
    <row r="3835" x14ac:dyDescent="0.2"/>
    <row r="3836" x14ac:dyDescent="0.2"/>
    <row r="3837" x14ac:dyDescent="0.2"/>
    <row r="3838" x14ac:dyDescent="0.2"/>
    <row r="3839" x14ac:dyDescent="0.2"/>
    <row r="3840" x14ac:dyDescent="0.2"/>
    <row r="3841" x14ac:dyDescent="0.2"/>
    <row r="3842" x14ac:dyDescent="0.2"/>
    <row r="3843" x14ac:dyDescent="0.2"/>
    <row r="3844" x14ac:dyDescent="0.2"/>
    <row r="3845" x14ac:dyDescent="0.2"/>
    <row r="3846" x14ac:dyDescent="0.2"/>
    <row r="3847" x14ac:dyDescent="0.2"/>
    <row r="3848" x14ac:dyDescent="0.2"/>
    <row r="3849" x14ac:dyDescent="0.2"/>
    <row r="3850" x14ac:dyDescent="0.2"/>
    <row r="3851" x14ac:dyDescent="0.2"/>
    <row r="3852" x14ac:dyDescent="0.2"/>
    <row r="3853" x14ac:dyDescent="0.2"/>
    <row r="3854" x14ac:dyDescent="0.2"/>
    <row r="3855" x14ac:dyDescent="0.2"/>
    <row r="3856" x14ac:dyDescent="0.2"/>
    <row r="3857" x14ac:dyDescent="0.2"/>
    <row r="3858" x14ac:dyDescent="0.2"/>
    <row r="3859" x14ac:dyDescent="0.2"/>
    <row r="3860" x14ac:dyDescent="0.2"/>
    <row r="3861" x14ac:dyDescent="0.2"/>
    <row r="3862" x14ac:dyDescent="0.2"/>
    <row r="3863" x14ac:dyDescent="0.2"/>
    <row r="3864" x14ac:dyDescent="0.2"/>
    <row r="3865" x14ac:dyDescent="0.2"/>
    <row r="3866" x14ac:dyDescent="0.2"/>
    <row r="3867" x14ac:dyDescent="0.2"/>
    <row r="3868" x14ac:dyDescent="0.2"/>
    <row r="3869" x14ac:dyDescent="0.2"/>
    <row r="3870" x14ac:dyDescent="0.2"/>
    <row r="3871" x14ac:dyDescent="0.2"/>
    <row r="3872" x14ac:dyDescent="0.2"/>
    <row r="3873" x14ac:dyDescent="0.2"/>
    <row r="3874" x14ac:dyDescent="0.2"/>
    <row r="3875" x14ac:dyDescent="0.2"/>
    <row r="3876" x14ac:dyDescent="0.2"/>
    <row r="3877" x14ac:dyDescent="0.2"/>
    <row r="3878" x14ac:dyDescent="0.2"/>
    <row r="3879" x14ac:dyDescent="0.2"/>
    <row r="3880" x14ac:dyDescent="0.2"/>
    <row r="3881" x14ac:dyDescent="0.2"/>
    <row r="3882" x14ac:dyDescent="0.2"/>
    <row r="3883" x14ac:dyDescent="0.2"/>
    <row r="3884" x14ac:dyDescent="0.2"/>
    <row r="3885" x14ac:dyDescent="0.2"/>
    <row r="3886" x14ac:dyDescent="0.2"/>
    <row r="3887" x14ac:dyDescent="0.2"/>
    <row r="3888" x14ac:dyDescent="0.2"/>
    <row r="3889" x14ac:dyDescent="0.2"/>
    <row r="3890" x14ac:dyDescent="0.2"/>
    <row r="3891" x14ac:dyDescent="0.2"/>
    <row r="3892" x14ac:dyDescent="0.2"/>
    <row r="3893" x14ac:dyDescent="0.2"/>
    <row r="3894" x14ac:dyDescent="0.2"/>
    <row r="3895" x14ac:dyDescent="0.2"/>
    <row r="3896" x14ac:dyDescent="0.2"/>
    <row r="3897" x14ac:dyDescent="0.2"/>
    <row r="3898" x14ac:dyDescent="0.2"/>
    <row r="3899" x14ac:dyDescent="0.2"/>
    <row r="3900" x14ac:dyDescent="0.2"/>
    <row r="3901" x14ac:dyDescent="0.2"/>
    <row r="3902" x14ac:dyDescent="0.2"/>
    <row r="3903" x14ac:dyDescent="0.2"/>
    <row r="3904" x14ac:dyDescent="0.2"/>
    <row r="3905" x14ac:dyDescent="0.2"/>
    <row r="3906" x14ac:dyDescent="0.2"/>
    <row r="3907" x14ac:dyDescent="0.2"/>
    <row r="3908" x14ac:dyDescent="0.2"/>
    <row r="3909" x14ac:dyDescent="0.2"/>
    <row r="3910" x14ac:dyDescent="0.2"/>
    <row r="3911" x14ac:dyDescent="0.2"/>
    <row r="3912" x14ac:dyDescent="0.2"/>
    <row r="3913" x14ac:dyDescent="0.2"/>
    <row r="3914" x14ac:dyDescent="0.2"/>
    <row r="3915" x14ac:dyDescent="0.2"/>
    <row r="3916" x14ac:dyDescent="0.2"/>
    <row r="3917" x14ac:dyDescent="0.2"/>
    <row r="3918" x14ac:dyDescent="0.2"/>
    <row r="3919" x14ac:dyDescent="0.2"/>
    <row r="3920" x14ac:dyDescent="0.2"/>
    <row r="3921" x14ac:dyDescent="0.2"/>
    <row r="3922" x14ac:dyDescent="0.2"/>
    <row r="3923" x14ac:dyDescent="0.2"/>
    <row r="3924" x14ac:dyDescent="0.2"/>
    <row r="3925" x14ac:dyDescent="0.2"/>
    <row r="3926" x14ac:dyDescent="0.2"/>
    <row r="3927" x14ac:dyDescent="0.2"/>
    <row r="3928" x14ac:dyDescent="0.2"/>
    <row r="3929" x14ac:dyDescent="0.2"/>
    <row r="3930" x14ac:dyDescent="0.2"/>
    <row r="3931" x14ac:dyDescent="0.2"/>
    <row r="3932" x14ac:dyDescent="0.2"/>
    <row r="3933" x14ac:dyDescent="0.2"/>
    <row r="3934" x14ac:dyDescent="0.2"/>
    <row r="3935" x14ac:dyDescent="0.2"/>
    <row r="3936" x14ac:dyDescent="0.2"/>
    <row r="3937" x14ac:dyDescent="0.2"/>
    <row r="3938" x14ac:dyDescent="0.2"/>
    <row r="3939" x14ac:dyDescent="0.2"/>
    <row r="3940" x14ac:dyDescent="0.2"/>
    <row r="3941" x14ac:dyDescent="0.2"/>
    <row r="3942" x14ac:dyDescent="0.2"/>
    <row r="3943" x14ac:dyDescent="0.2"/>
    <row r="3944" x14ac:dyDescent="0.2"/>
    <row r="3945" x14ac:dyDescent="0.2"/>
    <row r="3946" x14ac:dyDescent="0.2"/>
    <row r="3947" x14ac:dyDescent="0.2"/>
    <row r="3948" x14ac:dyDescent="0.2"/>
    <row r="3949" x14ac:dyDescent="0.2"/>
    <row r="3950" x14ac:dyDescent="0.2"/>
    <row r="3951" x14ac:dyDescent="0.2"/>
    <row r="3952" x14ac:dyDescent="0.2"/>
    <row r="3953" x14ac:dyDescent="0.2"/>
    <row r="3954" x14ac:dyDescent="0.2"/>
    <row r="3955" x14ac:dyDescent="0.2"/>
    <row r="3956" x14ac:dyDescent="0.2"/>
    <row r="3957" x14ac:dyDescent="0.2"/>
    <row r="3958" x14ac:dyDescent="0.2"/>
    <row r="3959" x14ac:dyDescent="0.2"/>
    <row r="3960" x14ac:dyDescent="0.2"/>
    <row r="3961" x14ac:dyDescent="0.2"/>
    <row r="3962" x14ac:dyDescent="0.2"/>
    <row r="3963" x14ac:dyDescent="0.2"/>
    <row r="3964" x14ac:dyDescent="0.2"/>
    <row r="3965" x14ac:dyDescent="0.2"/>
    <row r="3966" x14ac:dyDescent="0.2"/>
    <row r="3967" x14ac:dyDescent="0.2"/>
    <row r="3968" x14ac:dyDescent="0.2"/>
    <row r="3969" x14ac:dyDescent="0.2"/>
    <row r="3970" x14ac:dyDescent="0.2"/>
    <row r="3971" x14ac:dyDescent="0.2"/>
    <row r="3972" x14ac:dyDescent="0.2"/>
    <row r="3973" x14ac:dyDescent="0.2"/>
    <row r="3974" x14ac:dyDescent="0.2"/>
    <row r="3975" x14ac:dyDescent="0.2"/>
    <row r="3976" x14ac:dyDescent="0.2"/>
    <row r="3977" x14ac:dyDescent="0.2"/>
    <row r="3978" x14ac:dyDescent="0.2"/>
    <row r="3979" x14ac:dyDescent="0.2"/>
    <row r="3980" x14ac:dyDescent="0.2"/>
    <row r="3981" x14ac:dyDescent="0.2"/>
    <row r="3982" x14ac:dyDescent="0.2"/>
    <row r="3983" x14ac:dyDescent="0.2"/>
    <row r="3984" x14ac:dyDescent="0.2"/>
    <row r="3985" x14ac:dyDescent="0.2"/>
    <row r="3986" x14ac:dyDescent="0.2"/>
    <row r="3987" x14ac:dyDescent="0.2"/>
    <row r="3988" x14ac:dyDescent="0.2"/>
    <row r="3989" x14ac:dyDescent="0.2"/>
    <row r="3990" x14ac:dyDescent="0.2"/>
    <row r="3991" x14ac:dyDescent="0.2"/>
    <row r="3992" x14ac:dyDescent="0.2"/>
    <row r="3993" x14ac:dyDescent="0.2"/>
    <row r="3994" x14ac:dyDescent="0.2"/>
    <row r="3995" x14ac:dyDescent="0.2"/>
    <row r="3996" x14ac:dyDescent="0.2"/>
    <row r="3997" x14ac:dyDescent="0.2"/>
    <row r="3998" x14ac:dyDescent="0.2"/>
    <row r="3999" x14ac:dyDescent="0.2"/>
    <row r="4000" x14ac:dyDescent="0.2"/>
    <row r="4001" x14ac:dyDescent="0.2"/>
    <row r="4002" x14ac:dyDescent="0.2"/>
    <row r="4003" x14ac:dyDescent="0.2"/>
    <row r="4004" x14ac:dyDescent="0.2"/>
    <row r="4005" x14ac:dyDescent="0.2"/>
    <row r="4006" x14ac:dyDescent="0.2"/>
    <row r="4007" x14ac:dyDescent="0.2"/>
    <row r="4008" x14ac:dyDescent="0.2"/>
    <row r="4009" x14ac:dyDescent="0.2"/>
    <row r="4010" x14ac:dyDescent="0.2"/>
    <row r="4011" x14ac:dyDescent="0.2"/>
    <row r="4012" x14ac:dyDescent="0.2"/>
    <row r="4013" x14ac:dyDescent="0.2"/>
    <row r="4014" x14ac:dyDescent="0.2"/>
    <row r="4015" x14ac:dyDescent="0.2"/>
    <row r="4016" x14ac:dyDescent="0.2"/>
    <row r="4017" x14ac:dyDescent="0.2"/>
    <row r="4018" x14ac:dyDescent="0.2"/>
    <row r="4019" x14ac:dyDescent="0.2"/>
    <row r="4020" x14ac:dyDescent="0.2"/>
    <row r="4021" x14ac:dyDescent="0.2"/>
    <row r="4022" x14ac:dyDescent="0.2"/>
    <row r="4023" x14ac:dyDescent="0.2"/>
    <row r="4024" x14ac:dyDescent="0.2"/>
    <row r="4025" x14ac:dyDescent="0.2"/>
    <row r="4026" x14ac:dyDescent="0.2"/>
    <row r="4027" x14ac:dyDescent="0.2"/>
    <row r="4028" x14ac:dyDescent="0.2"/>
    <row r="4029" x14ac:dyDescent="0.2"/>
    <row r="4030" x14ac:dyDescent="0.2"/>
    <row r="4031" x14ac:dyDescent="0.2"/>
    <row r="4032" x14ac:dyDescent="0.2"/>
    <row r="4033" x14ac:dyDescent="0.2"/>
    <row r="4034" x14ac:dyDescent="0.2"/>
    <row r="4035" x14ac:dyDescent="0.2"/>
    <row r="4036" x14ac:dyDescent="0.2"/>
    <row r="4037" x14ac:dyDescent="0.2"/>
    <row r="4038" x14ac:dyDescent="0.2"/>
    <row r="4039" x14ac:dyDescent="0.2"/>
    <row r="4040" x14ac:dyDescent="0.2"/>
    <row r="4041" x14ac:dyDescent="0.2"/>
    <row r="4042" x14ac:dyDescent="0.2"/>
    <row r="4043" x14ac:dyDescent="0.2"/>
    <row r="4044" x14ac:dyDescent="0.2"/>
    <row r="4045" x14ac:dyDescent="0.2"/>
    <row r="4046" x14ac:dyDescent="0.2"/>
    <row r="4047" x14ac:dyDescent="0.2"/>
    <row r="4048" x14ac:dyDescent="0.2"/>
    <row r="4049" x14ac:dyDescent="0.2"/>
    <row r="4050" x14ac:dyDescent="0.2"/>
    <row r="4051" x14ac:dyDescent="0.2"/>
    <row r="4052" x14ac:dyDescent="0.2"/>
    <row r="4053" x14ac:dyDescent="0.2"/>
    <row r="4054" x14ac:dyDescent="0.2"/>
    <row r="4055" x14ac:dyDescent="0.2"/>
    <row r="4056" x14ac:dyDescent="0.2"/>
    <row r="4057" x14ac:dyDescent="0.2"/>
    <row r="4058" x14ac:dyDescent="0.2"/>
    <row r="4059" x14ac:dyDescent="0.2"/>
    <row r="4060" x14ac:dyDescent="0.2"/>
    <row r="4061" x14ac:dyDescent="0.2"/>
    <row r="4062" x14ac:dyDescent="0.2"/>
    <row r="4063" x14ac:dyDescent="0.2"/>
    <row r="4064" x14ac:dyDescent="0.2"/>
    <row r="4065" x14ac:dyDescent="0.2"/>
    <row r="4066" x14ac:dyDescent="0.2"/>
    <row r="4067" x14ac:dyDescent="0.2"/>
    <row r="4068" x14ac:dyDescent="0.2"/>
    <row r="4069" x14ac:dyDescent="0.2"/>
    <row r="4070" x14ac:dyDescent="0.2"/>
    <row r="4071" x14ac:dyDescent="0.2"/>
    <row r="4072" x14ac:dyDescent="0.2"/>
    <row r="4073" x14ac:dyDescent="0.2"/>
    <row r="4074" x14ac:dyDescent="0.2"/>
    <row r="4075" x14ac:dyDescent="0.2"/>
    <row r="4076" x14ac:dyDescent="0.2"/>
    <row r="4077" x14ac:dyDescent="0.2"/>
    <row r="4078" x14ac:dyDescent="0.2"/>
    <row r="4079" x14ac:dyDescent="0.2"/>
    <row r="4080" x14ac:dyDescent="0.2"/>
    <row r="4081" x14ac:dyDescent="0.2"/>
    <row r="4082" x14ac:dyDescent="0.2"/>
    <row r="4083" x14ac:dyDescent="0.2"/>
    <row r="4084" x14ac:dyDescent="0.2"/>
    <row r="4085" x14ac:dyDescent="0.2"/>
    <row r="4086" x14ac:dyDescent="0.2"/>
    <row r="4087" x14ac:dyDescent="0.2"/>
    <row r="4088" x14ac:dyDescent="0.2"/>
    <row r="4089" x14ac:dyDescent="0.2"/>
    <row r="4090" x14ac:dyDescent="0.2"/>
    <row r="4091" x14ac:dyDescent="0.2"/>
    <row r="4092" x14ac:dyDescent="0.2"/>
    <row r="4093" x14ac:dyDescent="0.2"/>
    <row r="4094" x14ac:dyDescent="0.2"/>
    <row r="4095" x14ac:dyDescent="0.2"/>
    <row r="4096" x14ac:dyDescent="0.2"/>
    <row r="4097" x14ac:dyDescent="0.2"/>
    <row r="4098" x14ac:dyDescent="0.2"/>
    <row r="4099" x14ac:dyDescent="0.2"/>
    <row r="4100" x14ac:dyDescent="0.2"/>
    <row r="4101" x14ac:dyDescent="0.2"/>
    <row r="4102" x14ac:dyDescent="0.2"/>
    <row r="4103" x14ac:dyDescent="0.2"/>
    <row r="4104" x14ac:dyDescent="0.2"/>
    <row r="4105" x14ac:dyDescent="0.2"/>
    <row r="4106" x14ac:dyDescent="0.2"/>
    <row r="4107" x14ac:dyDescent="0.2"/>
    <row r="4108" x14ac:dyDescent="0.2"/>
    <row r="4109" x14ac:dyDescent="0.2"/>
    <row r="4110" x14ac:dyDescent="0.2"/>
    <row r="4111" x14ac:dyDescent="0.2"/>
    <row r="4112" x14ac:dyDescent="0.2"/>
    <row r="4113" x14ac:dyDescent="0.2"/>
    <row r="4114" x14ac:dyDescent="0.2"/>
    <row r="4115" x14ac:dyDescent="0.2"/>
    <row r="4116" x14ac:dyDescent="0.2"/>
    <row r="4117" x14ac:dyDescent="0.2"/>
    <row r="4118" x14ac:dyDescent="0.2"/>
    <row r="4119" x14ac:dyDescent="0.2"/>
    <row r="4120" x14ac:dyDescent="0.2"/>
    <row r="4121" x14ac:dyDescent="0.2"/>
    <row r="4122" x14ac:dyDescent="0.2"/>
    <row r="4123" x14ac:dyDescent="0.2"/>
    <row r="4124" x14ac:dyDescent="0.2"/>
    <row r="4125" x14ac:dyDescent="0.2"/>
    <row r="4126" x14ac:dyDescent="0.2"/>
    <row r="4127" x14ac:dyDescent="0.2"/>
    <row r="4128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  <row r="4152" x14ac:dyDescent="0.2"/>
    <row r="4153" x14ac:dyDescent="0.2"/>
    <row r="4154" x14ac:dyDescent="0.2"/>
    <row r="4155" x14ac:dyDescent="0.2"/>
    <row r="4156" x14ac:dyDescent="0.2"/>
    <row r="4157" x14ac:dyDescent="0.2"/>
    <row r="4158" x14ac:dyDescent="0.2"/>
    <row r="4159" x14ac:dyDescent="0.2"/>
    <row r="4160" x14ac:dyDescent="0.2"/>
    <row r="4161" x14ac:dyDescent="0.2"/>
    <row r="4162" x14ac:dyDescent="0.2"/>
    <row r="4163" x14ac:dyDescent="0.2"/>
    <row r="4164" x14ac:dyDescent="0.2"/>
    <row r="4165" x14ac:dyDescent="0.2"/>
    <row r="4166" x14ac:dyDescent="0.2"/>
    <row r="4167" x14ac:dyDescent="0.2"/>
    <row r="4168" x14ac:dyDescent="0.2"/>
    <row r="4169" x14ac:dyDescent="0.2"/>
    <row r="4170" x14ac:dyDescent="0.2"/>
    <row r="4171" x14ac:dyDescent="0.2"/>
    <row r="4172" x14ac:dyDescent="0.2"/>
    <row r="4173" x14ac:dyDescent="0.2"/>
    <row r="4174" x14ac:dyDescent="0.2"/>
    <row r="4175" x14ac:dyDescent="0.2"/>
    <row r="4176" x14ac:dyDescent="0.2"/>
    <row r="4177" x14ac:dyDescent="0.2"/>
    <row r="4178" x14ac:dyDescent="0.2"/>
    <row r="4179" x14ac:dyDescent="0.2"/>
    <row r="4180" x14ac:dyDescent="0.2"/>
    <row r="4181" x14ac:dyDescent="0.2"/>
    <row r="4182" x14ac:dyDescent="0.2"/>
    <row r="4183" x14ac:dyDescent="0.2"/>
    <row r="4184" x14ac:dyDescent="0.2"/>
    <row r="4185" x14ac:dyDescent="0.2"/>
    <row r="4186" x14ac:dyDescent="0.2"/>
    <row r="4187" x14ac:dyDescent="0.2"/>
    <row r="4188" x14ac:dyDescent="0.2"/>
    <row r="4189" x14ac:dyDescent="0.2"/>
    <row r="4190" x14ac:dyDescent="0.2"/>
    <row r="4191" x14ac:dyDescent="0.2"/>
    <row r="4192" x14ac:dyDescent="0.2"/>
    <row r="4193" x14ac:dyDescent="0.2"/>
    <row r="4194" x14ac:dyDescent="0.2"/>
    <row r="4195" x14ac:dyDescent="0.2"/>
    <row r="4196" x14ac:dyDescent="0.2"/>
    <row r="4197" x14ac:dyDescent="0.2"/>
    <row r="4198" x14ac:dyDescent="0.2"/>
    <row r="4199" x14ac:dyDescent="0.2"/>
    <row r="4200" x14ac:dyDescent="0.2"/>
    <row r="4201" x14ac:dyDescent="0.2"/>
    <row r="4202" x14ac:dyDescent="0.2"/>
    <row r="4203" x14ac:dyDescent="0.2"/>
    <row r="4204" x14ac:dyDescent="0.2"/>
    <row r="4205" x14ac:dyDescent="0.2"/>
    <row r="4206" x14ac:dyDescent="0.2"/>
    <row r="4207" x14ac:dyDescent="0.2"/>
    <row r="4208" x14ac:dyDescent="0.2"/>
    <row r="4209" x14ac:dyDescent="0.2"/>
    <row r="4210" x14ac:dyDescent="0.2"/>
    <row r="4211" x14ac:dyDescent="0.2"/>
    <row r="4212" x14ac:dyDescent="0.2"/>
    <row r="4213" x14ac:dyDescent="0.2"/>
    <row r="4214" x14ac:dyDescent="0.2"/>
    <row r="4215" x14ac:dyDescent="0.2"/>
    <row r="4216" x14ac:dyDescent="0.2"/>
    <row r="4217" x14ac:dyDescent="0.2"/>
    <row r="4218" x14ac:dyDescent="0.2"/>
    <row r="4219" x14ac:dyDescent="0.2"/>
    <row r="4220" x14ac:dyDescent="0.2"/>
    <row r="4221" x14ac:dyDescent="0.2"/>
    <row r="4222" x14ac:dyDescent="0.2"/>
    <row r="4223" x14ac:dyDescent="0.2"/>
    <row r="4224" x14ac:dyDescent="0.2"/>
    <row r="4225" x14ac:dyDescent="0.2"/>
    <row r="4226" x14ac:dyDescent="0.2"/>
    <row r="4227" x14ac:dyDescent="0.2"/>
    <row r="4228" x14ac:dyDescent="0.2"/>
    <row r="4229" x14ac:dyDescent="0.2"/>
    <row r="4230" x14ac:dyDescent="0.2"/>
    <row r="4231" x14ac:dyDescent="0.2"/>
    <row r="4232" x14ac:dyDescent="0.2"/>
    <row r="4233" x14ac:dyDescent="0.2"/>
    <row r="4234" x14ac:dyDescent="0.2"/>
    <row r="4235" x14ac:dyDescent="0.2"/>
    <row r="4236" x14ac:dyDescent="0.2"/>
    <row r="4237" x14ac:dyDescent="0.2"/>
    <row r="4238" x14ac:dyDescent="0.2"/>
    <row r="4239" x14ac:dyDescent="0.2"/>
    <row r="4240" x14ac:dyDescent="0.2"/>
    <row r="4241" x14ac:dyDescent="0.2"/>
    <row r="4242" x14ac:dyDescent="0.2"/>
    <row r="4243" x14ac:dyDescent="0.2"/>
    <row r="4244" x14ac:dyDescent="0.2"/>
    <row r="4245" x14ac:dyDescent="0.2"/>
    <row r="4246" x14ac:dyDescent="0.2"/>
    <row r="4247" x14ac:dyDescent="0.2"/>
    <row r="4248" x14ac:dyDescent="0.2"/>
    <row r="4249" x14ac:dyDescent="0.2"/>
    <row r="4250" x14ac:dyDescent="0.2"/>
    <row r="4251" x14ac:dyDescent="0.2"/>
    <row r="4252" x14ac:dyDescent="0.2"/>
    <row r="4253" x14ac:dyDescent="0.2"/>
    <row r="4254" x14ac:dyDescent="0.2"/>
    <row r="4255" x14ac:dyDescent="0.2"/>
    <row r="4256" x14ac:dyDescent="0.2"/>
    <row r="4257" x14ac:dyDescent="0.2"/>
    <row r="4258" x14ac:dyDescent="0.2"/>
    <row r="4259" x14ac:dyDescent="0.2"/>
    <row r="4260" x14ac:dyDescent="0.2"/>
    <row r="4261" x14ac:dyDescent="0.2"/>
    <row r="4262" x14ac:dyDescent="0.2"/>
    <row r="4263" x14ac:dyDescent="0.2"/>
    <row r="4264" x14ac:dyDescent="0.2"/>
    <row r="4265" x14ac:dyDescent="0.2"/>
    <row r="4266" x14ac:dyDescent="0.2"/>
    <row r="4267" x14ac:dyDescent="0.2"/>
    <row r="4268" x14ac:dyDescent="0.2"/>
    <row r="4269" x14ac:dyDescent="0.2"/>
    <row r="4270" x14ac:dyDescent="0.2"/>
    <row r="4271" x14ac:dyDescent="0.2"/>
    <row r="4272" x14ac:dyDescent="0.2"/>
    <row r="4273" x14ac:dyDescent="0.2"/>
    <row r="4274" x14ac:dyDescent="0.2"/>
    <row r="4275" x14ac:dyDescent="0.2"/>
    <row r="4276" x14ac:dyDescent="0.2"/>
    <row r="4277" x14ac:dyDescent="0.2"/>
    <row r="4278" x14ac:dyDescent="0.2"/>
    <row r="4279" x14ac:dyDescent="0.2"/>
    <row r="4280" x14ac:dyDescent="0.2"/>
    <row r="4281" x14ac:dyDescent="0.2"/>
    <row r="4282" x14ac:dyDescent="0.2"/>
    <row r="4283" x14ac:dyDescent="0.2"/>
    <row r="4284" x14ac:dyDescent="0.2"/>
    <row r="4285" x14ac:dyDescent="0.2"/>
    <row r="4286" x14ac:dyDescent="0.2"/>
    <row r="4287" x14ac:dyDescent="0.2"/>
    <row r="4288" x14ac:dyDescent="0.2"/>
    <row r="4289" x14ac:dyDescent="0.2"/>
    <row r="4290" x14ac:dyDescent="0.2"/>
    <row r="4291" x14ac:dyDescent="0.2"/>
    <row r="4292" x14ac:dyDescent="0.2"/>
    <row r="4293" x14ac:dyDescent="0.2"/>
    <row r="4294" x14ac:dyDescent="0.2"/>
    <row r="4295" x14ac:dyDescent="0.2"/>
    <row r="4296" x14ac:dyDescent="0.2"/>
    <row r="4297" x14ac:dyDescent="0.2"/>
    <row r="4298" x14ac:dyDescent="0.2"/>
    <row r="4299" x14ac:dyDescent="0.2"/>
    <row r="4300" x14ac:dyDescent="0.2"/>
    <row r="4301" x14ac:dyDescent="0.2"/>
    <row r="4302" x14ac:dyDescent="0.2"/>
    <row r="4303" x14ac:dyDescent="0.2"/>
    <row r="4304" x14ac:dyDescent="0.2"/>
    <row r="4305" x14ac:dyDescent="0.2"/>
    <row r="4306" x14ac:dyDescent="0.2"/>
    <row r="4307" x14ac:dyDescent="0.2"/>
    <row r="4308" x14ac:dyDescent="0.2"/>
    <row r="4309" x14ac:dyDescent="0.2"/>
    <row r="4310" x14ac:dyDescent="0.2"/>
    <row r="4311" x14ac:dyDescent="0.2"/>
    <row r="4312" x14ac:dyDescent="0.2"/>
    <row r="4313" x14ac:dyDescent="0.2"/>
    <row r="4314" x14ac:dyDescent="0.2"/>
    <row r="4315" x14ac:dyDescent="0.2"/>
    <row r="4316" x14ac:dyDescent="0.2"/>
    <row r="4317" x14ac:dyDescent="0.2"/>
    <row r="4318" x14ac:dyDescent="0.2"/>
    <row r="4319" x14ac:dyDescent="0.2"/>
    <row r="4320" x14ac:dyDescent="0.2"/>
    <row r="4321" x14ac:dyDescent="0.2"/>
    <row r="4322" x14ac:dyDescent="0.2"/>
    <row r="4323" x14ac:dyDescent="0.2"/>
    <row r="4324" x14ac:dyDescent="0.2"/>
    <row r="4325" x14ac:dyDescent="0.2"/>
    <row r="4326" x14ac:dyDescent="0.2"/>
    <row r="4327" x14ac:dyDescent="0.2"/>
    <row r="4328" x14ac:dyDescent="0.2"/>
    <row r="4329" x14ac:dyDescent="0.2"/>
    <row r="4330" x14ac:dyDescent="0.2"/>
    <row r="4331" x14ac:dyDescent="0.2"/>
    <row r="4332" x14ac:dyDescent="0.2"/>
    <row r="4333" x14ac:dyDescent="0.2"/>
    <row r="4334" x14ac:dyDescent="0.2"/>
    <row r="4335" x14ac:dyDescent="0.2"/>
    <row r="4336" x14ac:dyDescent="0.2"/>
    <row r="4337" x14ac:dyDescent="0.2"/>
    <row r="4338" x14ac:dyDescent="0.2"/>
    <row r="4339" x14ac:dyDescent="0.2"/>
    <row r="4340" x14ac:dyDescent="0.2"/>
    <row r="4341" x14ac:dyDescent="0.2"/>
    <row r="4342" x14ac:dyDescent="0.2"/>
    <row r="4343" x14ac:dyDescent="0.2"/>
    <row r="4344" x14ac:dyDescent="0.2"/>
    <row r="4345" x14ac:dyDescent="0.2"/>
    <row r="4346" x14ac:dyDescent="0.2"/>
    <row r="4347" x14ac:dyDescent="0.2"/>
    <row r="4348" x14ac:dyDescent="0.2"/>
    <row r="4349" x14ac:dyDescent="0.2"/>
    <row r="4350" x14ac:dyDescent="0.2"/>
    <row r="4351" x14ac:dyDescent="0.2"/>
    <row r="4352" x14ac:dyDescent="0.2"/>
    <row r="4353" x14ac:dyDescent="0.2"/>
    <row r="4354" x14ac:dyDescent="0.2"/>
    <row r="4355" x14ac:dyDescent="0.2"/>
    <row r="4356" x14ac:dyDescent="0.2"/>
    <row r="4357" x14ac:dyDescent="0.2"/>
    <row r="4358" x14ac:dyDescent="0.2"/>
    <row r="4359" x14ac:dyDescent="0.2"/>
    <row r="4360" x14ac:dyDescent="0.2"/>
    <row r="4361" x14ac:dyDescent="0.2"/>
    <row r="4362" x14ac:dyDescent="0.2"/>
    <row r="4363" x14ac:dyDescent="0.2"/>
    <row r="4364" x14ac:dyDescent="0.2"/>
    <row r="4365" x14ac:dyDescent="0.2"/>
    <row r="4366" x14ac:dyDescent="0.2"/>
    <row r="4367" x14ac:dyDescent="0.2"/>
    <row r="4368" x14ac:dyDescent="0.2"/>
    <row r="4369" x14ac:dyDescent="0.2"/>
    <row r="4370" x14ac:dyDescent="0.2"/>
    <row r="4371" x14ac:dyDescent="0.2"/>
    <row r="4372" x14ac:dyDescent="0.2"/>
    <row r="4373" x14ac:dyDescent="0.2"/>
    <row r="4374" x14ac:dyDescent="0.2"/>
    <row r="4375" x14ac:dyDescent="0.2"/>
    <row r="4376" x14ac:dyDescent="0.2"/>
    <row r="4377" x14ac:dyDescent="0.2"/>
    <row r="4378" x14ac:dyDescent="0.2"/>
    <row r="4379" x14ac:dyDescent="0.2"/>
    <row r="4380" x14ac:dyDescent="0.2"/>
    <row r="4381" x14ac:dyDescent="0.2"/>
    <row r="4382" x14ac:dyDescent="0.2"/>
    <row r="4383" x14ac:dyDescent="0.2"/>
    <row r="4384" x14ac:dyDescent="0.2"/>
    <row r="4385" x14ac:dyDescent="0.2"/>
    <row r="4386" x14ac:dyDescent="0.2"/>
    <row r="4387" x14ac:dyDescent="0.2"/>
    <row r="4388" x14ac:dyDescent="0.2"/>
    <row r="4389" x14ac:dyDescent="0.2"/>
    <row r="4390" x14ac:dyDescent="0.2"/>
    <row r="4391" x14ac:dyDescent="0.2"/>
    <row r="4392" x14ac:dyDescent="0.2"/>
    <row r="4393" x14ac:dyDescent="0.2"/>
    <row r="4394" x14ac:dyDescent="0.2"/>
    <row r="4395" x14ac:dyDescent="0.2"/>
    <row r="4396" x14ac:dyDescent="0.2"/>
    <row r="4397" x14ac:dyDescent="0.2"/>
    <row r="4398" x14ac:dyDescent="0.2"/>
    <row r="4399" x14ac:dyDescent="0.2"/>
    <row r="4400" x14ac:dyDescent="0.2"/>
    <row r="4401" x14ac:dyDescent="0.2"/>
    <row r="4402" x14ac:dyDescent="0.2"/>
    <row r="4403" x14ac:dyDescent="0.2"/>
    <row r="4404" x14ac:dyDescent="0.2"/>
    <row r="4405" x14ac:dyDescent="0.2"/>
    <row r="4406" x14ac:dyDescent="0.2"/>
    <row r="4407" x14ac:dyDescent="0.2"/>
    <row r="4408" x14ac:dyDescent="0.2"/>
    <row r="4409" x14ac:dyDescent="0.2"/>
    <row r="4410" x14ac:dyDescent="0.2"/>
    <row r="4411" x14ac:dyDescent="0.2"/>
    <row r="4412" x14ac:dyDescent="0.2"/>
    <row r="4413" x14ac:dyDescent="0.2"/>
    <row r="4414" x14ac:dyDescent="0.2"/>
    <row r="4415" x14ac:dyDescent="0.2"/>
    <row r="4416" x14ac:dyDescent="0.2"/>
    <row r="4417" x14ac:dyDescent="0.2"/>
    <row r="4418" x14ac:dyDescent="0.2"/>
    <row r="4419" x14ac:dyDescent="0.2"/>
    <row r="4420" x14ac:dyDescent="0.2"/>
    <row r="4421" x14ac:dyDescent="0.2"/>
    <row r="4422" x14ac:dyDescent="0.2"/>
    <row r="4423" x14ac:dyDescent="0.2"/>
    <row r="4424" x14ac:dyDescent="0.2"/>
    <row r="4425" x14ac:dyDescent="0.2"/>
    <row r="4426" x14ac:dyDescent="0.2"/>
    <row r="4427" x14ac:dyDescent="0.2"/>
    <row r="4428" x14ac:dyDescent="0.2"/>
    <row r="4429" x14ac:dyDescent="0.2"/>
    <row r="4430" x14ac:dyDescent="0.2"/>
    <row r="4431" x14ac:dyDescent="0.2"/>
    <row r="4432" x14ac:dyDescent="0.2"/>
    <row r="4433" x14ac:dyDescent="0.2"/>
    <row r="4434" x14ac:dyDescent="0.2"/>
    <row r="4435" x14ac:dyDescent="0.2"/>
    <row r="4436" x14ac:dyDescent="0.2"/>
    <row r="4437" x14ac:dyDescent="0.2"/>
    <row r="4438" x14ac:dyDescent="0.2"/>
    <row r="4439" x14ac:dyDescent="0.2"/>
    <row r="4440" x14ac:dyDescent="0.2"/>
    <row r="4441" x14ac:dyDescent="0.2"/>
    <row r="4442" x14ac:dyDescent="0.2"/>
    <row r="4443" x14ac:dyDescent="0.2"/>
    <row r="4444" x14ac:dyDescent="0.2"/>
    <row r="4445" x14ac:dyDescent="0.2"/>
    <row r="4446" x14ac:dyDescent="0.2"/>
    <row r="4447" x14ac:dyDescent="0.2"/>
    <row r="4448" x14ac:dyDescent="0.2"/>
    <row r="4449" x14ac:dyDescent="0.2"/>
    <row r="4450" x14ac:dyDescent="0.2"/>
    <row r="4451" x14ac:dyDescent="0.2"/>
    <row r="4452" x14ac:dyDescent="0.2"/>
    <row r="4453" x14ac:dyDescent="0.2"/>
    <row r="4454" x14ac:dyDescent="0.2"/>
    <row r="4455" x14ac:dyDescent="0.2"/>
    <row r="4456" x14ac:dyDescent="0.2"/>
    <row r="4457" x14ac:dyDescent="0.2"/>
    <row r="4458" x14ac:dyDescent="0.2"/>
    <row r="4459" x14ac:dyDescent="0.2"/>
    <row r="4460" x14ac:dyDescent="0.2"/>
    <row r="4461" x14ac:dyDescent="0.2"/>
    <row r="4462" x14ac:dyDescent="0.2"/>
    <row r="4463" x14ac:dyDescent="0.2"/>
    <row r="4464" x14ac:dyDescent="0.2"/>
    <row r="4465" x14ac:dyDescent="0.2"/>
    <row r="4466" x14ac:dyDescent="0.2"/>
    <row r="4467" x14ac:dyDescent="0.2"/>
    <row r="4468" x14ac:dyDescent="0.2"/>
    <row r="4469" x14ac:dyDescent="0.2"/>
    <row r="4470" x14ac:dyDescent="0.2"/>
    <row r="4471" x14ac:dyDescent="0.2"/>
    <row r="4472" x14ac:dyDescent="0.2"/>
    <row r="4473" x14ac:dyDescent="0.2"/>
    <row r="4474" x14ac:dyDescent="0.2"/>
    <row r="4475" x14ac:dyDescent="0.2"/>
    <row r="4476" x14ac:dyDescent="0.2"/>
    <row r="4477" x14ac:dyDescent="0.2"/>
    <row r="4478" x14ac:dyDescent="0.2"/>
    <row r="4479" x14ac:dyDescent="0.2"/>
    <row r="4480" x14ac:dyDescent="0.2"/>
    <row r="4481" x14ac:dyDescent="0.2"/>
    <row r="4482" x14ac:dyDescent="0.2"/>
    <row r="4483" x14ac:dyDescent="0.2"/>
    <row r="4484" x14ac:dyDescent="0.2"/>
    <row r="4485" x14ac:dyDescent="0.2"/>
    <row r="4486" x14ac:dyDescent="0.2"/>
    <row r="4487" x14ac:dyDescent="0.2"/>
    <row r="4488" x14ac:dyDescent="0.2"/>
    <row r="4489" x14ac:dyDescent="0.2"/>
    <row r="4490" x14ac:dyDescent="0.2"/>
    <row r="4491" x14ac:dyDescent="0.2"/>
    <row r="4492" x14ac:dyDescent="0.2"/>
    <row r="4493" x14ac:dyDescent="0.2"/>
    <row r="4494" x14ac:dyDescent="0.2"/>
    <row r="4495" x14ac:dyDescent="0.2"/>
    <row r="4496" x14ac:dyDescent="0.2"/>
    <row r="4497" x14ac:dyDescent="0.2"/>
    <row r="4498" x14ac:dyDescent="0.2"/>
    <row r="4499" x14ac:dyDescent="0.2"/>
    <row r="4500" x14ac:dyDescent="0.2"/>
    <row r="4501" x14ac:dyDescent="0.2"/>
    <row r="4502" x14ac:dyDescent="0.2"/>
    <row r="4503" x14ac:dyDescent="0.2"/>
    <row r="4504" x14ac:dyDescent="0.2"/>
    <row r="4505" x14ac:dyDescent="0.2"/>
    <row r="4506" x14ac:dyDescent="0.2"/>
    <row r="4507" x14ac:dyDescent="0.2"/>
    <row r="4508" x14ac:dyDescent="0.2"/>
    <row r="4509" x14ac:dyDescent="0.2"/>
    <row r="4510" x14ac:dyDescent="0.2"/>
    <row r="4511" x14ac:dyDescent="0.2"/>
    <row r="4512" x14ac:dyDescent="0.2"/>
    <row r="4513" x14ac:dyDescent="0.2"/>
    <row r="4514" x14ac:dyDescent="0.2"/>
    <row r="4515" x14ac:dyDescent="0.2"/>
    <row r="4516" x14ac:dyDescent="0.2"/>
    <row r="4517" x14ac:dyDescent="0.2"/>
    <row r="4518" x14ac:dyDescent="0.2"/>
    <row r="4519" x14ac:dyDescent="0.2"/>
    <row r="4520" x14ac:dyDescent="0.2"/>
    <row r="4521" x14ac:dyDescent="0.2"/>
    <row r="4522" x14ac:dyDescent="0.2"/>
    <row r="4523" x14ac:dyDescent="0.2"/>
    <row r="4524" x14ac:dyDescent="0.2"/>
    <row r="4525" x14ac:dyDescent="0.2"/>
    <row r="4526" x14ac:dyDescent="0.2"/>
    <row r="4527" x14ac:dyDescent="0.2"/>
    <row r="4528" x14ac:dyDescent="0.2"/>
    <row r="4529" x14ac:dyDescent="0.2"/>
    <row r="4530" x14ac:dyDescent="0.2"/>
    <row r="4531" x14ac:dyDescent="0.2"/>
    <row r="4532" x14ac:dyDescent="0.2"/>
    <row r="4533" x14ac:dyDescent="0.2"/>
    <row r="4534" x14ac:dyDescent="0.2"/>
    <row r="4535" x14ac:dyDescent="0.2"/>
    <row r="4536" x14ac:dyDescent="0.2"/>
    <row r="4537" x14ac:dyDescent="0.2"/>
    <row r="4538" x14ac:dyDescent="0.2"/>
    <row r="4539" x14ac:dyDescent="0.2"/>
    <row r="4540" x14ac:dyDescent="0.2"/>
    <row r="4541" x14ac:dyDescent="0.2"/>
    <row r="4542" x14ac:dyDescent="0.2"/>
    <row r="4543" x14ac:dyDescent="0.2"/>
    <row r="4544" x14ac:dyDescent="0.2"/>
    <row r="4545" x14ac:dyDescent="0.2"/>
    <row r="4546" x14ac:dyDescent="0.2"/>
    <row r="4547" x14ac:dyDescent="0.2"/>
    <row r="4548" x14ac:dyDescent="0.2"/>
    <row r="4549" x14ac:dyDescent="0.2"/>
    <row r="4550" x14ac:dyDescent="0.2"/>
    <row r="4551" x14ac:dyDescent="0.2"/>
    <row r="4552" x14ac:dyDescent="0.2"/>
    <row r="4553" x14ac:dyDescent="0.2"/>
    <row r="4554" x14ac:dyDescent="0.2"/>
    <row r="4555" x14ac:dyDescent="0.2"/>
    <row r="4556" x14ac:dyDescent="0.2"/>
    <row r="4557" x14ac:dyDescent="0.2"/>
    <row r="4558" x14ac:dyDescent="0.2"/>
    <row r="4559" x14ac:dyDescent="0.2"/>
    <row r="4560" x14ac:dyDescent="0.2"/>
    <row r="4561" x14ac:dyDescent="0.2"/>
    <row r="4562" x14ac:dyDescent="0.2"/>
    <row r="4563" x14ac:dyDescent="0.2"/>
    <row r="4564" x14ac:dyDescent="0.2"/>
    <row r="4565" x14ac:dyDescent="0.2"/>
    <row r="4566" x14ac:dyDescent="0.2"/>
    <row r="4567" x14ac:dyDescent="0.2"/>
    <row r="4568" x14ac:dyDescent="0.2"/>
    <row r="4569" x14ac:dyDescent="0.2"/>
    <row r="4570" x14ac:dyDescent="0.2"/>
    <row r="4571" x14ac:dyDescent="0.2"/>
    <row r="4572" x14ac:dyDescent="0.2"/>
    <row r="4573" x14ac:dyDescent="0.2"/>
    <row r="4574" x14ac:dyDescent="0.2"/>
    <row r="4575" x14ac:dyDescent="0.2"/>
    <row r="4576" x14ac:dyDescent="0.2"/>
    <row r="4577" x14ac:dyDescent="0.2"/>
    <row r="4578" x14ac:dyDescent="0.2"/>
    <row r="4579" x14ac:dyDescent="0.2"/>
    <row r="4580" x14ac:dyDescent="0.2"/>
    <row r="4581" x14ac:dyDescent="0.2"/>
    <row r="4582" x14ac:dyDescent="0.2"/>
    <row r="4583" x14ac:dyDescent="0.2"/>
    <row r="4584" x14ac:dyDescent="0.2"/>
    <row r="4585" x14ac:dyDescent="0.2"/>
    <row r="4586" x14ac:dyDescent="0.2"/>
    <row r="4587" x14ac:dyDescent="0.2"/>
    <row r="4588" x14ac:dyDescent="0.2"/>
    <row r="4589" x14ac:dyDescent="0.2"/>
    <row r="4590" x14ac:dyDescent="0.2"/>
    <row r="4591" x14ac:dyDescent="0.2"/>
    <row r="4592" x14ac:dyDescent="0.2"/>
    <row r="4593" x14ac:dyDescent="0.2"/>
    <row r="4594" x14ac:dyDescent="0.2"/>
    <row r="4595" x14ac:dyDescent="0.2"/>
    <row r="4596" x14ac:dyDescent="0.2"/>
    <row r="4597" x14ac:dyDescent="0.2"/>
    <row r="4598" x14ac:dyDescent="0.2"/>
    <row r="4599" x14ac:dyDescent="0.2"/>
    <row r="4600" x14ac:dyDescent="0.2"/>
    <row r="4601" x14ac:dyDescent="0.2"/>
    <row r="4602" x14ac:dyDescent="0.2"/>
    <row r="4603" x14ac:dyDescent="0.2"/>
    <row r="4604" x14ac:dyDescent="0.2"/>
    <row r="4605" x14ac:dyDescent="0.2"/>
    <row r="4606" x14ac:dyDescent="0.2"/>
    <row r="4607" x14ac:dyDescent="0.2"/>
    <row r="4608" x14ac:dyDescent="0.2"/>
    <row r="4609" x14ac:dyDescent="0.2"/>
    <row r="4610" x14ac:dyDescent="0.2"/>
    <row r="4611" x14ac:dyDescent="0.2"/>
    <row r="4612" x14ac:dyDescent="0.2"/>
    <row r="4613" x14ac:dyDescent="0.2"/>
    <row r="4614" x14ac:dyDescent="0.2"/>
    <row r="4615" x14ac:dyDescent="0.2"/>
    <row r="4616" x14ac:dyDescent="0.2"/>
    <row r="4617" x14ac:dyDescent="0.2"/>
    <row r="4618" x14ac:dyDescent="0.2"/>
    <row r="4619" x14ac:dyDescent="0.2"/>
    <row r="4620" x14ac:dyDescent="0.2"/>
    <row r="4621" x14ac:dyDescent="0.2"/>
    <row r="4622" x14ac:dyDescent="0.2"/>
    <row r="4623" x14ac:dyDescent="0.2"/>
    <row r="4624" x14ac:dyDescent="0.2"/>
    <row r="4625" x14ac:dyDescent="0.2"/>
    <row r="4626" x14ac:dyDescent="0.2"/>
    <row r="4627" x14ac:dyDescent="0.2"/>
    <row r="4628" x14ac:dyDescent="0.2"/>
    <row r="4629" x14ac:dyDescent="0.2"/>
    <row r="4630" x14ac:dyDescent="0.2"/>
    <row r="4631" x14ac:dyDescent="0.2"/>
    <row r="4632" x14ac:dyDescent="0.2"/>
    <row r="4633" x14ac:dyDescent="0.2"/>
    <row r="4634" x14ac:dyDescent="0.2"/>
    <row r="4635" x14ac:dyDescent="0.2"/>
    <row r="4636" x14ac:dyDescent="0.2"/>
    <row r="4637" x14ac:dyDescent="0.2"/>
    <row r="4638" x14ac:dyDescent="0.2"/>
    <row r="4639" x14ac:dyDescent="0.2"/>
    <row r="4640" x14ac:dyDescent="0.2"/>
    <row r="4641" x14ac:dyDescent="0.2"/>
    <row r="4642" x14ac:dyDescent="0.2"/>
    <row r="4643" x14ac:dyDescent="0.2"/>
    <row r="4644" x14ac:dyDescent="0.2"/>
    <row r="4645" x14ac:dyDescent="0.2"/>
    <row r="4646" x14ac:dyDescent="0.2"/>
    <row r="4647" x14ac:dyDescent="0.2"/>
    <row r="4648" x14ac:dyDescent="0.2"/>
    <row r="4649" x14ac:dyDescent="0.2"/>
    <row r="4650" x14ac:dyDescent="0.2"/>
    <row r="4651" x14ac:dyDescent="0.2"/>
    <row r="4652" x14ac:dyDescent="0.2"/>
    <row r="4653" x14ac:dyDescent="0.2"/>
    <row r="4654" x14ac:dyDescent="0.2"/>
    <row r="4655" x14ac:dyDescent="0.2"/>
    <row r="4656" x14ac:dyDescent="0.2"/>
    <row r="4657" x14ac:dyDescent="0.2"/>
    <row r="4658" x14ac:dyDescent="0.2"/>
    <row r="4659" x14ac:dyDescent="0.2"/>
    <row r="4660" x14ac:dyDescent="0.2"/>
    <row r="4661" x14ac:dyDescent="0.2"/>
    <row r="4662" x14ac:dyDescent="0.2"/>
    <row r="4663" x14ac:dyDescent="0.2"/>
    <row r="4664" x14ac:dyDescent="0.2"/>
    <row r="4665" x14ac:dyDescent="0.2"/>
    <row r="4666" x14ac:dyDescent="0.2"/>
    <row r="4667" x14ac:dyDescent="0.2"/>
    <row r="4668" x14ac:dyDescent="0.2"/>
    <row r="4669" x14ac:dyDescent="0.2"/>
    <row r="4670" x14ac:dyDescent="0.2"/>
    <row r="4671" x14ac:dyDescent="0.2"/>
    <row r="4672" x14ac:dyDescent="0.2"/>
    <row r="4673" x14ac:dyDescent="0.2"/>
    <row r="4674" x14ac:dyDescent="0.2"/>
    <row r="4675" x14ac:dyDescent="0.2"/>
    <row r="4676" x14ac:dyDescent="0.2"/>
    <row r="4677" x14ac:dyDescent="0.2"/>
    <row r="4678" x14ac:dyDescent="0.2"/>
    <row r="4679" x14ac:dyDescent="0.2"/>
    <row r="4680" x14ac:dyDescent="0.2"/>
    <row r="4681" x14ac:dyDescent="0.2"/>
    <row r="4682" x14ac:dyDescent="0.2"/>
    <row r="4683" x14ac:dyDescent="0.2"/>
    <row r="4684" x14ac:dyDescent="0.2"/>
    <row r="4685" x14ac:dyDescent="0.2"/>
    <row r="4686" x14ac:dyDescent="0.2"/>
    <row r="4687" x14ac:dyDescent="0.2"/>
    <row r="4688" x14ac:dyDescent="0.2"/>
    <row r="4689" x14ac:dyDescent="0.2"/>
    <row r="4690" x14ac:dyDescent="0.2"/>
    <row r="4691" x14ac:dyDescent="0.2"/>
    <row r="4692" x14ac:dyDescent="0.2"/>
    <row r="4693" x14ac:dyDescent="0.2"/>
    <row r="4694" x14ac:dyDescent="0.2"/>
    <row r="4695" x14ac:dyDescent="0.2"/>
    <row r="4696" x14ac:dyDescent="0.2"/>
    <row r="4697" x14ac:dyDescent="0.2"/>
    <row r="4698" x14ac:dyDescent="0.2"/>
    <row r="4699" x14ac:dyDescent="0.2"/>
    <row r="4700" x14ac:dyDescent="0.2"/>
    <row r="4701" x14ac:dyDescent="0.2"/>
    <row r="4702" x14ac:dyDescent="0.2"/>
    <row r="4703" x14ac:dyDescent="0.2"/>
    <row r="4704" x14ac:dyDescent="0.2"/>
    <row r="4705" x14ac:dyDescent="0.2"/>
    <row r="4706" x14ac:dyDescent="0.2"/>
    <row r="4707" x14ac:dyDescent="0.2"/>
    <row r="4708" x14ac:dyDescent="0.2"/>
    <row r="4709" x14ac:dyDescent="0.2"/>
    <row r="4710" x14ac:dyDescent="0.2"/>
    <row r="4711" x14ac:dyDescent="0.2"/>
    <row r="4712" x14ac:dyDescent="0.2"/>
    <row r="4713" x14ac:dyDescent="0.2"/>
    <row r="4714" x14ac:dyDescent="0.2"/>
    <row r="4715" x14ac:dyDescent="0.2"/>
    <row r="4716" x14ac:dyDescent="0.2"/>
    <row r="4717" x14ac:dyDescent="0.2"/>
    <row r="4718" x14ac:dyDescent="0.2"/>
    <row r="4719" x14ac:dyDescent="0.2"/>
    <row r="4720" x14ac:dyDescent="0.2"/>
    <row r="4721" x14ac:dyDescent="0.2"/>
    <row r="4722" x14ac:dyDescent="0.2"/>
    <row r="4723" x14ac:dyDescent="0.2"/>
    <row r="4724" x14ac:dyDescent="0.2"/>
    <row r="4725" x14ac:dyDescent="0.2"/>
    <row r="4726" x14ac:dyDescent="0.2"/>
    <row r="4727" x14ac:dyDescent="0.2"/>
    <row r="4728" x14ac:dyDescent="0.2"/>
    <row r="4729" x14ac:dyDescent="0.2"/>
    <row r="4730" x14ac:dyDescent="0.2"/>
    <row r="4731" x14ac:dyDescent="0.2"/>
    <row r="4732" x14ac:dyDescent="0.2"/>
    <row r="4733" x14ac:dyDescent="0.2"/>
    <row r="4734" x14ac:dyDescent="0.2"/>
    <row r="4735" x14ac:dyDescent="0.2"/>
    <row r="4736" x14ac:dyDescent="0.2"/>
    <row r="4737" x14ac:dyDescent="0.2"/>
    <row r="4738" x14ac:dyDescent="0.2"/>
    <row r="4739" x14ac:dyDescent="0.2"/>
    <row r="4740" x14ac:dyDescent="0.2"/>
    <row r="4741" x14ac:dyDescent="0.2"/>
    <row r="4742" x14ac:dyDescent="0.2"/>
    <row r="4743" x14ac:dyDescent="0.2"/>
    <row r="4744" x14ac:dyDescent="0.2"/>
    <row r="4745" x14ac:dyDescent="0.2"/>
    <row r="4746" x14ac:dyDescent="0.2"/>
    <row r="4747" x14ac:dyDescent="0.2"/>
    <row r="4748" x14ac:dyDescent="0.2"/>
    <row r="4749" x14ac:dyDescent="0.2"/>
    <row r="4750" x14ac:dyDescent="0.2"/>
    <row r="4751" x14ac:dyDescent="0.2"/>
    <row r="4752" x14ac:dyDescent="0.2"/>
    <row r="4753" x14ac:dyDescent="0.2"/>
    <row r="4754" x14ac:dyDescent="0.2"/>
    <row r="4755" x14ac:dyDescent="0.2"/>
    <row r="4756" x14ac:dyDescent="0.2"/>
    <row r="4757" x14ac:dyDescent="0.2"/>
    <row r="4758" x14ac:dyDescent="0.2"/>
    <row r="4759" x14ac:dyDescent="0.2"/>
    <row r="4760" x14ac:dyDescent="0.2"/>
    <row r="4761" x14ac:dyDescent="0.2"/>
    <row r="4762" x14ac:dyDescent="0.2"/>
    <row r="4763" x14ac:dyDescent="0.2"/>
    <row r="4764" x14ac:dyDescent="0.2"/>
    <row r="4765" x14ac:dyDescent="0.2"/>
    <row r="4766" x14ac:dyDescent="0.2"/>
    <row r="4767" x14ac:dyDescent="0.2"/>
    <row r="4768" x14ac:dyDescent="0.2"/>
    <row r="4769" x14ac:dyDescent="0.2"/>
    <row r="4770" x14ac:dyDescent="0.2"/>
    <row r="4771" x14ac:dyDescent="0.2"/>
    <row r="4772" x14ac:dyDescent="0.2"/>
    <row r="4773" x14ac:dyDescent="0.2"/>
    <row r="4774" x14ac:dyDescent="0.2"/>
    <row r="4775" x14ac:dyDescent="0.2"/>
    <row r="4776" x14ac:dyDescent="0.2"/>
    <row r="4777" x14ac:dyDescent="0.2"/>
    <row r="4778" x14ac:dyDescent="0.2"/>
    <row r="4779" x14ac:dyDescent="0.2"/>
    <row r="4780" x14ac:dyDescent="0.2"/>
    <row r="4781" x14ac:dyDescent="0.2"/>
    <row r="4782" x14ac:dyDescent="0.2"/>
    <row r="4783" x14ac:dyDescent="0.2"/>
    <row r="4784" x14ac:dyDescent="0.2"/>
    <row r="4785" x14ac:dyDescent="0.2"/>
    <row r="4786" x14ac:dyDescent="0.2"/>
    <row r="4787" x14ac:dyDescent="0.2"/>
    <row r="4788" x14ac:dyDescent="0.2"/>
    <row r="4789" x14ac:dyDescent="0.2"/>
    <row r="4790" x14ac:dyDescent="0.2"/>
    <row r="4791" x14ac:dyDescent="0.2"/>
    <row r="4792" x14ac:dyDescent="0.2"/>
    <row r="4793" x14ac:dyDescent="0.2"/>
    <row r="4794" x14ac:dyDescent="0.2"/>
    <row r="4795" x14ac:dyDescent="0.2"/>
    <row r="4796" x14ac:dyDescent="0.2"/>
    <row r="4797" x14ac:dyDescent="0.2"/>
    <row r="4798" x14ac:dyDescent="0.2"/>
    <row r="4799" x14ac:dyDescent="0.2"/>
    <row r="4800" x14ac:dyDescent="0.2"/>
    <row r="4801" x14ac:dyDescent="0.2"/>
    <row r="4802" x14ac:dyDescent="0.2"/>
    <row r="4803" x14ac:dyDescent="0.2"/>
    <row r="4804" x14ac:dyDescent="0.2"/>
    <row r="4805" x14ac:dyDescent="0.2"/>
    <row r="4806" x14ac:dyDescent="0.2"/>
    <row r="4807" x14ac:dyDescent="0.2"/>
    <row r="4808" x14ac:dyDescent="0.2"/>
    <row r="4809" x14ac:dyDescent="0.2"/>
    <row r="4810" x14ac:dyDescent="0.2"/>
    <row r="4811" x14ac:dyDescent="0.2"/>
    <row r="4812" x14ac:dyDescent="0.2"/>
    <row r="4813" x14ac:dyDescent="0.2"/>
    <row r="4814" x14ac:dyDescent="0.2"/>
    <row r="4815" x14ac:dyDescent="0.2"/>
    <row r="4816" x14ac:dyDescent="0.2"/>
    <row r="4817" x14ac:dyDescent="0.2"/>
    <row r="4818" x14ac:dyDescent="0.2"/>
    <row r="4819" x14ac:dyDescent="0.2"/>
    <row r="4820" x14ac:dyDescent="0.2"/>
    <row r="4821" x14ac:dyDescent="0.2"/>
    <row r="4822" x14ac:dyDescent="0.2"/>
    <row r="4823" x14ac:dyDescent="0.2"/>
    <row r="4824" x14ac:dyDescent="0.2"/>
    <row r="4825" x14ac:dyDescent="0.2"/>
    <row r="4826" x14ac:dyDescent="0.2"/>
    <row r="4827" x14ac:dyDescent="0.2"/>
    <row r="4828" x14ac:dyDescent="0.2"/>
    <row r="4829" x14ac:dyDescent="0.2"/>
    <row r="4830" x14ac:dyDescent="0.2"/>
    <row r="4831" x14ac:dyDescent="0.2"/>
    <row r="4832" x14ac:dyDescent="0.2"/>
    <row r="4833" x14ac:dyDescent="0.2"/>
    <row r="4834" x14ac:dyDescent="0.2"/>
    <row r="4835" x14ac:dyDescent="0.2"/>
    <row r="4836" x14ac:dyDescent="0.2"/>
    <row r="4837" x14ac:dyDescent="0.2"/>
    <row r="4838" x14ac:dyDescent="0.2"/>
    <row r="4839" x14ac:dyDescent="0.2"/>
    <row r="4840" x14ac:dyDescent="0.2"/>
    <row r="4841" x14ac:dyDescent="0.2"/>
    <row r="4842" x14ac:dyDescent="0.2"/>
    <row r="4843" x14ac:dyDescent="0.2"/>
    <row r="4844" x14ac:dyDescent="0.2"/>
    <row r="4845" x14ac:dyDescent="0.2"/>
    <row r="4846" x14ac:dyDescent="0.2"/>
    <row r="4847" x14ac:dyDescent="0.2"/>
    <row r="4848" x14ac:dyDescent="0.2"/>
    <row r="4849" x14ac:dyDescent="0.2"/>
    <row r="4850" x14ac:dyDescent="0.2"/>
    <row r="4851" x14ac:dyDescent="0.2"/>
    <row r="4852" x14ac:dyDescent="0.2"/>
    <row r="4853" x14ac:dyDescent="0.2"/>
    <row r="4854" x14ac:dyDescent="0.2"/>
    <row r="4855" x14ac:dyDescent="0.2"/>
    <row r="4856" x14ac:dyDescent="0.2"/>
    <row r="4857" x14ac:dyDescent="0.2"/>
    <row r="4858" x14ac:dyDescent="0.2"/>
    <row r="4859" x14ac:dyDescent="0.2"/>
    <row r="4860" x14ac:dyDescent="0.2"/>
    <row r="4861" x14ac:dyDescent="0.2"/>
    <row r="4862" x14ac:dyDescent="0.2"/>
    <row r="4863" x14ac:dyDescent="0.2"/>
    <row r="4864" x14ac:dyDescent="0.2"/>
    <row r="4865" x14ac:dyDescent="0.2"/>
    <row r="4866" x14ac:dyDescent="0.2"/>
    <row r="4867" x14ac:dyDescent="0.2"/>
    <row r="4868" x14ac:dyDescent="0.2"/>
    <row r="4869" x14ac:dyDescent="0.2"/>
    <row r="4870" x14ac:dyDescent="0.2"/>
    <row r="4871" x14ac:dyDescent="0.2"/>
    <row r="4872" x14ac:dyDescent="0.2"/>
    <row r="4873" x14ac:dyDescent="0.2"/>
    <row r="4874" x14ac:dyDescent="0.2"/>
    <row r="4875" x14ac:dyDescent="0.2"/>
    <row r="4876" x14ac:dyDescent="0.2"/>
    <row r="4877" x14ac:dyDescent="0.2"/>
    <row r="4878" x14ac:dyDescent="0.2"/>
    <row r="4879" x14ac:dyDescent="0.2"/>
    <row r="4880" x14ac:dyDescent="0.2"/>
    <row r="4881" x14ac:dyDescent="0.2"/>
    <row r="4882" x14ac:dyDescent="0.2"/>
    <row r="4883" x14ac:dyDescent="0.2"/>
    <row r="4884" x14ac:dyDescent="0.2"/>
    <row r="4885" x14ac:dyDescent="0.2"/>
    <row r="4886" x14ac:dyDescent="0.2"/>
    <row r="4887" x14ac:dyDescent="0.2"/>
    <row r="4888" x14ac:dyDescent="0.2"/>
    <row r="4889" x14ac:dyDescent="0.2"/>
    <row r="4890" x14ac:dyDescent="0.2"/>
    <row r="4891" x14ac:dyDescent="0.2"/>
    <row r="4892" x14ac:dyDescent="0.2"/>
    <row r="4893" x14ac:dyDescent="0.2"/>
    <row r="4894" x14ac:dyDescent="0.2"/>
    <row r="4895" x14ac:dyDescent="0.2"/>
    <row r="4896" x14ac:dyDescent="0.2"/>
    <row r="4897" x14ac:dyDescent="0.2"/>
    <row r="4898" x14ac:dyDescent="0.2"/>
    <row r="4899" x14ac:dyDescent="0.2"/>
    <row r="4900" x14ac:dyDescent="0.2"/>
    <row r="4901" x14ac:dyDescent="0.2"/>
    <row r="4902" x14ac:dyDescent="0.2"/>
    <row r="4903" x14ac:dyDescent="0.2"/>
    <row r="4904" x14ac:dyDescent="0.2"/>
    <row r="4905" x14ac:dyDescent="0.2"/>
    <row r="4906" x14ac:dyDescent="0.2"/>
    <row r="4907" x14ac:dyDescent="0.2"/>
    <row r="4908" x14ac:dyDescent="0.2"/>
    <row r="4909" x14ac:dyDescent="0.2"/>
    <row r="4910" x14ac:dyDescent="0.2"/>
    <row r="4911" x14ac:dyDescent="0.2"/>
    <row r="4912" x14ac:dyDescent="0.2"/>
    <row r="4913" x14ac:dyDescent="0.2"/>
    <row r="4914" x14ac:dyDescent="0.2"/>
    <row r="4915" x14ac:dyDescent="0.2"/>
    <row r="4916" x14ac:dyDescent="0.2"/>
    <row r="4917" x14ac:dyDescent="0.2"/>
    <row r="4918" x14ac:dyDescent="0.2"/>
    <row r="4919" x14ac:dyDescent="0.2"/>
    <row r="4920" x14ac:dyDescent="0.2"/>
    <row r="4921" x14ac:dyDescent="0.2"/>
    <row r="4922" x14ac:dyDescent="0.2"/>
    <row r="4923" x14ac:dyDescent="0.2"/>
    <row r="4924" x14ac:dyDescent="0.2"/>
    <row r="4925" x14ac:dyDescent="0.2"/>
    <row r="4926" x14ac:dyDescent="0.2"/>
    <row r="4927" x14ac:dyDescent="0.2"/>
    <row r="4928" x14ac:dyDescent="0.2"/>
    <row r="4929" x14ac:dyDescent="0.2"/>
    <row r="4930" x14ac:dyDescent="0.2"/>
    <row r="4931" x14ac:dyDescent="0.2"/>
    <row r="4932" x14ac:dyDescent="0.2"/>
    <row r="4933" x14ac:dyDescent="0.2"/>
    <row r="4934" x14ac:dyDescent="0.2"/>
    <row r="4935" x14ac:dyDescent="0.2"/>
    <row r="4936" x14ac:dyDescent="0.2"/>
    <row r="4937" x14ac:dyDescent="0.2"/>
    <row r="4938" x14ac:dyDescent="0.2"/>
    <row r="4939" x14ac:dyDescent="0.2"/>
    <row r="4940" x14ac:dyDescent="0.2"/>
    <row r="4941" x14ac:dyDescent="0.2"/>
    <row r="4942" x14ac:dyDescent="0.2"/>
    <row r="4943" x14ac:dyDescent="0.2"/>
    <row r="4944" x14ac:dyDescent="0.2"/>
    <row r="4945" x14ac:dyDescent="0.2"/>
    <row r="4946" x14ac:dyDescent="0.2"/>
    <row r="4947" x14ac:dyDescent="0.2"/>
    <row r="4948" x14ac:dyDescent="0.2"/>
    <row r="4949" x14ac:dyDescent="0.2"/>
    <row r="4950" x14ac:dyDescent="0.2"/>
    <row r="4951" x14ac:dyDescent="0.2"/>
    <row r="4952" x14ac:dyDescent="0.2"/>
    <row r="4953" x14ac:dyDescent="0.2"/>
    <row r="4954" x14ac:dyDescent="0.2"/>
    <row r="4955" x14ac:dyDescent="0.2"/>
    <row r="4956" x14ac:dyDescent="0.2"/>
    <row r="4957" x14ac:dyDescent="0.2"/>
    <row r="4958" x14ac:dyDescent="0.2"/>
    <row r="4959" x14ac:dyDescent="0.2"/>
    <row r="4960" x14ac:dyDescent="0.2"/>
    <row r="4961" x14ac:dyDescent="0.2"/>
    <row r="4962" x14ac:dyDescent="0.2"/>
    <row r="4963" x14ac:dyDescent="0.2"/>
    <row r="4964" x14ac:dyDescent="0.2"/>
    <row r="4965" x14ac:dyDescent="0.2"/>
    <row r="4966" x14ac:dyDescent="0.2"/>
    <row r="4967" x14ac:dyDescent="0.2"/>
    <row r="4968" x14ac:dyDescent="0.2"/>
    <row r="4969" x14ac:dyDescent="0.2"/>
    <row r="4970" x14ac:dyDescent="0.2"/>
    <row r="4971" x14ac:dyDescent="0.2"/>
    <row r="4972" x14ac:dyDescent="0.2"/>
    <row r="4973" x14ac:dyDescent="0.2"/>
    <row r="4974" x14ac:dyDescent="0.2"/>
    <row r="4975" x14ac:dyDescent="0.2"/>
    <row r="4976" x14ac:dyDescent="0.2"/>
    <row r="4977" x14ac:dyDescent="0.2"/>
    <row r="4978" x14ac:dyDescent="0.2"/>
    <row r="4979" x14ac:dyDescent="0.2"/>
    <row r="4980" x14ac:dyDescent="0.2"/>
    <row r="4981" x14ac:dyDescent="0.2"/>
    <row r="4982" x14ac:dyDescent="0.2"/>
    <row r="4983" x14ac:dyDescent="0.2"/>
    <row r="4984" x14ac:dyDescent="0.2"/>
    <row r="4985" x14ac:dyDescent="0.2"/>
    <row r="4986" x14ac:dyDescent="0.2"/>
    <row r="4987" x14ac:dyDescent="0.2"/>
    <row r="4988" x14ac:dyDescent="0.2"/>
    <row r="4989" x14ac:dyDescent="0.2"/>
    <row r="4990" x14ac:dyDescent="0.2"/>
    <row r="4991" x14ac:dyDescent="0.2"/>
    <row r="4992" x14ac:dyDescent="0.2"/>
    <row r="4993" x14ac:dyDescent="0.2"/>
    <row r="4994" x14ac:dyDescent="0.2"/>
    <row r="4995" x14ac:dyDescent="0.2"/>
    <row r="4996" x14ac:dyDescent="0.2"/>
    <row r="4997" x14ac:dyDescent="0.2"/>
    <row r="4998" x14ac:dyDescent="0.2"/>
    <row r="4999" x14ac:dyDescent="0.2"/>
    <row r="5000" x14ac:dyDescent="0.2"/>
    <row r="5001" x14ac:dyDescent="0.2"/>
    <row r="5002" x14ac:dyDescent="0.2"/>
    <row r="5003" x14ac:dyDescent="0.2"/>
    <row r="5004" x14ac:dyDescent="0.2"/>
    <row r="5005" x14ac:dyDescent="0.2"/>
    <row r="5006" x14ac:dyDescent="0.2"/>
    <row r="5007" x14ac:dyDescent="0.2"/>
    <row r="5008" x14ac:dyDescent="0.2"/>
    <row r="5009" x14ac:dyDescent="0.2"/>
    <row r="5010" x14ac:dyDescent="0.2"/>
    <row r="5011" x14ac:dyDescent="0.2"/>
    <row r="5012" x14ac:dyDescent="0.2"/>
    <row r="5013" x14ac:dyDescent="0.2"/>
    <row r="5014" x14ac:dyDescent="0.2"/>
    <row r="5015" x14ac:dyDescent="0.2"/>
    <row r="5016" x14ac:dyDescent="0.2"/>
    <row r="5017" x14ac:dyDescent="0.2"/>
    <row r="5018" x14ac:dyDescent="0.2"/>
    <row r="5019" x14ac:dyDescent="0.2"/>
    <row r="5020" x14ac:dyDescent="0.2"/>
    <row r="5021" x14ac:dyDescent="0.2"/>
    <row r="5022" x14ac:dyDescent="0.2"/>
    <row r="5023" x14ac:dyDescent="0.2"/>
    <row r="5024" x14ac:dyDescent="0.2"/>
    <row r="5025" x14ac:dyDescent="0.2"/>
    <row r="5026" x14ac:dyDescent="0.2"/>
    <row r="5027" x14ac:dyDescent="0.2"/>
    <row r="5028" x14ac:dyDescent="0.2"/>
    <row r="5029" x14ac:dyDescent="0.2"/>
    <row r="5030" x14ac:dyDescent="0.2"/>
    <row r="5031" x14ac:dyDescent="0.2"/>
    <row r="5032" x14ac:dyDescent="0.2"/>
    <row r="5033" x14ac:dyDescent="0.2"/>
    <row r="5034" x14ac:dyDescent="0.2"/>
    <row r="5035" x14ac:dyDescent="0.2"/>
    <row r="5036" x14ac:dyDescent="0.2"/>
    <row r="5037" x14ac:dyDescent="0.2"/>
    <row r="5038" x14ac:dyDescent="0.2"/>
    <row r="5039" x14ac:dyDescent="0.2"/>
    <row r="5040" x14ac:dyDescent="0.2"/>
    <row r="5041" x14ac:dyDescent="0.2"/>
    <row r="5042" x14ac:dyDescent="0.2"/>
    <row r="5043" x14ac:dyDescent="0.2"/>
    <row r="5044" x14ac:dyDescent="0.2"/>
    <row r="5045" x14ac:dyDescent="0.2"/>
    <row r="5046" x14ac:dyDescent="0.2"/>
    <row r="5047" x14ac:dyDescent="0.2"/>
    <row r="5048" x14ac:dyDescent="0.2"/>
    <row r="5049" x14ac:dyDescent="0.2"/>
    <row r="5050" x14ac:dyDescent="0.2"/>
    <row r="5051" x14ac:dyDescent="0.2"/>
    <row r="5052" x14ac:dyDescent="0.2"/>
    <row r="5053" x14ac:dyDescent="0.2"/>
    <row r="5054" x14ac:dyDescent="0.2"/>
    <row r="5055" x14ac:dyDescent="0.2"/>
    <row r="5056" x14ac:dyDescent="0.2"/>
    <row r="5057" x14ac:dyDescent="0.2"/>
    <row r="5058" x14ac:dyDescent="0.2"/>
    <row r="5059" x14ac:dyDescent="0.2"/>
    <row r="5060" x14ac:dyDescent="0.2"/>
    <row r="5061" x14ac:dyDescent="0.2"/>
    <row r="5062" x14ac:dyDescent="0.2"/>
    <row r="5063" x14ac:dyDescent="0.2"/>
    <row r="5064" x14ac:dyDescent="0.2"/>
    <row r="5065" x14ac:dyDescent="0.2"/>
    <row r="5066" x14ac:dyDescent="0.2"/>
    <row r="5067" x14ac:dyDescent="0.2"/>
    <row r="5068" x14ac:dyDescent="0.2"/>
    <row r="5069" x14ac:dyDescent="0.2"/>
    <row r="5070" x14ac:dyDescent="0.2"/>
    <row r="5071" x14ac:dyDescent="0.2"/>
    <row r="5072" x14ac:dyDescent="0.2"/>
    <row r="5073" x14ac:dyDescent="0.2"/>
    <row r="5074" x14ac:dyDescent="0.2"/>
    <row r="5075" x14ac:dyDescent="0.2"/>
    <row r="5076" x14ac:dyDescent="0.2"/>
    <row r="5077" x14ac:dyDescent="0.2"/>
    <row r="5078" x14ac:dyDescent="0.2"/>
    <row r="5079" x14ac:dyDescent="0.2"/>
    <row r="5080" x14ac:dyDescent="0.2"/>
    <row r="5081" x14ac:dyDescent="0.2"/>
    <row r="5082" x14ac:dyDescent="0.2"/>
    <row r="5083" x14ac:dyDescent="0.2"/>
    <row r="5084" x14ac:dyDescent="0.2"/>
    <row r="5085" x14ac:dyDescent="0.2"/>
    <row r="5086" x14ac:dyDescent="0.2"/>
    <row r="5087" x14ac:dyDescent="0.2"/>
    <row r="5088" x14ac:dyDescent="0.2"/>
    <row r="5089" x14ac:dyDescent="0.2"/>
    <row r="5090" x14ac:dyDescent="0.2"/>
    <row r="5091" x14ac:dyDescent="0.2"/>
    <row r="5092" x14ac:dyDescent="0.2"/>
    <row r="5093" x14ac:dyDescent="0.2"/>
    <row r="5094" x14ac:dyDescent="0.2"/>
    <row r="5095" x14ac:dyDescent="0.2"/>
    <row r="5096" x14ac:dyDescent="0.2"/>
    <row r="5097" x14ac:dyDescent="0.2"/>
    <row r="5098" x14ac:dyDescent="0.2"/>
    <row r="5099" x14ac:dyDescent="0.2"/>
    <row r="5100" x14ac:dyDescent="0.2"/>
    <row r="5101" x14ac:dyDescent="0.2"/>
    <row r="5102" x14ac:dyDescent="0.2"/>
    <row r="5103" x14ac:dyDescent="0.2"/>
    <row r="5104" x14ac:dyDescent="0.2"/>
    <row r="5105" x14ac:dyDescent="0.2"/>
    <row r="5106" x14ac:dyDescent="0.2"/>
    <row r="5107" x14ac:dyDescent="0.2"/>
    <row r="5108" x14ac:dyDescent="0.2"/>
    <row r="5109" x14ac:dyDescent="0.2"/>
    <row r="5110" x14ac:dyDescent="0.2"/>
    <row r="5111" x14ac:dyDescent="0.2"/>
    <row r="5112" x14ac:dyDescent="0.2"/>
    <row r="5113" x14ac:dyDescent="0.2"/>
    <row r="5114" x14ac:dyDescent="0.2"/>
    <row r="5115" x14ac:dyDescent="0.2"/>
    <row r="5116" x14ac:dyDescent="0.2"/>
    <row r="5117" x14ac:dyDescent="0.2"/>
    <row r="5118" x14ac:dyDescent="0.2"/>
    <row r="5119" x14ac:dyDescent="0.2"/>
    <row r="5120" x14ac:dyDescent="0.2"/>
    <row r="5121" x14ac:dyDescent="0.2"/>
    <row r="5122" x14ac:dyDescent="0.2"/>
    <row r="5123" x14ac:dyDescent="0.2"/>
    <row r="5124" x14ac:dyDescent="0.2"/>
    <row r="5125" x14ac:dyDescent="0.2"/>
    <row r="5126" x14ac:dyDescent="0.2"/>
    <row r="5127" x14ac:dyDescent="0.2"/>
    <row r="5128" x14ac:dyDescent="0.2"/>
    <row r="5129" x14ac:dyDescent="0.2"/>
    <row r="5130" x14ac:dyDescent="0.2"/>
    <row r="5131" x14ac:dyDescent="0.2"/>
    <row r="5132" x14ac:dyDescent="0.2"/>
    <row r="5133" x14ac:dyDescent="0.2"/>
    <row r="5134" x14ac:dyDescent="0.2"/>
    <row r="5135" x14ac:dyDescent="0.2"/>
    <row r="5136" x14ac:dyDescent="0.2"/>
    <row r="5137" x14ac:dyDescent="0.2"/>
    <row r="5138" x14ac:dyDescent="0.2"/>
    <row r="5139" x14ac:dyDescent="0.2"/>
    <row r="5140" x14ac:dyDescent="0.2"/>
    <row r="5141" x14ac:dyDescent="0.2"/>
    <row r="5142" x14ac:dyDescent="0.2"/>
    <row r="5143" x14ac:dyDescent="0.2"/>
    <row r="5144" x14ac:dyDescent="0.2"/>
    <row r="5145" x14ac:dyDescent="0.2"/>
    <row r="5146" x14ac:dyDescent="0.2"/>
    <row r="5147" x14ac:dyDescent="0.2"/>
    <row r="5148" x14ac:dyDescent="0.2"/>
    <row r="5149" x14ac:dyDescent="0.2"/>
    <row r="5150" x14ac:dyDescent="0.2"/>
    <row r="5151" x14ac:dyDescent="0.2"/>
    <row r="5152" x14ac:dyDescent="0.2"/>
    <row r="5153" x14ac:dyDescent="0.2"/>
    <row r="5154" x14ac:dyDescent="0.2"/>
    <row r="5155" x14ac:dyDescent="0.2"/>
    <row r="5156" x14ac:dyDescent="0.2"/>
    <row r="5157" x14ac:dyDescent="0.2"/>
    <row r="5158" x14ac:dyDescent="0.2"/>
    <row r="5159" x14ac:dyDescent="0.2"/>
    <row r="5160" x14ac:dyDescent="0.2"/>
    <row r="5161" x14ac:dyDescent="0.2"/>
    <row r="5162" x14ac:dyDescent="0.2"/>
    <row r="5163" x14ac:dyDescent="0.2"/>
    <row r="5164" x14ac:dyDescent="0.2"/>
    <row r="5165" x14ac:dyDescent="0.2"/>
    <row r="5166" x14ac:dyDescent="0.2"/>
    <row r="5167" x14ac:dyDescent="0.2"/>
    <row r="5168" x14ac:dyDescent="0.2"/>
    <row r="5169" x14ac:dyDescent="0.2"/>
    <row r="5170" x14ac:dyDescent="0.2"/>
    <row r="5171" x14ac:dyDescent="0.2"/>
    <row r="5172" x14ac:dyDescent="0.2"/>
    <row r="5173" x14ac:dyDescent="0.2"/>
    <row r="5174" x14ac:dyDescent="0.2"/>
    <row r="5175" x14ac:dyDescent="0.2"/>
    <row r="5176" x14ac:dyDescent="0.2"/>
    <row r="5177" x14ac:dyDescent="0.2"/>
    <row r="5178" x14ac:dyDescent="0.2"/>
    <row r="5179" x14ac:dyDescent="0.2"/>
    <row r="5180" x14ac:dyDescent="0.2"/>
    <row r="5181" x14ac:dyDescent="0.2"/>
    <row r="5182" x14ac:dyDescent="0.2"/>
    <row r="5183" x14ac:dyDescent="0.2"/>
    <row r="5184" x14ac:dyDescent="0.2"/>
    <row r="5185" x14ac:dyDescent="0.2"/>
    <row r="5186" x14ac:dyDescent="0.2"/>
    <row r="5187" x14ac:dyDescent="0.2"/>
    <row r="5188" x14ac:dyDescent="0.2"/>
    <row r="5189" x14ac:dyDescent="0.2"/>
    <row r="5190" x14ac:dyDescent="0.2"/>
    <row r="5191" x14ac:dyDescent="0.2"/>
    <row r="5192" x14ac:dyDescent="0.2"/>
    <row r="5193" x14ac:dyDescent="0.2"/>
    <row r="5194" x14ac:dyDescent="0.2"/>
    <row r="5195" x14ac:dyDescent="0.2"/>
    <row r="5196" x14ac:dyDescent="0.2"/>
    <row r="5197" x14ac:dyDescent="0.2"/>
    <row r="5198" x14ac:dyDescent="0.2"/>
    <row r="5199" x14ac:dyDescent="0.2"/>
    <row r="5200" x14ac:dyDescent="0.2"/>
    <row r="5201" x14ac:dyDescent="0.2"/>
    <row r="5202" x14ac:dyDescent="0.2"/>
    <row r="5203" x14ac:dyDescent="0.2"/>
    <row r="5204" x14ac:dyDescent="0.2"/>
    <row r="5205" x14ac:dyDescent="0.2"/>
    <row r="5206" x14ac:dyDescent="0.2"/>
    <row r="5207" x14ac:dyDescent="0.2"/>
    <row r="5208" x14ac:dyDescent="0.2"/>
    <row r="5209" x14ac:dyDescent="0.2"/>
    <row r="5210" x14ac:dyDescent="0.2"/>
    <row r="5211" x14ac:dyDescent="0.2"/>
    <row r="5212" x14ac:dyDescent="0.2"/>
    <row r="5213" x14ac:dyDescent="0.2"/>
    <row r="5214" x14ac:dyDescent="0.2"/>
    <row r="5215" x14ac:dyDescent="0.2"/>
    <row r="5216" x14ac:dyDescent="0.2"/>
    <row r="5217" x14ac:dyDescent="0.2"/>
    <row r="5218" x14ac:dyDescent="0.2"/>
    <row r="5219" x14ac:dyDescent="0.2"/>
    <row r="5220" x14ac:dyDescent="0.2"/>
    <row r="5221" x14ac:dyDescent="0.2"/>
    <row r="5222" x14ac:dyDescent="0.2"/>
    <row r="5223" x14ac:dyDescent="0.2"/>
    <row r="5224" x14ac:dyDescent="0.2"/>
    <row r="5225" x14ac:dyDescent="0.2"/>
    <row r="5226" x14ac:dyDescent="0.2"/>
    <row r="5227" x14ac:dyDescent="0.2"/>
    <row r="5228" x14ac:dyDescent="0.2"/>
    <row r="5229" x14ac:dyDescent="0.2"/>
    <row r="5230" x14ac:dyDescent="0.2"/>
    <row r="5231" x14ac:dyDescent="0.2"/>
    <row r="5232" x14ac:dyDescent="0.2"/>
    <row r="5233" x14ac:dyDescent="0.2"/>
    <row r="5234" x14ac:dyDescent="0.2"/>
    <row r="5235" x14ac:dyDescent="0.2"/>
    <row r="5236" x14ac:dyDescent="0.2"/>
    <row r="5237" x14ac:dyDescent="0.2"/>
    <row r="5238" x14ac:dyDescent="0.2"/>
    <row r="5239" x14ac:dyDescent="0.2"/>
    <row r="5240" x14ac:dyDescent="0.2"/>
    <row r="5241" x14ac:dyDescent="0.2"/>
    <row r="5242" x14ac:dyDescent="0.2"/>
    <row r="5243" x14ac:dyDescent="0.2"/>
    <row r="5244" x14ac:dyDescent="0.2"/>
    <row r="5245" x14ac:dyDescent="0.2"/>
    <row r="5246" x14ac:dyDescent="0.2"/>
    <row r="5247" x14ac:dyDescent="0.2"/>
    <row r="5248" x14ac:dyDescent="0.2"/>
    <row r="5249" x14ac:dyDescent="0.2"/>
    <row r="5250" x14ac:dyDescent="0.2"/>
    <row r="5251" x14ac:dyDescent="0.2"/>
    <row r="5252" x14ac:dyDescent="0.2"/>
    <row r="5253" x14ac:dyDescent="0.2"/>
    <row r="5254" x14ac:dyDescent="0.2"/>
    <row r="5255" x14ac:dyDescent="0.2"/>
    <row r="5256" x14ac:dyDescent="0.2"/>
    <row r="5257" x14ac:dyDescent="0.2"/>
    <row r="5258" x14ac:dyDescent="0.2"/>
    <row r="5259" x14ac:dyDescent="0.2"/>
    <row r="5260" x14ac:dyDescent="0.2"/>
    <row r="5261" x14ac:dyDescent="0.2"/>
    <row r="5262" x14ac:dyDescent="0.2"/>
    <row r="5263" x14ac:dyDescent="0.2"/>
    <row r="5264" x14ac:dyDescent="0.2"/>
    <row r="5265" x14ac:dyDescent="0.2"/>
    <row r="5266" x14ac:dyDescent="0.2"/>
    <row r="5267" x14ac:dyDescent="0.2"/>
    <row r="5268" x14ac:dyDescent="0.2"/>
    <row r="5269" x14ac:dyDescent="0.2"/>
    <row r="5270" x14ac:dyDescent="0.2"/>
    <row r="5271" x14ac:dyDescent="0.2"/>
    <row r="5272" x14ac:dyDescent="0.2"/>
    <row r="5273" x14ac:dyDescent="0.2"/>
    <row r="5274" x14ac:dyDescent="0.2"/>
    <row r="5275" x14ac:dyDescent="0.2"/>
    <row r="5276" x14ac:dyDescent="0.2"/>
    <row r="5277" x14ac:dyDescent="0.2"/>
    <row r="5278" x14ac:dyDescent="0.2"/>
    <row r="5279" x14ac:dyDescent="0.2"/>
    <row r="5280" x14ac:dyDescent="0.2"/>
    <row r="5281" x14ac:dyDescent="0.2"/>
    <row r="5282" x14ac:dyDescent="0.2"/>
    <row r="5283" x14ac:dyDescent="0.2"/>
    <row r="5284" x14ac:dyDescent="0.2"/>
    <row r="5285" x14ac:dyDescent="0.2"/>
    <row r="5286" x14ac:dyDescent="0.2"/>
    <row r="5287" x14ac:dyDescent="0.2"/>
    <row r="5288" x14ac:dyDescent="0.2"/>
    <row r="5289" x14ac:dyDescent="0.2"/>
    <row r="5290" x14ac:dyDescent="0.2"/>
    <row r="5291" x14ac:dyDescent="0.2"/>
    <row r="5292" x14ac:dyDescent="0.2"/>
    <row r="5293" x14ac:dyDescent="0.2"/>
    <row r="5294" x14ac:dyDescent="0.2"/>
    <row r="5295" x14ac:dyDescent="0.2"/>
    <row r="5296" x14ac:dyDescent="0.2"/>
    <row r="5297" x14ac:dyDescent="0.2"/>
    <row r="5298" x14ac:dyDescent="0.2"/>
    <row r="5299" x14ac:dyDescent="0.2"/>
    <row r="5300" x14ac:dyDescent="0.2"/>
    <row r="5301" x14ac:dyDescent="0.2"/>
    <row r="5302" x14ac:dyDescent="0.2"/>
    <row r="5303" x14ac:dyDescent="0.2"/>
    <row r="5304" x14ac:dyDescent="0.2"/>
    <row r="5305" x14ac:dyDescent="0.2"/>
    <row r="5306" x14ac:dyDescent="0.2"/>
    <row r="5307" x14ac:dyDescent="0.2"/>
    <row r="5308" x14ac:dyDescent="0.2"/>
    <row r="5309" x14ac:dyDescent="0.2"/>
    <row r="5310" x14ac:dyDescent="0.2"/>
    <row r="5311" x14ac:dyDescent="0.2"/>
    <row r="5312" x14ac:dyDescent="0.2"/>
    <row r="5313" x14ac:dyDescent="0.2"/>
    <row r="5314" x14ac:dyDescent="0.2"/>
    <row r="5315" x14ac:dyDescent="0.2"/>
    <row r="5316" x14ac:dyDescent="0.2"/>
    <row r="5317" x14ac:dyDescent="0.2"/>
    <row r="5318" x14ac:dyDescent="0.2"/>
    <row r="5319" x14ac:dyDescent="0.2"/>
    <row r="5320" x14ac:dyDescent="0.2"/>
    <row r="5321" x14ac:dyDescent="0.2"/>
    <row r="5322" x14ac:dyDescent="0.2"/>
    <row r="5323" x14ac:dyDescent="0.2"/>
    <row r="5324" x14ac:dyDescent="0.2"/>
    <row r="5325" x14ac:dyDescent="0.2"/>
    <row r="5326" x14ac:dyDescent="0.2"/>
    <row r="5327" x14ac:dyDescent="0.2"/>
    <row r="5328" x14ac:dyDescent="0.2"/>
    <row r="5329" x14ac:dyDescent="0.2"/>
    <row r="5330" x14ac:dyDescent="0.2"/>
    <row r="5331" x14ac:dyDescent="0.2"/>
    <row r="5332" x14ac:dyDescent="0.2"/>
    <row r="5333" x14ac:dyDescent="0.2"/>
    <row r="5334" x14ac:dyDescent="0.2"/>
    <row r="5335" x14ac:dyDescent="0.2"/>
    <row r="5336" x14ac:dyDescent="0.2"/>
    <row r="5337" x14ac:dyDescent="0.2"/>
    <row r="5338" x14ac:dyDescent="0.2"/>
    <row r="5339" x14ac:dyDescent="0.2"/>
    <row r="5340" x14ac:dyDescent="0.2"/>
    <row r="5341" x14ac:dyDescent="0.2"/>
    <row r="5342" x14ac:dyDescent="0.2"/>
    <row r="5343" x14ac:dyDescent="0.2"/>
    <row r="5344" x14ac:dyDescent="0.2"/>
    <row r="5345" x14ac:dyDescent="0.2"/>
    <row r="5346" x14ac:dyDescent="0.2"/>
    <row r="5347" x14ac:dyDescent="0.2"/>
    <row r="5348" x14ac:dyDescent="0.2"/>
    <row r="5349" x14ac:dyDescent="0.2"/>
    <row r="5350" x14ac:dyDescent="0.2"/>
    <row r="5351" x14ac:dyDescent="0.2"/>
    <row r="5352" x14ac:dyDescent="0.2"/>
    <row r="5353" x14ac:dyDescent="0.2"/>
    <row r="5354" x14ac:dyDescent="0.2"/>
    <row r="5355" x14ac:dyDescent="0.2"/>
    <row r="5356" x14ac:dyDescent="0.2"/>
    <row r="5357" x14ac:dyDescent="0.2"/>
    <row r="5358" x14ac:dyDescent="0.2"/>
    <row r="5359" x14ac:dyDescent="0.2"/>
    <row r="5360" x14ac:dyDescent="0.2"/>
    <row r="5361" x14ac:dyDescent="0.2"/>
    <row r="5362" x14ac:dyDescent="0.2"/>
    <row r="5363" x14ac:dyDescent="0.2"/>
    <row r="5364" x14ac:dyDescent="0.2"/>
    <row r="5365" x14ac:dyDescent="0.2"/>
    <row r="5366" x14ac:dyDescent="0.2"/>
    <row r="5367" x14ac:dyDescent="0.2"/>
    <row r="5368" x14ac:dyDescent="0.2"/>
    <row r="5369" x14ac:dyDescent="0.2"/>
    <row r="5370" x14ac:dyDescent="0.2"/>
    <row r="5371" x14ac:dyDescent="0.2"/>
    <row r="5372" x14ac:dyDescent="0.2"/>
    <row r="5373" x14ac:dyDescent="0.2"/>
    <row r="5374" x14ac:dyDescent="0.2"/>
    <row r="5375" x14ac:dyDescent="0.2"/>
    <row r="5376" x14ac:dyDescent="0.2"/>
    <row r="5377" x14ac:dyDescent="0.2"/>
    <row r="5378" x14ac:dyDescent="0.2"/>
    <row r="5379" x14ac:dyDescent="0.2"/>
    <row r="5380" x14ac:dyDescent="0.2"/>
    <row r="5381" x14ac:dyDescent="0.2"/>
    <row r="5382" x14ac:dyDescent="0.2"/>
    <row r="5383" x14ac:dyDescent="0.2"/>
    <row r="5384" x14ac:dyDescent="0.2"/>
    <row r="5385" x14ac:dyDescent="0.2"/>
    <row r="5386" x14ac:dyDescent="0.2"/>
    <row r="5387" x14ac:dyDescent="0.2"/>
    <row r="5388" x14ac:dyDescent="0.2"/>
    <row r="5389" x14ac:dyDescent="0.2"/>
    <row r="5390" x14ac:dyDescent="0.2"/>
    <row r="5391" x14ac:dyDescent="0.2"/>
    <row r="5392" x14ac:dyDescent="0.2"/>
    <row r="5393" x14ac:dyDescent="0.2"/>
    <row r="5394" x14ac:dyDescent="0.2"/>
    <row r="5395" x14ac:dyDescent="0.2"/>
    <row r="5396" x14ac:dyDescent="0.2"/>
    <row r="5397" x14ac:dyDescent="0.2"/>
    <row r="5398" x14ac:dyDescent="0.2"/>
    <row r="5399" x14ac:dyDescent="0.2"/>
    <row r="5400" x14ac:dyDescent="0.2"/>
    <row r="5401" x14ac:dyDescent="0.2"/>
    <row r="5402" x14ac:dyDescent="0.2"/>
    <row r="5403" x14ac:dyDescent="0.2"/>
    <row r="5404" x14ac:dyDescent="0.2"/>
    <row r="5405" x14ac:dyDescent="0.2"/>
    <row r="5406" x14ac:dyDescent="0.2"/>
    <row r="5407" x14ac:dyDescent="0.2"/>
    <row r="5408" x14ac:dyDescent="0.2"/>
    <row r="5409" x14ac:dyDescent="0.2"/>
    <row r="5410" x14ac:dyDescent="0.2"/>
    <row r="5411" x14ac:dyDescent="0.2"/>
    <row r="5412" x14ac:dyDescent="0.2"/>
    <row r="5413" x14ac:dyDescent="0.2"/>
    <row r="5414" x14ac:dyDescent="0.2"/>
    <row r="5415" x14ac:dyDescent="0.2"/>
    <row r="5416" x14ac:dyDescent="0.2"/>
    <row r="5417" x14ac:dyDescent="0.2"/>
    <row r="5418" x14ac:dyDescent="0.2"/>
    <row r="5419" x14ac:dyDescent="0.2"/>
    <row r="5420" x14ac:dyDescent="0.2"/>
    <row r="5421" x14ac:dyDescent="0.2"/>
    <row r="5422" x14ac:dyDescent="0.2"/>
    <row r="5423" x14ac:dyDescent="0.2"/>
    <row r="5424" x14ac:dyDescent="0.2"/>
    <row r="5425" x14ac:dyDescent="0.2"/>
    <row r="5426" x14ac:dyDescent="0.2"/>
    <row r="5427" x14ac:dyDescent="0.2"/>
    <row r="5428" x14ac:dyDescent="0.2"/>
    <row r="5429" x14ac:dyDescent="0.2"/>
    <row r="5430" x14ac:dyDescent="0.2"/>
    <row r="5431" x14ac:dyDescent="0.2"/>
    <row r="5432" x14ac:dyDescent="0.2"/>
    <row r="5433" x14ac:dyDescent="0.2"/>
    <row r="5434" x14ac:dyDescent="0.2"/>
    <row r="5435" x14ac:dyDescent="0.2"/>
    <row r="5436" x14ac:dyDescent="0.2"/>
    <row r="5437" x14ac:dyDescent="0.2"/>
    <row r="5438" x14ac:dyDescent="0.2"/>
    <row r="5439" x14ac:dyDescent="0.2"/>
    <row r="5440" x14ac:dyDescent="0.2"/>
    <row r="5441" x14ac:dyDescent="0.2"/>
    <row r="5442" x14ac:dyDescent="0.2"/>
    <row r="5443" x14ac:dyDescent="0.2"/>
    <row r="5444" x14ac:dyDescent="0.2"/>
    <row r="5445" x14ac:dyDescent="0.2"/>
    <row r="5446" x14ac:dyDescent="0.2"/>
    <row r="5447" x14ac:dyDescent="0.2"/>
    <row r="5448" x14ac:dyDescent="0.2"/>
    <row r="5449" x14ac:dyDescent="0.2"/>
    <row r="5450" x14ac:dyDescent="0.2"/>
    <row r="5451" x14ac:dyDescent="0.2"/>
    <row r="5452" x14ac:dyDescent="0.2"/>
    <row r="5453" x14ac:dyDescent="0.2"/>
    <row r="5454" x14ac:dyDescent="0.2"/>
    <row r="5455" x14ac:dyDescent="0.2"/>
    <row r="5456" x14ac:dyDescent="0.2"/>
    <row r="5457" x14ac:dyDescent="0.2"/>
    <row r="5458" x14ac:dyDescent="0.2"/>
    <row r="5459" x14ac:dyDescent="0.2"/>
    <row r="5460" x14ac:dyDescent="0.2"/>
    <row r="5461" x14ac:dyDescent="0.2"/>
    <row r="5462" x14ac:dyDescent="0.2"/>
    <row r="5463" x14ac:dyDescent="0.2"/>
    <row r="5464" x14ac:dyDescent="0.2"/>
    <row r="5465" x14ac:dyDescent="0.2"/>
    <row r="5466" x14ac:dyDescent="0.2"/>
    <row r="5467" x14ac:dyDescent="0.2"/>
    <row r="5468" x14ac:dyDescent="0.2"/>
    <row r="5469" x14ac:dyDescent="0.2"/>
    <row r="5470" x14ac:dyDescent="0.2"/>
    <row r="5471" x14ac:dyDescent="0.2"/>
    <row r="5472" x14ac:dyDescent="0.2"/>
    <row r="5473" x14ac:dyDescent="0.2"/>
    <row r="5474" x14ac:dyDescent="0.2"/>
    <row r="5475" x14ac:dyDescent="0.2"/>
    <row r="5476" x14ac:dyDescent="0.2"/>
    <row r="5477" x14ac:dyDescent="0.2"/>
    <row r="5478" x14ac:dyDescent="0.2"/>
    <row r="5479" x14ac:dyDescent="0.2"/>
    <row r="5480" x14ac:dyDescent="0.2"/>
    <row r="5481" x14ac:dyDescent="0.2"/>
    <row r="5482" x14ac:dyDescent="0.2"/>
    <row r="5483" x14ac:dyDescent="0.2"/>
    <row r="5484" x14ac:dyDescent="0.2"/>
    <row r="5485" x14ac:dyDescent="0.2"/>
    <row r="5486" x14ac:dyDescent="0.2"/>
    <row r="5487" x14ac:dyDescent="0.2"/>
    <row r="5488" x14ac:dyDescent="0.2"/>
    <row r="5489" x14ac:dyDescent="0.2"/>
    <row r="5490" x14ac:dyDescent="0.2"/>
    <row r="5491" x14ac:dyDescent="0.2"/>
    <row r="5492" x14ac:dyDescent="0.2"/>
    <row r="5493" x14ac:dyDescent="0.2"/>
    <row r="5494" x14ac:dyDescent="0.2"/>
    <row r="5495" x14ac:dyDescent="0.2"/>
    <row r="5496" x14ac:dyDescent="0.2"/>
    <row r="5497" x14ac:dyDescent="0.2"/>
    <row r="5498" x14ac:dyDescent="0.2"/>
    <row r="5499" x14ac:dyDescent="0.2"/>
    <row r="5500" x14ac:dyDescent="0.2"/>
    <row r="5501" x14ac:dyDescent="0.2"/>
    <row r="5502" x14ac:dyDescent="0.2"/>
    <row r="5503" x14ac:dyDescent="0.2"/>
    <row r="5504" x14ac:dyDescent="0.2"/>
    <row r="5505" x14ac:dyDescent="0.2"/>
    <row r="5506" x14ac:dyDescent="0.2"/>
    <row r="5507" x14ac:dyDescent="0.2"/>
    <row r="5508" x14ac:dyDescent="0.2"/>
    <row r="5509" x14ac:dyDescent="0.2"/>
    <row r="5510" x14ac:dyDescent="0.2"/>
    <row r="5511" x14ac:dyDescent="0.2"/>
    <row r="5512" x14ac:dyDescent="0.2"/>
    <row r="5513" x14ac:dyDescent="0.2"/>
    <row r="5514" x14ac:dyDescent="0.2"/>
    <row r="5515" x14ac:dyDescent="0.2"/>
    <row r="5516" x14ac:dyDescent="0.2"/>
    <row r="5517" x14ac:dyDescent="0.2"/>
    <row r="5518" x14ac:dyDescent="0.2"/>
    <row r="5519" x14ac:dyDescent="0.2"/>
    <row r="5520" x14ac:dyDescent="0.2"/>
    <row r="5521" x14ac:dyDescent="0.2"/>
    <row r="5522" x14ac:dyDescent="0.2"/>
    <row r="5523" x14ac:dyDescent="0.2"/>
    <row r="5524" x14ac:dyDescent="0.2"/>
    <row r="5525" x14ac:dyDescent="0.2"/>
    <row r="5526" x14ac:dyDescent="0.2"/>
    <row r="5527" x14ac:dyDescent="0.2"/>
    <row r="5528" x14ac:dyDescent="0.2"/>
    <row r="5529" x14ac:dyDescent="0.2"/>
    <row r="5530" x14ac:dyDescent="0.2"/>
    <row r="5531" x14ac:dyDescent="0.2"/>
    <row r="5532" x14ac:dyDescent="0.2"/>
    <row r="5533" x14ac:dyDescent="0.2"/>
    <row r="5534" x14ac:dyDescent="0.2"/>
    <row r="5535" x14ac:dyDescent="0.2"/>
    <row r="5536" x14ac:dyDescent="0.2"/>
    <row r="5537" x14ac:dyDescent="0.2"/>
    <row r="5538" x14ac:dyDescent="0.2"/>
    <row r="5539" x14ac:dyDescent="0.2"/>
    <row r="5540" x14ac:dyDescent="0.2"/>
    <row r="5541" x14ac:dyDescent="0.2"/>
    <row r="5542" x14ac:dyDescent="0.2"/>
    <row r="5543" x14ac:dyDescent="0.2"/>
    <row r="5544" x14ac:dyDescent="0.2"/>
    <row r="5545" x14ac:dyDescent="0.2"/>
    <row r="5546" x14ac:dyDescent="0.2"/>
    <row r="5547" x14ac:dyDescent="0.2"/>
    <row r="5548" x14ac:dyDescent="0.2"/>
    <row r="5549" x14ac:dyDescent="0.2"/>
    <row r="5550" x14ac:dyDescent="0.2"/>
    <row r="5551" x14ac:dyDescent="0.2"/>
    <row r="5552" x14ac:dyDescent="0.2"/>
    <row r="5553" x14ac:dyDescent="0.2"/>
    <row r="5554" x14ac:dyDescent="0.2"/>
    <row r="5555" x14ac:dyDescent="0.2"/>
    <row r="5556" x14ac:dyDescent="0.2"/>
    <row r="5557" x14ac:dyDescent="0.2"/>
    <row r="5558" x14ac:dyDescent="0.2"/>
    <row r="5559" x14ac:dyDescent="0.2"/>
    <row r="5560" x14ac:dyDescent="0.2"/>
    <row r="5561" x14ac:dyDescent="0.2"/>
    <row r="5562" x14ac:dyDescent="0.2"/>
    <row r="5563" x14ac:dyDescent="0.2"/>
    <row r="5564" x14ac:dyDescent="0.2"/>
    <row r="5565" x14ac:dyDescent="0.2"/>
    <row r="5566" x14ac:dyDescent="0.2"/>
    <row r="5567" x14ac:dyDescent="0.2"/>
    <row r="5568" x14ac:dyDescent="0.2"/>
    <row r="5569" x14ac:dyDescent="0.2"/>
    <row r="5570" x14ac:dyDescent="0.2"/>
    <row r="5571" x14ac:dyDescent="0.2"/>
    <row r="5572" x14ac:dyDescent="0.2"/>
    <row r="5573" x14ac:dyDescent="0.2"/>
    <row r="5574" x14ac:dyDescent="0.2"/>
    <row r="5575" x14ac:dyDescent="0.2"/>
    <row r="5576" x14ac:dyDescent="0.2"/>
    <row r="5577" x14ac:dyDescent="0.2"/>
    <row r="5578" x14ac:dyDescent="0.2"/>
    <row r="5579" x14ac:dyDescent="0.2"/>
    <row r="5580" x14ac:dyDescent="0.2"/>
    <row r="5581" x14ac:dyDescent="0.2"/>
    <row r="5582" x14ac:dyDescent="0.2"/>
    <row r="5583" x14ac:dyDescent="0.2"/>
    <row r="5584" x14ac:dyDescent="0.2"/>
    <row r="5585" x14ac:dyDescent="0.2"/>
    <row r="5586" x14ac:dyDescent="0.2"/>
    <row r="5587" x14ac:dyDescent="0.2"/>
    <row r="5588" x14ac:dyDescent="0.2"/>
    <row r="5589" x14ac:dyDescent="0.2"/>
    <row r="5590" x14ac:dyDescent="0.2"/>
    <row r="5591" x14ac:dyDescent="0.2"/>
    <row r="5592" x14ac:dyDescent="0.2"/>
    <row r="5593" x14ac:dyDescent="0.2"/>
    <row r="5594" x14ac:dyDescent="0.2"/>
    <row r="5595" x14ac:dyDescent="0.2"/>
    <row r="5596" x14ac:dyDescent="0.2"/>
    <row r="5597" x14ac:dyDescent="0.2"/>
    <row r="5598" x14ac:dyDescent="0.2"/>
    <row r="5599" x14ac:dyDescent="0.2"/>
    <row r="5600" x14ac:dyDescent="0.2"/>
    <row r="5601" x14ac:dyDescent="0.2"/>
    <row r="5602" x14ac:dyDescent="0.2"/>
    <row r="5603" x14ac:dyDescent="0.2"/>
    <row r="5604" x14ac:dyDescent="0.2"/>
    <row r="5605" x14ac:dyDescent="0.2"/>
    <row r="5606" x14ac:dyDescent="0.2"/>
    <row r="5607" x14ac:dyDescent="0.2"/>
    <row r="5608" x14ac:dyDescent="0.2"/>
    <row r="5609" x14ac:dyDescent="0.2"/>
    <row r="5610" x14ac:dyDescent="0.2"/>
    <row r="5611" x14ac:dyDescent="0.2"/>
    <row r="5612" x14ac:dyDescent="0.2"/>
    <row r="5613" x14ac:dyDescent="0.2"/>
    <row r="5614" x14ac:dyDescent="0.2"/>
    <row r="5615" x14ac:dyDescent="0.2"/>
    <row r="5616" x14ac:dyDescent="0.2"/>
    <row r="5617" x14ac:dyDescent="0.2"/>
    <row r="5618" x14ac:dyDescent="0.2"/>
    <row r="5619" x14ac:dyDescent="0.2"/>
    <row r="5620" x14ac:dyDescent="0.2"/>
    <row r="5621" x14ac:dyDescent="0.2"/>
    <row r="5622" x14ac:dyDescent="0.2"/>
    <row r="5623" x14ac:dyDescent="0.2"/>
    <row r="5624" x14ac:dyDescent="0.2"/>
    <row r="5625" x14ac:dyDescent="0.2"/>
    <row r="5626" x14ac:dyDescent="0.2"/>
    <row r="5627" x14ac:dyDescent="0.2"/>
    <row r="5628" x14ac:dyDescent="0.2"/>
    <row r="5629" x14ac:dyDescent="0.2"/>
    <row r="5630" x14ac:dyDescent="0.2"/>
    <row r="5631" x14ac:dyDescent="0.2"/>
    <row r="5632" x14ac:dyDescent="0.2"/>
    <row r="5633" x14ac:dyDescent="0.2"/>
    <row r="5634" x14ac:dyDescent="0.2"/>
    <row r="5635" x14ac:dyDescent="0.2"/>
    <row r="5636" x14ac:dyDescent="0.2"/>
    <row r="5637" x14ac:dyDescent="0.2"/>
    <row r="5638" x14ac:dyDescent="0.2"/>
    <row r="5639" x14ac:dyDescent="0.2"/>
    <row r="5640" x14ac:dyDescent="0.2"/>
    <row r="5641" x14ac:dyDescent="0.2"/>
    <row r="5642" x14ac:dyDescent="0.2"/>
    <row r="5643" x14ac:dyDescent="0.2"/>
    <row r="5644" x14ac:dyDescent="0.2"/>
    <row r="5645" x14ac:dyDescent="0.2"/>
    <row r="5646" x14ac:dyDescent="0.2"/>
    <row r="5647" x14ac:dyDescent="0.2"/>
    <row r="5648" x14ac:dyDescent="0.2"/>
    <row r="5649" x14ac:dyDescent="0.2"/>
    <row r="5650" x14ac:dyDescent="0.2"/>
    <row r="5651" x14ac:dyDescent="0.2"/>
    <row r="5652" x14ac:dyDescent="0.2"/>
    <row r="5653" x14ac:dyDescent="0.2"/>
    <row r="5654" x14ac:dyDescent="0.2"/>
    <row r="5655" x14ac:dyDescent="0.2"/>
    <row r="5656" x14ac:dyDescent="0.2"/>
    <row r="5657" x14ac:dyDescent="0.2"/>
    <row r="5658" x14ac:dyDescent="0.2"/>
    <row r="5659" x14ac:dyDescent="0.2"/>
    <row r="5660" x14ac:dyDescent="0.2"/>
    <row r="5661" x14ac:dyDescent="0.2"/>
    <row r="5662" x14ac:dyDescent="0.2"/>
    <row r="5663" x14ac:dyDescent="0.2"/>
    <row r="5664" x14ac:dyDescent="0.2"/>
    <row r="5665" x14ac:dyDescent="0.2"/>
    <row r="5666" x14ac:dyDescent="0.2"/>
    <row r="5667" x14ac:dyDescent="0.2"/>
    <row r="5668" x14ac:dyDescent="0.2"/>
    <row r="5669" x14ac:dyDescent="0.2"/>
    <row r="5670" x14ac:dyDescent="0.2"/>
    <row r="5671" x14ac:dyDescent="0.2"/>
    <row r="5672" x14ac:dyDescent="0.2"/>
    <row r="5673" x14ac:dyDescent="0.2"/>
    <row r="5674" x14ac:dyDescent="0.2"/>
    <row r="5675" x14ac:dyDescent="0.2"/>
    <row r="5676" x14ac:dyDescent="0.2"/>
    <row r="5677" x14ac:dyDescent="0.2"/>
    <row r="5678" x14ac:dyDescent="0.2"/>
    <row r="5679" x14ac:dyDescent="0.2"/>
    <row r="5680" x14ac:dyDescent="0.2"/>
    <row r="5681" x14ac:dyDescent="0.2"/>
    <row r="5682" x14ac:dyDescent="0.2"/>
    <row r="5683" x14ac:dyDescent="0.2"/>
    <row r="5684" x14ac:dyDescent="0.2"/>
    <row r="5685" x14ac:dyDescent="0.2"/>
    <row r="5686" x14ac:dyDescent="0.2"/>
    <row r="5687" x14ac:dyDescent="0.2"/>
    <row r="5688" x14ac:dyDescent="0.2"/>
    <row r="5689" x14ac:dyDescent="0.2"/>
    <row r="5690" x14ac:dyDescent="0.2"/>
    <row r="5691" x14ac:dyDescent="0.2"/>
    <row r="5692" x14ac:dyDescent="0.2"/>
    <row r="5693" x14ac:dyDescent="0.2"/>
    <row r="5694" x14ac:dyDescent="0.2"/>
    <row r="5695" x14ac:dyDescent="0.2"/>
    <row r="5696" x14ac:dyDescent="0.2"/>
    <row r="5697" x14ac:dyDescent="0.2"/>
    <row r="5698" x14ac:dyDescent="0.2"/>
    <row r="5699" x14ac:dyDescent="0.2"/>
    <row r="5700" x14ac:dyDescent="0.2"/>
    <row r="5701" x14ac:dyDescent="0.2"/>
    <row r="5702" x14ac:dyDescent="0.2"/>
    <row r="5703" x14ac:dyDescent="0.2"/>
    <row r="5704" x14ac:dyDescent="0.2"/>
    <row r="5705" x14ac:dyDescent="0.2"/>
    <row r="5706" x14ac:dyDescent="0.2"/>
    <row r="5707" x14ac:dyDescent="0.2"/>
    <row r="5708" x14ac:dyDescent="0.2"/>
    <row r="5709" x14ac:dyDescent="0.2"/>
    <row r="5710" x14ac:dyDescent="0.2"/>
    <row r="5711" x14ac:dyDescent="0.2"/>
    <row r="5712" x14ac:dyDescent="0.2"/>
    <row r="5713" x14ac:dyDescent="0.2"/>
    <row r="5714" x14ac:dyDescent="0.2"/>
    <row r="5715" x14ac:dyDescent="0.2"/>
    <row r="5716" x14ac:dyDescent="0.2"/>
    <row r="5717" x14ac:dyDescent="0.2"/>
    <row r="5718" x14ac:dyDescent="0.2"/>
    <row r="5719" x14ac:dyDescent="0.2"/>
    <row r="5720" x14ac:dyDescent="0.2"/>
    <row r="5721" x14ac:dyDescent="0.2"/>
    <row r="5722" x14ac:dyDescent="0.2"/>
    <row r="5723" x14ac:dyDescent="0.2"/>
    <row r="5724" x14ac:dyDescent="0.2"/>
    <row r="5725" x14ac:dyDescent="0.2"/>
    <row r="5726" x14ac:dyDescent="0.2"/>
    <row r="5727" x14ac:dyDescent="0.2"/>
    <row r="5728" x14ac:dyDescent="0.2"/>
    <row r="5729" x14ac:dyDescent="0.2"/>
    <row r="5730" x14ac:dyDescent="0.2"/>
    <row r="5731" x14ac:dyDescent="0.2"/>
    <row r="5732" x14ac:dyDescent="0.2"/>
    <row r="5733" x14ac:dyDescent="0.2"/>
    <row r="5734" x14ac:dyDescent="0.2"/>
    <row r="5735" x14ac:dyDescent="0.2"/>
    <row r="5736" x14ac:dyDescent="0.2"/>
    <row r="5737" x14ac:dyDescent="0.2"/>
    <row r="5738" x14ac:dyDescent="0.2"/>
    <row r="5739" x14ac:dyDescent="0.2"/>
    <row r="5740" x14ac:dyDescent="0.2"/>
    <row r="5741" x14ac:dyDescent="0.2"/>
    <row r="5742" x14ac:dyDescent="0.2"/>
    <row r="5743" x14ac:dyDescent="0.2"/>
    <row r="5744" x14ac:dyDescent="0.2"/>
    <row r="5745" x14ac:dyDescent="0.2"/>
    <row r="5746" x14ac:dyDescent="0.2"/>
    <row r="5747" x14ac:dyDescent="0.2"/>
    <row r="5748" x14ac:dyDescent="0.2"/>
    <row r="5749" x14ac:dyDescent="0.2"/>
    <row r="5750" x14ac:dyDescent="0.2"/>
    <row r="5751" x14ac:dyDescent="0.2"/>
    <row r="5752" x14ac:dyDescent="0.2"/>
    <row r="5753" x14ac:dyDescent="0.2"/>
    <row r="5754" x14ac:dyDescent="0.2"/>
    <row r="5755" x14ac:dyDescent="0.2"/>
    <row r="5756" x14ac:dyDescent="0.2"/>
    <row r="5757" x14ac:dyDescent="0.2"/>
    <row r="5758" x14ac:dyDescent="0.2"/>
    <row r="5759" x14ac:dyDescent="0.2"/>
    <row r="5760" x14ac:dyDescent="0.2"/>
    <row r="5761" x14ac:dyDescent="0.2"/>
    <row r="5762" x14ac:dyDescent="0.2"/>
    <row r="5763" x14ac:dyDescent="0.2"/>
    <row r="5764" x14ac:dyDescent="0.2"/>
    <row r="5765" x14ac:dyDescent="0.2"/>
    <row r="5766" x14ac:dyDescent="0.2"/>
    <row r="5767" x14ac:dyDescent="0.2"/>
    <row r="5768" x14ac:dyDescent="0.2"/>
    <row r="5769" x14ac:dyDescent="0.2"/>
    <row r="5770" x14ac:dyDescent="0.2"/>
    <row r="5771" x14ac:dyDescent="0.2"/>
    <row r="5772" x14ac:dyDescent="0.2"/>
    <row r="5773" x14ac:dyDescent="0.2"/>
    <row r="5774" x14ac:dyDescent="0.2"/>
    <row r="5775" x14ac:dyDescent="0.2"/>
    <row r="5776" x14ac:dyDescent="0.2"/>
    <row r="5777" x14ac:dyDescent="0.2"/>
    <row r="5778" x14ac:dyDescent="0.2"/>
    <row r="5779" x14ac:dyDescent="0.2"/>
    <row r="5780" x14ac:dyDescent="0.2"/>
    <row r="5781" x14ac:dyDescent="0.2"/>
    <row r="5782" x14ac:dyDescent="0.2"/>
    <row r="5783" x14ac:dyDescent="0.2"/>
    <row r="5784" x14ac:dyDescent="0.2"/>
    <row r="5785" x14ac:dyDescent="0.2"/>
    <row r="5786" x14ac:dyDescent="0.2"/>
    <row r="5787" x14ac:dyDescent="0.2"/>
    <row r="5788" x14ac:dyDescent="0.2"/>
    <row r="5789" x14ac:dyDescent="0.2"/>
    <row r="5790" x14ac:dyDescent="0.2"/>
    <row r="5791" x14ac:dyDescent="0.2"/>
    <row r="5792" x14ac:dyDescent="0.2"/>
    <row r="5793" x14ac:dyDescent="0.2"/>
    <row r="5794" x14ac:dyDescent="0.2"/>
    <row r="5795" x14ac:dyDescent="0.2"/>
    <row r="5796" x14ac:dyDescent="0.2"/>
    <row r="5797" x14ac:dyDescent="0.2"/>
    <row r="5798" x14ac:dyDescent="0.2"/>
    <row r="5799" x14ac:dyDescent="0.2"/>
    <row r="5800" x14ac:dyDescent="0.2"/>
    <row r="5801" x14ac:dyDescent="0.2"/>
    <row r="5802" x14ac:dyDescent="0.2"/>
    <row r="5803" x14ac:dyDescent="0.2"/>
    <row r="5804" x14ac:dyDescent="0.2"/>
    <row r="5805" x14ac:dyDescent="0.2"/>
    <row r="5806" x14ac:dyDescent="0.2"/>
    <row r="5807" x14ac:dyDescent="0.2"/>
    <row r="5808" x14ac:dyDescent="0.2"/>
    <row r="5809" x14ac:dyDescent="0.2"/>
    <row r="5810" x14ac:dyDescent="0.2"/>
    <row r="5811" x14ac:dyDescent="0.2"/>
    <row r="5812" x14ac:dyDescent="0.2"/>
    <row r="5813" x14ac:dyDescent="0.2"/>
    <row r="5814" x14ac:dyDescent="0.2"/>
    <row r="5815" x14ac:dyDescent="0.2"/>
    <row r="5816" x14ac:dyDescent="0.2"/>
    <row r="5817" x14ac:dyDescent="0.2"/>
    <row r="5818" x14ac:dyDescent="0.2"/>
    <row r="5819" x14ac:dyDescent="0.2"/>
    <row r="5820" x14ac:dyDescent="0.2"/>
    <row r="5821" x14ac:dyDescent="0.2"/>
    <row r="5822" x14ac:dyDescent="0.2"/>
    <row r="5823" x14ac:dyDescent="0.2"/>
    <row r="5824" x14ac:dyDescent="0.2"/>
    <row r="5825" x14ac:dyDescent="0.2"/>
    <row r="5826" x14ac:dyDescent="0.2"/>
    <row r="5827" x14ac:dyDescent="0.2"/>
    <row r="5828" x14ac:dyDescent="0.2"/>
    <row r="5829" x14ac:dyDescent="0.2"/>
    <row r="5830" x14ac:dyDescent="0.2"/>
    <row r="5831" x14ac:dyDescent="0.2"/>
    <row r="5832" x14ac:dyDescent="0.2"/>
    <row r="5833" x14ac:dyDescent="0.2"/>
    <row r="5834" x14ac:dyDescent="0.2"/>
    <row r="5835" x14ac:dyDescent="0.2"/>
    <row r="5836" x14ac:dyDescent="0.2"/>
    <row r="5837" x14ac:dyDescent="0.2"/>
    <row r="5838" x14ac:dyDescent="0.2"/>
    <row r="5839" x14ac:dyDescent="0.2"/>
    <row r="5840" x14ac:dyDescent="0.2"/>
    <row r="5841" x14ac:dyDescent="0.2"/>
    <row r="5842" x14ac:dyDescent="0.2"/>
    <row r="5843" x14ac:dyDescent="0.2"/>
    <row r="5844" x14ac:dyDescent="0.2"/>
    <row r="5845" x14ac:dyDescent="0.2"/>
    <row r="5846" x14ac:dyDescent="0.2"/>
    <row r="5847" x14ac:dyDescent="0.2"/>
    <row r="5848" x14ac:dyDescent="0.2"/>
    <row r="5849" x14ac:dyDescent="0.2"/>
    <row r="5850" x14ac:dyDescent="0.2"/>
    <row r="5851" x14ac:dyDescent="0.2"/>
    <row r="5852" x14ac:dyDescent="0.2"/>
    <row r="5853" x14ac:dyDescent="0.2"/>
    <row r="5854" x14ac:dyDescent="0.2"/>
    <row r="5855" x14ac:dyDescent="0.2"/>
    <row r="5856" x14ac:dyDescent="0.2"/>
    <row r="5857" x14ac:dyDescent="0.2"/>
    <row r="5858" x14ac:dyDescent="0.2"/>
    <row r="5859" x14ac:dyDescent="0.2"/>
    <row r="5860" x14ac:dyDescent="0.2"/>
    <row r="5861" x14ac:dyDescent="0.2"/>
    <row r="5862" x14ac:dyDescent="0.2"/>
    <row r="5863" x14ac:dyDescent="0.2"/>
    <row r="5864" x14ac:dyDescent="0.2"/>
    <row r="5865" x14ac:dyDescent="0.2"/>
    <row r="5866" x14ac:dyDescent="0.2"/>
    <row r="5867" x14ac:dyDescent="0.2"/>
    <row r="5868" x14ac:dyDescent="0.2"/>
    <row r="5869" x14ac:dyDescent="0.2"/>
    <row r="5870" x14ac:dyDescent="0.2"/>
    <row r="5871" x14ac:dyDescent="0.2"/>
    <row r="5872" x14ac:dyDescent="0.2"/>
    <row r="5873" x14ac:dyDescent="0.2"/>
    <row r="5874" x14ac:dyDescent="0.2"/>
    <row r="5875" x14ac:dyDescent="0.2"/>
    <row r="5876" x14ac:dyDescent="0.2"/>
    <row r="5877" x14ac:dyDescent="0.2"/>
    <row r="5878" x14ac:dyDescent="0.2"/>
    <row r="5879" x14ac:dyDescent="0.2"/>
    <row r="5880" x14ac:dyDescent="0.2"/>
    <row r="5881" x14ac:dyDescent="0.2"/>
    <row r="5882" x14ac:dyDescent="0.2"/>
    <row r="5883" x14ac:dyDescent="0.2"/>
    <row r="5884" x14ac:dyDescent="0.2"/>
    <row r="5885" x14ac:dyDescent="0.2"/>
    <row r="5886" x14ac:dyDescent="0.2"/>
    <row r="5887" x14ac:dyDescent="0.2"/>
    <row r="5888" x14ac:dyDescent="0.2"/>
    <row r="5889" x14ac:dyDescent="0.2"/>
    <row r="5890" x14ac:dyDescent="0.2"/>
    <row r="5891" x14ac:dyDescent="0.2"/>
    <row r="5892" x14ac:dyDescent="0.2"/>
    <row r="5893" x14ac:dyDescent="0.2"/>
    <row r="5894" x14ac:dyDescent="0.2"/>
    <row r="5895" x14ac:dyDescent="0.2"/>
    <row r="5896" x14ac:dyDescent="0.2"/>
    <row r="5897" x14ac:dyDescent="0.2"/>
    <row r="5898" x14ac:dyDescent="0.2"/>
    <row r="5899" x14ac:dyDescent="0.2"/>
    <row r="5900" x14ac:dyDescent="0.2"/>
    <row r="5901" x14ac:dyDescent="0.2"/>
    <row r="5902" x14ac:dyDescent="0.2"/>
    <row r="5903" x14ac:dyDescent="0.2"/>
    <row r="5904" x14ac:dyDescent="0.2"/>
    <row r="5905" x14ac:dyDescent="0.2"/>
    <row r="5906" x14ac:dyDescent="0.2"/>
    <row r="5907" x14ac:dyDescent="0.2"/>
    <row r="5908" x14ac:dyDescent="0.2"/>
    <row r="5909" x14ac:dyDescent="0.2"/>
    <row r="5910" x14ac:dyDescent="0.2"/>
    <row r="5911" x14ac:dyDescent="0.2"/>
    <row r="5912" x14ac:dyDescent="0.2"/>
    <row r="5913" x14ac:dyDescent="0.2"/>
    <row r="5914" x14ac:dyDescent="0.2"/>
    <row r="5915" x14ac:dyDescent="0.2"/>
    <row r="5916" x14ac:dyDescent="0.2"/>
    <row r="5917" x14ac:dyDescent="0.2"/>
    <row r="5918" x14ac:dyDescent="0.2"/>
    <row r="5919" x14ac:dyDescent="0.2"/>
    <row r="5920" x14ac:dyDescent="0.2"/>
    <row r="5921" x14ac:dyDescent="0.2"/>
    <row r="5922" x14ac:dyDescent="0.2"/>
    <row r="5923" x14ac:dyDescent="0.2"/>
    <row r="5924" x14ac:dyDescent="0.2"/>
    <row r="5925" x14ac:dyDescent="0.2"/>
    <row r="5926" x14ac:dyDescent="0.2"/>
    <row r="5927" x14ac:dyDescent="0.2"/>
    <row r="5928" x14ac:dyDescent="0.2"/>
    <row r="5929" x14ac:dyDescent="0.2"/>
    <row r="5930" x14ac:dyDescent="0.2"/>
    <row r="5931" x14ac:dyDescent="0.2"/>
    <row r="5932" x14ac:dyDescent="0.2"/>
    <row r="5933" x14ac:dyDescent="0.2"/>
    <row r="5934" x14ac:dyDescent="0.2"/>
    <row r="5935" x14ac:dyDescent="0.2"/>
    <row r="5936" x14ac:dyDescent="0.2"/>
    <row r="5937" x14ac:dyDescent="0.2"/>
    <row r="5938" x14ac:dyDescent="0.2"/>
    <row r="5939" x14ac:dyDescent="0.2"/>
    <row r="5940" x14ac:dyDescent="0.2"/>
    <row r="5941" x14ac:dyDescent="0.2"/>
    <row r="5942" x14ac:dyDescent="0.2"/>
    <row r="5943" x14ac:dyDescent="0.2"/>
    <row r="5944" x14ac:dyDescent="0.2"/>
    <row r="5945" x14ac:dyDescent="0.2"/>
    <row r="5946" x14ac:dyDescent="0.2"/>
    <row r="5947" x14ac:dyDescent="0.2"/>
    <row r="5948" x14ac:dyDescent="0.2"/>
    <row r="5949" x14ac:dyDescent="0.2"/>
    <row r="5950" x14ac:dyDescent="0.2"/>
    <row r="5951" x14ac:dyDescent="0.2"/>
    <row r="5952" x14ac:dyDescent="0.2"/>
    <row r="5953" x14ac:dyDescent="0.2"/>
    <row r="5954" x14ac:dyDescent="0.2"/>
    <row r="5955" x14ac:dyDescent="0.2"/>
    <row r="5956" x14ac:dyDescent="0.2"/>
    <row r="5957" x14ac:dyDescent="0.2"/>
    <row r="5958" x14ac:dyDescent="0.2"/>
    <row r="5959" x14ac:dyDescent="0.2"/>
    <row r="5960" x14ac:dyDescent="0.2"/>
    <row r="5961" x14ac:dyDescent="0.2"/>
    <row r="5962" x14ac:dyDescent="0.2"/>
    <row r="5963" x14ac:dyDescent="0.2"/>
    <row r="5964" x14ac:dyDescent="0.2"/>
    <row r="5965" x14ac:dyDescent="0.2"/>
    <row r="5966" x14ac:dyDescent="0.2"/>
    <row r="5967" x14ac:dyDescent="0.2"/>
    <row r="5968" x14ac:dyDescent="0.2"/>
    <row r="5969" x14ac:dyDescent="0.2"/>
    <row r="5970" x14ac:dyDescent="0.2"/>
    <row r="5971" x14ac:dyDescent="0.2"/>
    <row r="5972" x14ac:dyDescent="0.2"/>
    <row r="5973" x14ac:dyDescent="0.2"/>
    <row r="5974" x14ac:dyDescent="0.2"/>
    <row r="5975" x14ac:dyDescent="0.2"/>
    <row r="5976" x14ac:dyDescent="0.2"/>
    <row r="5977" x14ac:dyDescent="0.2"/>
    <row r="5978" x14ac:dyDescent="0.2"/>
    <row r="5979" x14ac:dyDescent="0.2"/>
    <row r="5980" x14ac:dyDescent="0.2"/>
    <row r="5981" x14ac:dyDescent="0.2"/>
    <row r="5982" x14ac:dyDescent="0.2"/>
    <row r="5983" x14ac:dyDescent="0.2"/>
    <row r="5984" x14ac:dyDescent="0.2"/>
    <row r="5985" x14ac:dyDescent="0.2"/>
    <row r="5986" x14ac:dyDescent="0.2"/>
    <row r="5987" x14ac:dyDescent="0.2"/>
    <row r="5988" x14ac:dyDescent="0.2"/>
    <row r="5989" x14ac:dyDescent="0.2"/>
    <row r="5990" x14ac:dyDescent="0.2"/>
    <row r="5991" x14ac:dyDescent="0.2"/>
    <row r="5992" x14ac:dyDescent="0.2"/>
    <row r="5993" x14ac:dyDescent="0.2"/>
    <row r="5994" x14ac:dyDescent="0.2"/>
    <row r="5995" x14ac:dyDescent="0.2"/>
    <row r="5996" x14ac:dyDescent="0.2"/>
    <row r="5997" x14ac:dyDescent="0.2"/>
    <row r="5998" x14ac:dyDescent="0.2"/>
    <row r="5999" x14ac:dyDescent="0.2"/>
    <row r="6000" x14ac:dyDescent="0.2"/>
    <row r="6001" x14ac:dyDescent="0.2"/>
    <row r="6002" x14ac:dyDescent="0.2"/>
    <row r="6003" x14ac:dyDescent="0.2"/>
    <row r="6004" x14ac:dyDescent="0.2"/>
    <row r="6005" x14ac:dyDescent="0.2"/>
    <row r="6006" x14ac:dyDescent="0.2"/>
    <row r="6007" x14ac:dyDescent="0.2"/>
    <row r="6008" x14ac:dyDescent="0.2"/>
    <row r="6009" x14ac:dyDescent="0.2"/>
    <row r="6010" x14ac:dyDescent="0.2"/>
    <row r="6011" x14ac:dyDescent="0.2"/>
    <row r="6012" x14ac:dyDescent="0.2"/>
    <row r="6013" x14ac:dyDescent="0.2"/>
    <row r="6014" x14ac:dyDescent="0.2"/>
    <row r="6015" x14ac:dyDescent="0.2"/>
    <row r="6016" x14ac:dyDescent="0.2"/>
    <row r="6017" x14ac:dyDescent="0.2"/>
    <row r="6018" x14ac:dyDescent="0.2"/>
    <row r="6019" x14ac:dyDescent="0.2"/>
    <row r="6020" x14ac:dyDescent="0.2"/>
    <row r="6021" x14ac:dyDescent="0.2"/>
    <row r="6022" x14ac:dyDescent="0.2"/>
    <row r="6023" x14ac:dyDescent="0.2"/>
    <row r="6024" x14ac:dyDescent="0.2"/>
    <row r="6025" x14ac:dyDescent="0.2"/>
    <row r="6026" x14ac:dyDescent="0.2"/>
    <row r="6027" x14ac:dyDescent="0.2"/>
    <row r="6028" x14ac:dyDescent="0.2"/>
    <row r="6029" x14ac:dyDescent="0.2"/>
    <row r="6030" x14ac:dyDescent="0.2"/>
    <row r="6031" x14ac:dyDescent="0.2"/>
    <row r="6032" x14ac:dyDescent="0.2"/>
    <row r="6033" x14ac:dyDescent="0.2"/>
    <row r="6034" x14ac:dyDescent="0.2"/>
    <row r="6035" x14ac:dyDescent="0.2"/>
    <row r="6036" x14ac:dyDescent="0.2"/>
    <row r="6037" x14ac:dyDescent="0.2"/>
    <row r="6038" x14ac:dyDescent="0.2"/>
    <row r="6039" x14ac:dyDescent="0.2"/>
    <row r="6040" x14ac:dyDescent="0.2"/>
    <row r="6041" x14ac:dyDescent="0.2"/>
    <row r="6042" x14ac:dyDescent="0.2"/>
    <row r="6043" x14ac:dyDescent="0.2"/>
    <row r="6044" x14ac:dyDescent="0.2"/>
    <row r="6045" x14ac:dyDescent="0.2"/>
    <row r="6046" x14ac:dyDescent="0.2"/>
    <row r="6047" x14ac:dyDescent="0.2"/>
    <row r="6048" x14ac:dyDescent="0.2"/>
    <row r="6049" x14ac:dyDescent="0.2"/>
    <row r="6050" x14ac:dyDescent="0.2"/>
    <row r="6051" x14ac:dyDescent="0.2"/>
    <row r="6052" x14ac:dyDescent="0.2"/>
    <row r="6053" x14ac:dyDescent="0.2"/>
    <row r="6054" x14ac:dyDescent="0.2"/>
    <row r="6055" x14ac:dyDescent="0.2"/>
    <row r="6056" x14ac:dyDescent="0.2"/>
    <row r="6057" x14ac:dyDescent="0.2"/>
    <row r="6058" x14ac:dyDescent="0.2"/>
    <row r="6059" x14ac:dyDescent="0.2"/>
    <row r="6060" x14ac:dyDescent="0.2"/>
    <row r="6061" x14ac:dyDescent="0.2"/>
    <row r="6062" x14ac:dyDescent="0.2"/>
    <row r="6063" x14ac:dyDescent="0.2"/>
    <row r="6064" x14ac:dyDescent="0.2"/>
    <row r="6065" x14ac:dyDescent="0.2"/>
    <row r="6066" x14ac:dyDescent="0.2"/>
    <row r="6067" x14ac:dyDescent="0.2"/>
    <row r="6068" x14ac:dyDescent="0.2"/>
    <row r="6069" x14ac:dyDescent="0.2"/>
    <row r="6070" x14ac:dyDescent="0.2"/>
    <row r="6071" x14ac:dyDescent="0.2"/>
    <row r="6072" x14ac:dyDescent="0.2"/>
    <row r="6073" x14ac:dyDescent="0.2"/>
    <row r="6074" x14ac:dyDescent="0.2"/>
    <row r="6075" x14ac:dyDescent="0.2"/>
    <row r="6076" x14ac:dyDescent="0.2"/>
    <row r="6077" x14ac:dyDescent="0.2"/>
    <row r="6078" x14ac:dyDescent="0.2"/>
    <row r="6079" x14ac:dyDescent="0.2"/>
    <row r="6080" x14ac:dyDescent="0.2"/>
    <row r="6081" x14ac:dyDescent="0.2"/>
    <row r="6082" x14ac:dyDescent="0.2"/>
    <row r="6083" x14ac:dyDescent="0.2"/>
    <row r="6084" x14ac:dyDescent="0.2"/>
    <row r="6085" x14ac:dyDescent="0.2"/>
    <row r="6086" x14ac:dyDescent="0.2"/>
    <row r="6087" x14ac:dyDescent="0.2"/>
    <row r="6088" x14ac:dyDescent="0.2"/>
    <row r="6089" x14ac:dyDescent="0.2"/>
    <row r="6090" x14ac:dyDescent="0.2"/>
    <row r="6091" x14ac:dyDescent="0.2"/>
    <row r="6092" x14ac:dyDescent="0.2"/>
    <row r="6093" x14ac:dyDescent="0.2"/>
    <row r="6094" x14ac:dyDescent="0.2"/>
    <row r="6095" x14ac:dyDescent="0.2"/>
    <row r="6096" x14ac:dyDescent="0.2"/>
    <row r="6097" x14ac:dyDescent="0.2"/>
    <row r="6098" x14ac:dyDescent="0.2"/>
    <row r="6099" x14ac:dyDescent="0.2"/>
    <row r="6100" x14ac:dyDescent="0.2"/>
    <row r="6101" x14ac:dyDescent="0.2"/>
    <row r="6102" x14ac:dyDescent="0.2"/>
    <row r="6103" x14ac:dyDescent="0.2"/>
    <row r="6104" x14ac:dyDescent="0.2"/>
    <row r="6105" x14ac:dyDescent="0.2"/>
    <row r="6106" x14ac:dyDescent="0.2"/>
    <row r="6107" x14ac:dyDescent="0.2"/>
    <row r="6108" x14ac:dyDescent="0.2"/>
    <row r="6109" x14ac:dyDescent="0.2"/>
    <row r="6110" x14ac:dyDescent="0.2"/>
    <row r="6111" x14ac:dyDescent="0.2"/>
    <row r="6112" x14ac:dyDescent="0.2"/>
    <row r="6113" x14ac:dyDescent="0.2"/>
    <row r="6114" x14ac:dyDescent="0.2"/>
    <row r="6115" x14ac:dyDescent="0.2"/>
    <row r="6116" x14ac:dyDescent="0.2"/>
    <row r="6117" x14ac:dyDescent="0.2"/>
    <row r="6118" x14ac:dyDescent="0.2"/>
    <row r="6119" x14ac:dyDescent="0.2"/>
    <row r="6120" x14ac:dyDescent="0.2"/>
    <row r="6121" x14ac:dyDescent="0.2"/>
    <row r="6122" x14ac:dyDescent="0.2"/>
    <row r="6123" x14ac:dyDescent="0.2"/>
    <row r="6124" x14ac:dyDescent="0.2"/>
    <row r="6125" x14ac:dyDescent="0.2"/>
    <row r="6126" x14ac:dyDescent="0.2"/>
    <row r="6127" x14ac:dyDescent="0.2"/>
    <row r="6128" x14ac:dyDescent="0.2"/>
    <row r="6129" x14ac:dyDescent="0.2"/>
    <row r="6130" x14ac:dyDescent="0.2"/>
    <row r="6131" x14ac:dyDescent="0.2"/>
    <row r="6132" x14ac:dyDescent="0.2"/>
    <row r="6133" x14ac:dyDescent="0.2"/>
    <row r="6134" x14ac:dyDescent="0.2"/>
    <row r="6135" x14ac:dyDescent="0.2"/>
    <row r="6136" x14ac:dyDescent="0.2"/>
    <row r="6137" x14ac:dyDescent="0.2"/>
    <row r="6138" x14ac:dyDescent="0.2"/>
    <row r="6139" x14ac:dyDescent="0.2"/>
    <row r="6140" x14ac:dyDescent="0.2"/>
    <row r="6141" x14ac:dyDescent="0.2"/>
    <row r="6142" x14ac:dyDescent="0.2"/>
    <row r="6143" x14ac:dyDescent="0.2"/>
    <row r="6144" x14ac:dyDescent="0.2"/>
    <row r="6145" x14ac:dyDescent="0.2"/>
    <row r="6146" x14ac:dyDescent="0.2"/>
    <row r="6147" x14ac:dyDescent="0.2"/>
    <row r="6148" x14ac:dyDescent="0.2"/>
    <row r="6149" x14ac:dyDescent="0.2"/>
    <row r="6150" x14ac:dyDescent="0.2"/>
    <row r="6151" x14ac:dyDescent="0.2"/>
    <row r="6152" x14ac:dyDescent="0.2"/>
    <row r="6153" x14ac:dyDescent="0.2"/>
    <row r="6154" x14ac:dyDescent="0.2"/>
    <row r="6155" x14ac:dyDescent="0.2"/>
    <row r="6156" x14ac:dyDescent="0.2"/>
    <row r="6157" x14ac:dyDescent="0.2"/>
    <row r="6158" x14ac:dyDescent="0.2"/>
    <row r="6159" x14ac:dyDescent="0.2"/>
    <row r="6160" x14ac:dyDescent="0.2"/>
    <row r="6161" x14ac:dyDescent="0.2"/>
    <row r="6162" x14ac:dyDescent="0.2"/>
    <row r="6163" x14ac:dyDescent="0.2"/>
    <row r="6164" x14ac:dyDescent="0.2"/>
    <row r="6165" x14ac:dyDescent="0.2"/>
    <row r="6166" x14ac:dyDescent="0.2"/>
    <row r="6167" x14ac:dyDescent="0.2"/>
    <row r="6168" x14ac:dyDescent="0.2"/>
    <row r="6169" x14ac:dyDescent="0.2"/>
    <row r="6170" x14ac:dyDescent="0.2"/>
    <row r="6171" x14ac:dyDescent="0.2"/>
    <row r="6172" x14ac:dyDescent="0.2"/>
    <row r="6173" x14ac:dyDescent="0.2"/>
    <row r="6174" x14ac:dyDescent="0.2"/>
    <row r="6175" x14ac:dyDescent="0.2"/>
    <row r="6176" x14ac:dyDescent="0.2"/>
    <row r="6177" x14ac:dyDescent="0.2"/>
    <row r="6178" x14ac:dyDescent="0.2"/>
    <row r="6179" x14ac:dyDescent="0.2"/>
    <row r="6180" x14ac:dyDescent="0.2"/>
    <row r="6181" x14ac:dyDescent="0.2"/>
    <row r="6182" x14ac:dyDescent="0.2"/>
    <row r="6183" x14ac:dyDescent="0.2"/>
    <row r="6184" x14ac:dyDescent="0.2"/>
    <row r="6185" x14ac:dyDescent="0.2"/>
    <row r="6186" x14ac:dyDescent="0.2"/>
    <row r="6187" x14ac:dyDescent="0.2"/>
    <row r="6188" x14ac:dyDescent="0.2"/>
    <row r="6189" x14ac:dyDescent="0.2"/>
    <row r="6190" x14ac:dyDescent="0.2"/>
    <row r="6191" x14ac:dyDescent="0.2"/>
    <row r="6192" x14ac:dyDescent="0.2"/>
    <row r="6193" x14ac:dyDescent="0.2"/>
    <row r="6194" x14ac:dyDescent="0.2"/>
    <row r="6195" x14ac:dyDescent="0.2"/>
    <row r="6196" x14ac:dyDescent="0.2"/>
    <row r="6197" x14ac:dyDescent="0.2"/>
    <row r="6198" x14ac:dyDescent="0.2"/>
    <row r="6199" x14ac:dyDescent="0.2"/>
    <row r="6200" x14ac:dyDescent="0.2"/>
    <row r="6201" x14ac:dyDescent="0.2"/>
    <row r="6202" x14ac:dyDescent="0.2"/>
    <row r="6203" x14ac:dyDescent="0.2"/>
    <row r="6204" x14ac:dyDescent="0.2"/>
    <row r="6205" x14ac:dyDescent="0.2"/>
    <row r="6206" x14ac:dyDescent="0.2"/>
    <row r="6207" x14ac:dyDescent="0.2"/>
    <row r="6208" x14ac:dyDescent="0.2"/>
    <row r="6209" x14ac:dyDescent="0.2"/>
    <row r="6210" x14ac:dyDescent="0.2"/>
    <row r="6211" x14ac:dyDescent="0.2"/>
    <row r="6212" x14ac:dyDescent="0.2"/>
    <row r="6213" x14ac:dyDescent="0.2"/>
    <row r="6214" x14ac:dyDescent="0.2"/>
    <row r="6215" x14ac:dyDescent="0.2"/>
    <row r="6216" x14ac:dyDescent="0.2"/>
    <row r="6217" x14ac:dyDescent="0.2"/>
    <row r="6218" x14ac:dyDescent="0.2"/>
    <row r="6219" x14ac:dyDescent="0.2"/>
    <row r="6220" x14ac:dyDescent="0.2"/>
    <row r="6221" x14ac:dyDescent="0.2"/>
    <row r="6222" x14ac:dyDescent="0.2"/>
    <row r="6223" x14ac:dyDescent="0.2"/>
    <row r="6224" x14ac:dyDescent="0.2"/>
    <row r="6225" x14ac:dyDescent="0.2"/>
    <row r="6226" x14ac:dyDescent="0.2"/>
    <row r="6227" x14ac:dyDescent="0.2"/>
    <row r="6228" x14ac:dyDescent="0.2"/>
    <row r="6229" x14ac:dyDescent="0.2"/>
    <row r="6230" x14ac:dyDescent="0.2"/>
    <row r="6231" x14ac:dyDescent="0.2"/>
    <row r="6232" x14ac:dyDescent="0.2"/>
    <row r="6233" x14ac:dyDescent="0.2"/>
    <row r="6234" x14ac:dyDescent="0.2"/>
    <row r="6235" x14ac:dyDescent="0.2"/>
    <row r="6236" x14ac:dyDescent="0.2"/>
    <row r="6237" x14ac:dyDescent="0.2"/>
    <row r="6238" x14ac:dyDescent="0.2"/>
    <row r="6239" x14ac:dyDescent="0.2"/>
    <row r="6240" x14ac:dyDescent="0.2"/>
    <row r="6241" x14ac:dyDescent="0.2"/>
    <row r="6242" x14ac:dyDescent="0.2"/>
    <row r="6243" x14ac:dyDescent="0.2"/>
    <row r="6244" x14ac:dyDescent="0.2"/>
    <row r="6245" x14ac:dyDescent="0.2"/>
    <row r="6246" x14ac:dyDescent="0.2"/>
    <row r="6247" x14ac:dyDescent="0.2"/>
    <row r="6248" x14ac:dyDescent="0.2"/>
    <row r="6249" x14ac:dyDescent="0.2"/>
    <row r="6250" x14ac:dyDescent="0.2"/>
    <row r="6251" x14ac:dyDescent="0.2"/>
    <row r="6252" x14ac:dyDescent="0.2"/>
    <row r="6253" x14ac:dyDescent="0.2"/>
    <row r="6254" x14ac:dyDescent="0.2"/>
    <row r="6255" x14ac:dyDescent="0.2"/>
    <row r="6256" x14ac:dyDescent="0.2"/>
    <row r="6257" x14ac:dyDescent="0.2"/>
    <row r="6258" x14ac:dyDescent="0.2"/>
    <row r="6259" x14ac:dyDescent="0.2"/>
    <row r="6260" x14ac:dyDescent="0.2"/>
    <row r="6261" x14ac:dyDescent="0.2"/>
    <row r="6262" x14ac:dyDescent="0.2"/>
    <row r="6263" x14ac:dyDescent="0.2"/>
    <row r="6264" x14ac:dyDescent="0.2"/>
    <row r="6265" x14ac:dyDescent="0.2"/>
    <row r="6266" x14ac:dyDescent="0.2"/>
    <row r="6267" x14ac:dyDescent="0.2"/>
    <row r="6268" x14ac:dyDescent="0.2"/>
    <row r="6269" x14ac:dyDescent="0.2"/>
    <row r="6270" x14ac:dyDescent="0.2"/>
    <row r="6271" x14ac:dyDescent="0.2"/>
    <row r="6272" x14ac:dyDescent="0.2"/>
    <row r="6273" x14ac:dyDescent="0.2"/>
    <row r="6274" x14ac:dyDescent="0.2"/>
    <row r="6275" x14ac:dyDescent="0.2"/>
    <row r="6276" x14ac:dyDescent="0.2"/>
    <row r="6277" x14ac:dyDescent="0.2"/>
    <row r="6278" x14ac:dyDescent="0.2"/>
    <row r="6279" x14ac:dyDescent="0.2"/>
    <row r="6280" x14ac:dyDescent="0.2"/>
    <row r="6281" x14ac:dyDescent="0.2"/>
    <row r="6282" x14ac:dyDescent="0.2"/>
    <row r="6283" x14ac:dyDescent="0.2"/>
    <row r="6284" x14ac:dyDescent="0.2"/>
    <row r="6285" x14ac:dyDescent="0.2"/>
    <row r="6286" x14ac:dyDescent="0.2"/>
    <row r="6287" x14ac:dyDescent="0.2"/>
    <row r="6288" x14ac:dyDescent="0.2"/>
    <row r="6289" x14ac:dyDescent="0.2"/>
    <row r="6290" x14ac:dyDescent="0.2"/>
    <row r="6291" x14ac:dyDescent="0.2"/>
    <row r="6292" x14ac:dyDescent="0.2"/>
    <row r="6293" x14ac:dyDescent="0.2"/>
    <row r="6294" x14ac:dyDescent="0.2"/>
    <row r="6295" x14ac:dyDescent="0.2"/>
    <row r="6296" x14ac:dyDescent="0.2"/>
    <row r="6297" x14ac:dyDescent="0.2"/>
    <row r="6298" x14ac:dyDescent="0.2"/>
    <row r="6299" x14ac:dyDescent="0.2"/>
    <row r="6300" x14ac:dyDescent="0.2"/>
    <row r="6301" x14ac:dyDescent="0.2"/>
    <row r="6302" x14ac:dyDescent="0.2"/>
    <row r="6303" x14ac:dyDescent="0.2"/>
    <row r="6304" x14ac:dyDescent="0.2"/>
    <row r="6305" x14ac:dyDescent="0.2"/>
    <row r="6306" x14ac:dyDescent="0.2"/>
    <row r="6307" x14ac:dyDescent="0.2"/>
    <row r="6308" x14ac:dyDescent="0.2"/>
    <row r="6309" x14ac:dyDescent="0.2"/>
    <row r="6310" x14ac:dyDescent="0.2"/>
    <row r="6311" x14ac:dyDescent="0.2"/>
    <row r="6312" x14ac:dyDescent="0.2"/>
    <row r="6313" x14ac:dyDescent="0.2"/>
    <row r="6314" x14ac:dyDescent="0.2"/>
    <row r="6315" x14ac:dyDescent="0.2"/>
    <row r="6316" x14ac:dyDescent="0.2"/>
    <row r="6317" x14ac:dyDescent="0.2"/>
    <row r="6318" x14ac:dyDescent="0.2"/>
    <row r="6319" x14ac:dyDescent="0.2"/>
    <row r="6320" x14ac:dyDescent="0.2"/>
    <row r="6321" x14ac:dyDescent="0.2"/>
    <row r="6322" x14ac:dyDescent="0.2"/>
    <row r="6323" x14ac:dyDescent="0.2"/>
    <row r="6324" x14ac:dyDescent="0.2"/>
    <row r="6325" x14ac:dyDescent="0.2"/>
    <row r="6326" x14ac:dyDescent="0.2"/>
    <row r="6327" x14ac:dyDescent="0.2"/>
    <row r="6328" x14ac:dyDescent="0.2"/>
    <row r="6329" x14ac:dyDescent="0.2"/>
    <row r="6330" x14ac:dyDescent="0.2"/>
    <row r="6331" x14ac:dyDescent="0.2"/>
    <row r="6332" x14ac:dyDescent="0.2"/>
    <row r="6333" x14ac:dyDescent="0.2"/>
    <row r="6334" x14ac:dyDescent="0.2"/>
    <row r="6335" x14ac:dyDescent="0.2"/>
    <row r="6336" x14ac:dyDescent="0.2"/>
    <row r="6337" x14ac:dyDescent="0.2"/>
    <row r="6338" x14ac:dyDescent="0.2"/>
    <row r="6339" x14ac:dyDescent="0.2"/>
    <row r="6340" x14ac:dyDescent="0.2"/>
    <row r="6341" x14ac:dyDescent="0.2"/>
    <row r="6342" x14ac:dyDescent="0.2"/>
    <row r="6343" x14ac:dyDescent="0.2"/>
    <row r="6344" x14ac:dyDescent="0.2"/>
    <row r="6345" x14ac:dyDescent="0.2"/>
    <row r="6346" x14ac:dyDescent="0.2"/>
    <row r="6347" x14ac:dyDescent="0.2"/>
    <row r="6348" x14ac:dyDescent="0.2"/>
    <row r="6349" x14ac:dyDescent="0.2"/>
    <row r="6350" x14ac:dyDescent="0.2"/>
    <row r="6351" x14ac:dyDescent="0.2"/>
    <row r="6352" x14ac:dyDescent="0.2"/>
    <row r="6353" x14ac:dyDescent="0.2"/>
    <row r="6354" x14ac:dyDescent="0.2"/>
    <row r="6355" x14ac:dyDescent="0.2"/>
    <row r="6356" x14ac:dyDescent="0.2"/>
    <row r="6357" x14ac:dyDescent="0.2"/>
    <row r="6358" x14ac:dyDescent="0.2"/>
    <row r="6359" x14ac:dyDescent="0.2"/>
    <row r="6360" x14ac:dyDescent="0.2"/>
    <row r="6361" x14ac:dyDescent="0.2"/>
    <row r="6362" x14ac:dyDescent="0.2"/>
    <row r="6363" x14ac:dyDescent="0.2"/>
    <row r="6364" x14ac:dyDescent="0.2"/>
    <row r="6365" x14ac:dyDescent="0.2"/>
    <row r="6366" x14ac:dyDescent="0.2"/>
    <row r="6367" x14ac:dyDescent="0.2"/>
    <row r="6368" x14ac:dyDescent="0.2"/>
    <row r="6369" x14ac:dyDescent="0.2"/>
    <row r="6370" x14ac:dyDescent="0.2"/>
    <row r="6371" x14ac:dyDescent="0.2"/>
    <row r="6372" x14ac:dyDescent="0.2"/>
    <row r="6373" x14ac:dyDescent="0.2"/>
    <row r="6374" x14ac:dyDescent="0.2"/>
    <row r="6375" x14ac:dyDescent="0.2"/>
    <row r="6376" x14ac:dyDescent="0.2"/>
    <row r="6377" x14ac:dyDescent="0.2"/>
    <row r="6378" x14ac:dyDescent="0.2"/>
    <row r="6379" x14ac:dyDescent="0.2"/>
    <row r="6380" x14ac:dyDescent="0.2"/>
    <row r="6381" x14ac:dyDescent="0.2"/>
    <row r="6382" x14ac:dyDescent="0.2"/>
    <row r="6383" x14ac:dyDescent="0.2"/>
    <row r="6384" x14ac:dyDescent="0.2"/>
    <row r="6385" x14ac:dyDescent="0.2"/>
    <row r="6386" x14ac:dyDescent="0.2"/>
    <row r="6387" x14ac:dyDescent="0.2"/>
    <row r="6388" x14ac:dyDescent="0.2"/>
    <row r="6389" x14ac:dyDescent="0.2"/>
    <row r="6390" x14ac:dyDescent="0.2"/>
    <row r="6391" x14ac:dyDescent="0.2"/>
    <row r="6392" x14ac:dyDescent="0.2"/>
    <row r="6393" x14ac:dyDescent="0.2"/>
    <row r="6394" x14ac:dyDescent="0.2"/>
    <row r="6395" x14ac:dyDescent="0.2"/>
    <row r="6396" x14ac:dyDescent="0.2"/>
    <row r="6397" x14ac:dyDescent="0.2"/>
    <row r="6398" x14ac:dyDescent="0.2"/>
    <row r="6399" x14ac:dyDescent="0.2"/>
    <row r="6400" x14ac:dyDescent="0.2"/>
    <row r="6401" x14ac:dyDescent="0.2"/>
    <row r="6402" x14ac:dyDescent="0.2"/>
    <row r="6403" x14ac:dyDescent="0.2"/>
    <row r="6404" x14ac:dyDescent="0.2"/>
    <row r="6405" x14ac:dyDescent="0.2"/>
    <row r="6406" x14ac:dyDescent="0.2"/>
    <row r="6407" x14ac:dyDescent="0.2"/>
    <row r="6408" x14ac:dyDescent="0.2"/>
    <row r="6409" x14ac:dyDescent="0.2"/>
    <row r="6410" x14ac:dyDescent="0.2"/>
    <row r="6411" x14ac:dyDescent="0.2"/>
    <row r="6412" x14ac:dyDescent="0.2"/>
    <row r="6413" x14ac:dyDescent="0.2"/>
    <row r="6414" x14ac:dyDescent="0.2"/>
    <row r="6415" x14ac:dyDescent="0.2"/>
    <row r="6416" x14ac:dyDescent="0.2"/>
    <row r="6417" x14ac:dyDescent="0.2"/>
    <row r="6418" x14ac:dyDescent="0.2"/>
    <row r="6419" x14ac:dyDescent="0.2"/>
    <row r="6420" x14ac:dyDescent="0.2"/>
    <row r="6421" x14ac:dyDescent="0.2"/>
    <row r="6422" x14ac:dyDescent="0.2"/>
    <row r="6423" x14ac:dyDescent="0.2"/>
    <row r="6424" x14ac:dyDescent="0.2"/>
    <row r="6425" x14ac:dyDescent="0.2"/>
    <row r="6426" x14ac:dyDescent="0.2"/>
    <row r="6427" x14ac:dyDescent="0.2"/>
    <row r="6428" x14ac:dyDescent="0.2"/>
    <row r="6429" x14ac:dyDescent="0.2"/>
    <row r="6430" x14ac:dyDescent="0.2"/>
    <row r="6431" x14ac:dyDescent="0.2"/>
    <row r="6432" x14ac:dyDescent="0.2"/>
    <row r="6433" x14ac:dyDescent="0.2"/>
    <row r="6434" x14ac:dyDescent="0.2"/>
    <row r="6435" x14ac:dyDescent="0.2"/>
    <row r="6436" x14ac:dyDescent="0.2"/>
    <row r="6437" x14ac:dyDescent="0.2"/>
    <row r="6438" x14ac:dyDescent="0.2"/>
    <row r="6439" x14ac:dyDescent="0.2"/>
    <row r="6440" x14ac:dyDescent="0.2"/>
    <row r="6441" x14ac:dyDescent="0.2"/>
    <row r="6442" x14ac:dyDescent="0.2"/>
    <row r="6443" x14ac:dyDescent="0.2"/>
    <row r="6444" x14ac:dyDescent="0.2"/>
    <row r="6445" x14ac:dyDescent="0.2"/>
    <row r="6446" x14ac:dyDescent="0.2"/>
    <row r="6447" x14ac:dyDescent="0.2"/>
    <row r="6448" x14ac:dyDescent="0.2"/>
    <row r="6449" x14ac:dyDescent="0.2"/>
    <row r="6450" x14ac:dyDescent="0.2"/>
    <row r="6451" x14ac:dyDescent="0.2"/>
    <row r="6452" x14ac:dyDescent="0.2"/>
    <row r="6453" x14ac:dyDescent="0.2"/>
    <row r="6454" x14ac:dyDescent="0.2"/>
    <row r="6455" x14ac:dyDescent="0.2"/>
    <row r="6456" x14ac:dyDescent="0.2"/>
    <row r="6457" x14ac:dyDescent="0.2"/>
    <row r="6458" x14ac:dyDescent="0.2"/>
    <row r="6459" x14ac:dyDescent="0.2"/>
    <row r="6460" x14ac:dyDescent="0.2"/>
    <row r="6461" x14ac:dyDescent="0.2"/>
    <row r="6462" x14ac:dyDescent="0.2"/>
    <row r="6463" x14ac:dyDescent="0.2"/>
    <row r="6464" x14ac:dyDescent="0.2"/>
    <row r="6465" x14ac:dyDescent="0.2"/>
    <row r="6466" x14ac:dyDescent="0.2"/>
    <row r="6467" x14ac:dyDescent="0.2"/>
    <row r="6468" x14ac:dyDescent="0.2"/>
    <row r="6469" x14ac:dyDescent="0.2"/>
    <row r="6470" x14ac:dyDescent="0.2"/>
    <row r="6471" x14ac:dyDescent="0.2"/>
    <row r="6472" x14ac:dyDescent="0.2"/>
    <row r="6473" x14ac:dyDescent="0.2"/>
    <row r="6474" x14ac:dyDescent="0.2"/>
    <row r="6475" x14ac:dyDescent="0.2"/>
    <row r="6476" x14ac:dyDescent="0.2"/>
    <row r="6477" x14ac:dyDescent="0.2"/>
    <row r="6478" x14ac:dyDescent="0.2"/>
    <row r="6479" x14ac:dyDescent="0.2"/>
    <row r="6480" x14ac:dyDescent="0.2"/>
    <row r="6481" x14ac:dyDescent="0.2"/>
    <row r="6482" x14ac:dyDescent="0.2"/>
    <row r="6483" x14ac:dyDescent="0.2"/>
    <row r="6484" x14ac:dyDescent="0.2"/>
    <row r="6485" x14ac:dyDescent="0.2"/>
    <row r="6486" x14ac:dyDescent="0.2"/>
    <row r="6487" x14ac:dyDescent="0.2"/>
    <row r="6488" x14ac:dyDescent="0.2"/>
    <row r="6489" x14ac:dyDescent="0.2"/>
    <row r="6490" x14ac:dyDescent="0.2"/>
    <row r="6491" x14ac:dyDescent="0.2"/>
    <row r="6492" x14ac:dyDescent="0.2"/>
    <row r="6493" x14ac:dyDescent="0.2"/>
    <row r="6494" x14ac:dyDescent="0.2"/>
    <row r="6495" x14ac:dyDescent="0.2"/>
    <row r="6496" x14ac:dyDescent="0.2"/>
    <row r="6497" x14ac:dyDescent="0.2"/>
    <row r="6498" x14ac:dyDescent="0.2"/>
    <row r="6499" x14ac:dyDescent="0.2"/>
    <row r="6500" x14ac:dyDescent="0.2"/>
    <row r="6501" x14ac:dyDescent="0.2"/>
    <row r="6502" x14ac:dyDescent="0.2"/>
    <row r="6503" x14ac:dyDescent="0.2"/>
    <row r="6504" x14ac:dyDescent="0.2"/>
    <row r="6505" x14ac:dyDescent="0.2"/>
    <row r="6506" x14ac:dyDescent="0.2"/>
    <row r="6507" x14ac:dyDescent="0.2"/>
    <row r="6508" x14ac:dyDescent="0.2"/>
    <row r="6509" x14ac:dyDescent="0.2"/>
    <row r="6510" x14ac:dyDescent="0.2"/>
    <row r="6511" x14ac:dyDescent="0.2"/>
    <row r="6512" x14ac:dyDescent="0.2"/>
    <row r="6513" x14ac:dyDescent="0.2"/>
    <row r="6514" x14ac:dyDescent="0.2"/>
    <row r="6515" x14ac:dyDescent="0.2"/>
    <row r="6516" x14ac:dyDescent="0.2"/>
    <row r="6517" x14ac:dyDescent="0.2"/>
    <row r="6518" x14ac:dyDescent="0.2"/>
    <row r="6519" x14ac:dyDescent="0.2"/>
    <row r="6520" x14ac:dyDescent="0.2"/>
    <row r="6521" x14ac:dyDescent="0.2"/>
    <row r="6522" x14ac:dyDescent="0.2"/>
    <row r="6523" x14ac:dyDescent="0.2"/>
    <row r="6524" x14ac:dyDescent="0.2"/>
    <row r="6525" x14ac:dyDescent="0.2"/>
    <row r="6526" x14ac:dyDescent="0.2"/>
    <row r="6527" x14ac:dyDescent="0.2"/>
    <row r="6528" x14ac:dyDescent="0.2"/>
    <row r="6529" x14ac:dyDescent="0.2"/>
    <row r="6530" x14ac:dyDescent="0.2"/>
    <row r="6531" x14ac:dyDescent="0.2"/>
    <row r="6532" x14ac:dyDescent="0.2"/>
    <row r="6533" x14ac:dyDescent="0.2"/>
    <row r="6534" x14ac:dyDescent="0.2"/>
    <row r="6535" x14ac:dyDescent="0.2"/>
    <row r="6536" x14ac:dyDescent="0.2"/>
    <row r="6537" x14ac:dyDescent="0.2"/>
    <row r="6538" x14ac:dyDescent="0.2"/>
    <row r="6539" x14ac:dyDescent="0.2"/>
    <row r="6540" x14ac:dyDescent="0.2"/>
    <row r="6541" x14ac:dyDescent="0.2"/>
    <row r="6542" x14ac:dyDescent="0.2"/>
    <row r="6543" x14ac:dyDescent="0.2"/>
    <row r="6544" x14ac:dyDescent="0.2"/>
    <row r="6545" x14ac:dyDescent="0.2"/>
    <row r="6546" x14ac:dyDescent="0.2"/>
    <row r="6547" x14ac:dyDescent="0.2"/>
    <row r="6548" x14ac:dyDescent="0.2"/>
    <row r="6549" x14ac:dyDescent="0.2"/>
    <row r="6550" x14ac:dyDescent="0.2"/>
    <row r="6551" x14ac:dyDescent="0.2"/>
    <row r="6552" x14ac:dyDescent="0.2"/>
    <row r="6553" x14ac:dyDescent="0.2"/>
    <row r="6554" x14ac:dyDescent="0.2"/>
    <row r="6555" x14ac:dyDescent="0.2"/>
    <row r="6556" x14ac:dyDescent="0.2"/>
    <row r="6557" x14ac:dyDescent="0.2"/>
    <row r="6558" x14ac:dyDescent="0.2"/>
    <row r="6559" x14ac:dyDescent="0.2"/>
    <row r="6560" x14ac:dyDescent="0.2"/>
    <row r="6561" x14ac:dyDescent="0.2"/>
    <row r="6562" x14ac:dyDescent="0.2"/>
    <row r="6563" x14ac:dyDescent="0.2"/>
    <row r="6564" x14ac:dyDescent="0.2"/>
    <row r="6565" x14ac:dyDescent="0.2"/>
    <row r="6566" x14ac:dyDescent="0.2"/>
    <row r="6567" x14ac:dyDescent="0.2"/>
    <row r="6568" x14ac:dyDescent="0.2"/>
    <row r="6569" x14ac:dyDescent="0.2"/>
    <row r="6570" x14ac:dyDescent="0.2"/>
    <row r="6571" x14ac:dyDescent="0.2"/>
    <row r="6572" x14ac:dyDescent="0.2"/>
    <row r="6573" x14ac:dyDescent="0.2"/>
    <row r="6574" x14ac:dyDescent="0.2"/>
    <row r="6575" x14ac:dyDescent="0.2"/>
    <row r="6576" x14ac:dyDescent="0.2"/>
    <row r="6577" x14ac:dyDescent="0.2"/>
    <row r="6578" x14ac:dyDescent="0.2"/>
    <row r="6579" x14ac:dyDescent="0.2"/>
    <row r="6580" x14ac:dyDescent="0.2"/>
    <row r="6581" x14ac:dyDescent="0.2"/>
    <row r="6582" x14ac:dyDescent="0.2"/>
    <row r="6583" x14ac:dyDescent="0.2"/>
    <row r="6584" x14ac:dyDescent="0.2"/>
    <row r="6585" x14ac:dyDescent="0.2"/>
    <row r="6586" x14ac:dyDescent="0.2"/>
    <row r="6587" x14ac:dyDescent="0.2"/>
    <row r="6588" x14ac:dyDescent="0.2"/>
    <row r="6589" x14ac:dyDescent="0.2"/>
    <row r="6590" x14ac:dyDescent="0.2"/>
    <row r="6591" x14ac:dyDescent="0.2"/>
    <row r="6592" x14ac:dyDescent="0.2"/>
    <row r="6593" x14ac:dyDescent="0.2"/>
    <row r="6594" x14ac:dyDescent="0.2"/>
    <row r="6595" x14ac:dyDescent="0.2"/>
    <row r="6596" x14ac:dyDescent="0.2"/>
    <row r="6597" x14ac:dyDescent="0.2"/>
    <row r="6598" x14ac:dyDescent="0.2"/>
    <row r="6599" x14ac:dyDescent="0.2"/>
    <row r="6600" x14ac:dyDescent="0.2"/>
    <row r="6601" x14ac:dyDescent="0.2"/>
    <row r="6602" x14ac:dyDescent="0.2"/>
    <row r="6603" x14ac:dyDescent="0.2"/>
    <row r="6604" x14ac:dyDescent="0.2"/>
    <row r="6605" x14ac:dyDescent="0.2"/>
    <row r="6606" x14ac:dyDescent="0.2"/>
    <row r="6607" x14ac:dyDescent="0.2"/>
    <row r="6608" x14ac:dyDescent="0.2"/>
    <row r="6609" x14ac:dyDescent="0.2"/>
    <row r="6610" x14ac:dyDescent="0.2"/>
    <row r="6611" x14ac:dyDescent="0.2"/>
    <row r="6612" x14ac:dyDescent="0.2"/>
    <row r="6613" x14ac:dyDescent="0.2"/>
    <row r="6614" x14ac:dyDescent="0.2"/>
    <row r="6615" x14ac:dyDescent="0.2"/>
    <row r="6616" x14ac:dyDescent="0.2"/>
    <row r="6617" x14ac:dyDescent="0.2"/>
    <row r="6618" x14ac:dyDescent="0.2"/>
    <row r="6619" x14ac:dyDescent="0.2"/>
    <row r="6620" x14ac:dyDescent="0.2"/>
    <row r="6621" x14ac:dyDescent="0.2"/>
    <row r="6622" x14ac:dyDescent="0.2"/>
    <row r="6623" x14ac:dyDescent="0.2"/>
    <row r="6624" x14ac:dyDescent="0.2"/>
    <row r="6625" x14ac:dyDescent="0.2"/>
    <row r="6626" x14ac:dyDescent="0.2"/>
    <row r="6627" x14ac:dyDescent="0.2"/>
    <row r="6628" x14ac:dyDescent="0.2"/>
    <row r="6629" x14ac:dyDescent="0.2"/>
    <row r="6630" x14ac:dyDescent="0.2"/>
    <row r="6631" x14ac:dyDescent="0.2"/>
    <row r="6632" x14ac:dyDescent="0.2"/>
    <row r="6633" x14ac:dyDescent="0.2"/>
    <row r="6634" x14ac:dyDescent="0.2"/>
    <row r="6635" x14ac:dyDescent="0.2"/>
    <row r="6636" x14ac:dyDescent="0.2"/>
    <row r="6637" x14ac:dyDescent="0.2"/>
    <row r="6638" x14ac:dyDescent="0.2"/>
    <row r="6639" x14ac:dyDescent="0.2"/>
    <row r="6640" x14ac:dyDescent="0.2"/>
    <row r="6641" x14ac:dyDescent="0.2"/>
    <row r="6642" x14ac:dyDescent="0.2"/>
    <row r="6643" x14ac:dyDescent="0.2"/>
    <row r="6644" x14ac:dyDescent="0.2"/>
    <row r="6645" x14ac:dyDescent="0.2"/>
    <row r="6646" x14ac:dyDescent="0.2"/>
    <row r="6647" x14ac:dyDescent="0.2"/>
    <row r="6648" x14ac:dyDescent="0.2"/>
    <row r="6649" x14ac:dyDescent="0.2"/>
    <row r="6650" x14ac:dyDescent="0.2"/>
    <row r="6651" x14ac:dyDescent="0.2"/>
    <row r="6652" x14ac:dyDescent="0.2"/>
    <row r="6653" x14ac:dyDescent="0.2"/>
    <row r="6654" x14ac:dyDescent="0.2"/>
    <row r="6655" x14ac:dyDescent="0.2"/>
    <row r="6656" x14ac:dyDescent="0.2"/>
    <row r="6657" x14ac:dyDescent="0.2"/>
    <row r="6658" x14ac:dyDescent="0.2"/>
    <row r="6659" x14ac:dyDescent="0.2"/>
    <row r="6660" x14ac:dyDescent="0.2"/>
    <row r="6661" x14ac:dyDescent="0.2"/>
    <row r="6662" x14ac:dyDescent="0.2"/>
    <row r="6663" x14ac:dyDescent="0.2"/>
    <row r="6664" x14ac:dyDescent="0.2"/>
    <row r="6665" x14ac:dyDescent="0.2"/>
    <row r="6666" x14ac:dyDescent="0.2"/>
    <row r="6667" x14ac:dyDescent="0.2"/>
    <row r="6668" x14ac:dyDescent="0.2"/>
    <row r="6669" x14ac:dyDescent="0.2"/>
    <row r="6670" x14ac:dyDescent="0.2"/>
    <row r="6671" x14ac:dyDescent="0.2"/>
    <row r="6672" x14ac:dyDescent="0.2"/>
    <row r="6673" x14ac:dyDescent="0.2"/>
    <row r="6674" x14ac:dyDescent="0.2"/>
    <row r="6675" x14ac:dyDescent="0.2"/>
    <row r="6676" x14ac:dyDescent="0.2"/>
    <row r="6677" x14ac:dyDescent="0.2"/>
    <row r="6678" x14ac:dyDescent="0.2"/>
    <row r="6679" x14ac:dyDescent="0.2"/>
    <row r="6680" x14ac:dyDescent="0.2"/>
    <row r="6681" x14ac:dyDescent="0.2"/>
    <row r="6682" x14ac:dyDescent="0.2"/>
    <row r="6683" x14ac:dyDescent="0.2"/>
    <row r="6684" x14ac:dyDescent="0.2"/>
    <row r="6685" x14ac:dyDescent="0.2"/>
    <row r="6686" x14ac:dyDescent="0.2"/>
    <row r="6687" x14ac:dyDescent="0.2"/>
    <row r="6688" x14ac:dyDescent="0.2"/>
    <row r="6689" x14ac:dyDescent="0.2"/>
    <row r="6690" x14ac:dyDescent="0.2"/>
    <row r="6691" x14ac:dyDescent="0.2"/>
    <row r="6692" x14ac:dyDescent="0.2"/>
    <row r="6693" x14ac:dyDescent="0.2"/>
    <row r="6694" x14ac:dyDescent="0.2"/>
    <row r="6695" x14ac:dyDescent="0.2"/>
    <row r="6696" x14ac:dyDescent="0.2"/>
    <row r="6697" x14ac:dyDescent="0.2"/>
    <row r="6698" x14ac:dyDescent="0.2"/>
    <row r="6699" x14ac:dyDescent="0.2"/>
    <row r="6700" x14ac:dyDescent="0.2"/>
    <row r="6701" x14ac:dyDescent="0.2"/>
    <row r="6702" x14ac:dyDescent="0.2"/>
    <row r="6703" x14ac:dyDescent="0.2"/>
    <row r="6704" x14ac:dyDescent="0.2"/>
    <row r="6705" x14ac:dyDescent="0.2"/>
    <row r="6706" x14ac:dyDescent="0.2"/>
    <row r="6707" x14ac:dyDescent="0.2"/>
    <row r="6708" x14ac:dyDescent="0.2"/>
    <row r="6709" x14ac:dyDescent="0.2"/>
    <row r="6710" x14ac:dyDescent="0.2"/>
    <row r="6711" x14ac:dyDescent="0.2"/>
    <row r="6712" x14ac:dyDescent="0.2"/>
    <row r="6713" x14ac:dyDescent="0.2"/>
    <row r="6714" x14ac:dyDescent="0.2"/>
    <row r="6715" x14ac:dyDescent="0.2"/>
    <row r="6716" x14ac:dyDescent="0.2"/>
    <row r="6717" x14ac:dyDescent="0.2"/>
    <row r="6718" x14ac:dyDescent="0.2"/>
    <row r="6719" x14ac:dyDescent="0.2"/>
    <row r="6720" x14ac:dyDescent="0.2"/>
    <row r="6721" x14ac:dyDescent="0.2"/>
    <row r="6722" x14ac:dyDescent="0.2"/>
    <row r="6723" x14ac:dyDescent="0.2"/>
    <row r="6724" x14ac:dyDescent="0.2"/>
    <row r="6725" x14ac:dyDescent="0.2"/>
    <row r="6726" x14ac:dyDescent="0.2"/>
    <row r="6727" x14ac:dyDescent="0.2"/>
    <row r="6728" x14ac:dyDescent="0.2"/>
    <row r="6729" x14ac:dyDescent="0.2"/>
    <row r="6730" x14ac:dyDescent="0.2"/>
    <row r="6731" x14ac:dyDescent="0.2"/>
    <row r="6732" x14ac:dyDescent="0.2"/>
    <row r="6733" x14ac:dyDescent="0.2"/>
    <row r="6734" x14ac:dyDescent="0.2"/>
    <row r="6735" x14ac:dyDescent="0.2"/>
    <row r="6736" x14ac:dyDescent="0.2"/>
    <row r="6737" x14ac:dyDescent="0.2"/>
    <row r="6738" x14ac:dyDescent="0.2"/>
    <row r="6739" x14ac:dyDescent="0.2"/>
    <row r="6740" x14ac:dyDescent="0.2"/>
    <row r="6741" x14ac:dyDescent="0.2"/>
    <row r="6742" x14ac:dyDescent="0.2"/>
    <row r="6743" x14ac:dyDescent="0.2"/>
    <row r="6744" x14ac:dyDescent="0.2"/>
    <row r="6745" x14ac:dyDescent="0.2"/>
    <row r="6746" x14ac:dyDescent="0.2"/>
    <row r="6747" x14ac:dyDescent="0.2"/>
    <row r="6748" x14ac:dyDescent="0.2"/>
    <row r="6749" x14ac:dyDescent="0.2"/>
    <row r="6750" x14ac:dyDescent="0.2"/>
    <row r="6751" x14ac:dyDescent="0.2"/>
    <row r="6752" x14ac:dyDescent="0.2"/>
    <row r="6753" x14ac:dyDescent="0.2"/>
    <row r="6754" x14ac:dyDescent="0.2"/>
    <row r="6755" x14ac:dyDescent="0.2"/>
    <row r="6756" x14ac:dyDescent="0.2"/>
    <row r="6757" x14ac:dyDescent="0.2"/>
    <row r="6758" x14ac:dyDescent="0.2"/>
    <row r="6759" x14ac:dyDescent="0.2"/>
    <row r="6760" x14ac:dyDescent="0.2"/>
    <row r="6761" x14ac:dyDescent="0.2"/>
    <row r="6762" x14ac:dyDescent="0.2"/>
    <row r="6763" x14ac:dyDescent="0.2"/>
    <row r="6764" x14ac:dyDescent="0.2"/>
    <row r="6765" x14ac:dyDescent="0.2"/>
    <row r="6766" x14ac:dyDescent="0.2"/>
    <row r="6767" x14ac:dyDescent="0.2"/>
    <row r="6768" x14ac:dyDescent="0.2"/>
    <row r="6769" x14ac:dyDescent="0.2"/>
    <row r="6770" x14ac:dyDescent="0.2"/>
    <row r="6771" x14ac:dyDescent="0.2"/>
    <row r="6772" x14ac:dyDescent="0.2"/>
    <row r="6773" x14ac:dyDescent="0.2"/>
    <row r="6774" x14ac:dyDescent="0.2"/>
    <row r="6775" x14ac:dyDescent="0.2"/>
    <row r="6776" x14ac:dyDescent="0.2"/>
    <row r="6777" x14ac:dyDescent="0.2"/>
    <row r="6778" x14ac:dyDescent="0.2"/>
    <row r="6779" x14ac:dyDescent="0.2"/>
    <row r="6780" x14ac:dyDescent="0.2"/>
    <row r="6781" x14ac:dyDescent="0.2"/>
    <row r="6782" x14ac:dyDescent="0.2"/>
    <row r="6783" x14ac:dyDescent="0.2"/>
    <row r="6784" x14ac:dyDescent="0.2"/>
    <row r="6785" x14ac:dyDescent="0.2"/>
    <row r="6786" x14ac:dyDescent="0.2"/>
    <row r="6787" x14ac:dyDescent="0.2"/>
    <row r="6788" x14ac:dyDescent="0.2"/>
    <row r="6789" x14ac:dyDescent="0.2"/>
    <row r="6790" x14ac:dyDescent="0.2"/>
    <row r="6791" x14ac:dyDescent="0.2"/>
    <row r="6792" x14ac:dyDescent="0.2"/>
    <row r="6793" x14ac:dyDescent="0.2"/>
    <row r="6794" x14ac:dyDescent="0.2"/>
    <row r="6795" x14ac:dyDescent="0.2"/>
    <row r="6796" x14ac:dyDescent="0.2"/>
    <row r="6797" x14ac:dyDescent="0.2"/>
    <row r="6798" x14ac:dyDescent="0.2"/>
    <row r="6799" x14ac:dyDescent="0.2"/>
    <row r="6800" x14ac:dyDescent="0.2"/>
    <row r="6801" x14ac:dyDescent="0.2"/>
    <row r="6802" x14ac:dyDescent="0.2"/>
    <row r="6803" x14ac:dyDescent="0.2"/>
    <row r="6804" x14ac:dyDescent="0.2"/>
    <row r="6805" x14ac:dyDescent="0.2"/>
    <row r="6806" x14ac:dyDescent="0.2"/>
    <row r="6807" x14ac:dyDescent="0.2"/>
    <row r="6808" x14ac:dyDescent="0.2"/>
    <row r="6809" x14ac:dyDescent="0.2"/>
    <row r="6810" x14ac:dyDescent="0.2"/>
    <row r="6811" x14ac:dyDescent="0.2"/>
    <row r="6812" x14ac:dyDescent="0.2"/>
    <row r="6813" x14ac:dyDescent="0.2"/>
    <row r="6814" x14ac:dyDescent="0.2"/>
    <row r="6815" x14ac:dyDescent="0.2"/>
    <row r="6816" x14ac:dyDescent="0.2"/>
    <row r="6817" x14ac:dyDescent="0.2"/>
    <row r="6818" x14ac:dyDescent="0.2"/>
    <row r="6819" x14ac:dyDescent="0.2"/>
    <row r="6820" x14ac:dyDescent="0.2"/>
    <row r="6821" x14ac:dyDescent="0.2"/>
    <row r="6822" x14ac:dyDescent="0.2"/>
    <row r="6823" x14ac:dyDescent="0.2"/>
    <row r="6824" x14ac:dyDescent="0.2"/>
    <row r="6825" x14ac:dyDescent="0.2"/>
    <row r="6826" x14ac:dyDescent="0.2"/>
    <row r="6827" x14ac:dyDescent="0.2"/>
    <row r="6828" x14ac:dyDescent="0.2"/>
    <row r="6829" x14ac:dyDescent="0.2"/>
    <row r="6830" x14ac:dyDescent="0.2"/>
    <row r="6831" x14ac:dyDescent="0.2"/>
    <row r="6832" x14ac:dyDescent="0.2"/>
    <row r="6833" x14ac:dyDescent="0.2"/>
    <row r="6834" x14ac:dyDescent="0.2"/>
    <row r="6835" x14ac:dyDescent="0.2"/>
    <row r="6836" x14ac:dyDescent="0.2"/>
    <row r="6837" x14ac:dyDescent="0.2"/>
    <row r="6838" x14ac:dyDescent="0.2"/>
    <row r="6839" x14ac:dyDescent="0.2"/>
    <row r="6840" x14ac:dyDescent="0.2"/>
    <row r="6841" x14ac:dyDescent="0.2"/>
    <row r="6842" x14ac:dyDescent="0.2"/>
    <row r="6843" x14ac:dyDescent="0.2"/>
    <row r="6844" x14ac:dyDescent="0.2"/>
    <row r="6845" x14ac:dyDescent="0.2"/>
    <row r="6846" x14ac:dyDescent="0.2"/>
    <row r="6847" x14ac:dyDescent="0.2"/>
    <row r="6848" x14ac:dyDescent="0.2"/>
    <row r="6849" x14ac:dyDescent="0.2"/>
    <row r="6850" x14ac:dyDescent="0.2"/>
    <row r="6851" x14ac:dyDescent="0.2"/>
    <row r="6852" x14ac:dyDescent="0.2"/>
    <row r="6853" x14ac:dyDescent="0.2"/>
    <row r="6854" x14ac:dyDescent="0.2"/>
    <row r="6855" x14ac:dyDescent="0.2"/>
    <row r="6856" x14ac:dyDescent="0.2"/>
    <row r="6857" x14ac:dyDescent="0.2"/>
    <row r="6858" x14ac:dyDescent="0.2"/>
    <row r="6859" x14ac:dyDescent="0.2"/>
    <row r="6860" x14ac:dyDescent="0.2"/>
    <row r="6861" x14ac:dyDescent="0.2"/>
    <row r="6862" x14ac:dyDescent="0.2"/>
    <row r="6863" x14ac:dyDescent="0.2"/>
    <row r="6864" x14ac:dyDescent="0.2"/>
    <row r="6865" x14ac:dyDescent="0.2"/>
    <row r="6866" x14ac:dyDescent="0.2"/>
    <row r="6867" x14ac:dyDescent="0.2"/>
    <row r="6868" x14ac:dyDescent="0.2"/>
    <row r="6869" x14ac:dyDescent="0.2"/>
    <row r="6870" x14ac:dyDescent="0.2"/>
    <row r="6871" x14ac:dyDescent="0.2"/>
    <row r="6872" x14ac:dyDescent="0.2"/>
    <row r="6873" x14ac:dyDescent="0.2"/>
    <row r="6874" x14ac:dyDescent="0.2"/>
    <row r="6875" x14ac:dyDescent="0.2"/>
    <row r="6876" x14ac:dyDescent="0.2"/>
    <row r="6877" x14ac:dyDescent="0.2"/>
    <row r="6878" x14ac:dyDescent="0.2"/>
    <row r="6879" x14ac:dyDescent="0.2"/>
    <row r="6880" x14ac:dyDescent="0.2"/>
    <row r="6881" x14ac:dyDescent="0.2"/>
    <row r="6882" x14ac:dyDescent="0.2"/>
    <row r="6883" x14ac:dyDescent="0.2"/>
    <row r="6884" x14ac:dyDescent="0.2"/>
    <row r="6885" x14ac:dyDescent="0.2"/>
    <row r="6886" x14ac:dyDescent="0.2"/>
    <row r="6887" x14ac:dyDescent="0.2"/>
    <row r="6888" x14ac:dyDescent="0.2"/>
    <row r="6889" x14ac:dyDescent="0.2"/>
    <row r="6890" x14ac:dyDescent="0.2"/>
    <row r="6891" x14ac:dyDescent="0.2"/>
    <row r="6892" x14ac:dyDescent="0.2"/>
    <row r="6893" x14ac:dyDescent="0.2"/>
    <row r="6894" x14ac:dyDescent="0.2"/>
    <row r="6895" x14ac:dyDescent="0.2"/>
    <row r="6896" x14ac:dyDescent="0.2"/>
    <row r="6897" x14ac:dyDescent="0.2"/>
    <row r="6898" x14ac:dyDescent="0.2"/>
    <row r="6899" x14ac:dyDescent="0.2"/>
    <row r="6900" x14ac:dyDescent="0.2"/>
    <row r="6901" x14ac:dyDescent="0.2"/>
    <row r="6902" x14ac:dyDescent="0.2"/>
    <row r="6903" x14ac:dyDescent="0.2"/>
    <row r="6904" x14ac:dyDescent="0.2"/>
    <row r="6905" x14ac:dyDescent="0.2"/>
    <row r="6906" x14ac:dyDescent="0.2"/>
    <row r="6907" x14ac:dyDescent="0.2"/>
    <row r="6908" x14ac:dyDescent="0.2"/>
    <row r="6909" x14ac:dyDescent="0.2"/>
    <row r="6910" x14ac:dyDescent="0.2"/>
    <row r="6911" x14ac:dyDescent="0.2"/>
    <row r="6912" x14ac:dyDescent="0.2"/>
    <row r="6913" x14ac:dyDescent="0.2"/>
    <row r="6914" x14ac:dyDescent="0.2"/>
    <row r="6915" x14ac:dyDescent="0.2"/>
    <row r="6916" x14ac:dyDescent="0.2"/>
    <row r="6917" x14ac:dyDescent="0.2"/>
    <row r="6918" x14ac:dyDescent="0.2"/>
    <row r="6919" x14ac:dyDescent="0.2"/>
    <row r="6920" x14ac:dyDescent="0.2"/>
    <row r="6921" x14ac:dyDescent="0.2"/>
    <row r="6922" x14ac:dyDescent="0.2"/>
    <row r="6923" x14ac:dyDescent="0.2"/>
    <row r="6924" x14ac:dyDescent="0.2"/>
    <row r="6925" x14ac:dyDescent="0.2"/>
    <row r="6926" x14ac:dyDescent="0.2"/>
    <row r="6927" x14ac:dyDescent="0.2"/>
    <row r="6928" x14ac:dyDescent="0.2"/>
    <row r="6929" x14ac:dyDescent="0.2"/>
    <row r="6930" x14ac:dyDescent="0.2"/>
    <row r="6931" x14ac:dyDescent="0.2"/>
    <row r="6932" x14ac:dyDescent="0.2"/>
    <row r="6933" x14ac:dyDescent="0.2"/>
    <row r="6934" x14ac:dyDescent="0.2"/>
    <row r="6935" x14ac:dyDescent="0.2"/>
    <row r="6936" x14ac:dyDescent="0.2"/>
    <row r="6937" x14ac:dyDescent="0.2"/>
    <row r="6938" x14ac:dyDescent="0.2"/>
    <row r="6939" x14ac:dyDescent="0.2"/>
    <row r="6940" x14ac:dyDescent="0.2"/>
    <row r="6941" x14ac:dyDescent="0.2"/>
    <row r="6942" x14ac:dyDescent="0.2"/>
    <row r="6943" x14ac:dyDescent="0.2"/>
    <row r="6944" x14ac:dyDescent="0.2"/>
    <row r="6945" x14ac:dyDescent="0.2"/>
    <row r="6946" x14ac:dyDescent="0.2"/>
    <row r="6947" x14ac:dyDescent="0.2"/>
    <row r="6948" x14ac:dyDescent="0.2"/>
    <row r="6949" x14ac:dyDescent="0.2"/>
    <row r="6950" x14ac:dyDescent="0.2"/>
    <row r="6951" x14ac:dyDescent="0.2"/>
    <row r="6952" x14ac:dyDescent="0.2"/>
    <row r="6953" x14ac:dyDescent="0.2"/>
    <row r="6954" x14ac:dyDescent="0.2"/>
    <row r="6955" x14ac:dyDescent="0.2"/>
    <row r="6956" x14ac:dyDescent="0.2"/>
    <row r="6957" x14ac:dyDescent="0.2"/>
    <row r="6958" x14ac:dyDescent="0.2"/>
    <row r="6959" x14ac:dyDescent="0.2"/>
    <row r="6960" x14ac:dyDescent="0.2"/>
    <row r="6961" x14ac:dyDescent="0.2"/>
    <row r="6962" x14ac:dyDescent="0.2"/>
    <row r="6963" x14ac:dyDescent="0.2"/>
    <row r="6964" x14ac:dyDescent="0.2"/>
    <row r="6965" x14ac:dyDescent="0.2"/>
    <row r="6966" x14ac:dyDescent="0.2"/>
    <row r="6967" x14ac:dyDescent="0.2"/>
    <row r="6968" x14ac:dyDescent="0.2"/>
    <row r="6969" x14ac:dyDescent="0.2"/>
    <row r="6970" x14ac:dyDescent="0.2"/>
    <row r="6971" x14ac:dyDescent="0.2"/>
    <row r="6972" x14ac:dyDescent="0.2"/>
    <row r="6973" x14ac:dyDescent="0.2"/>
    <row r="6974" x14ac:dyDescent="0.2"/>
    <row r="6975" x14ac:dyDescent="0.2"/>
    <row r="6976" x14ac:dyDescent="0.2"/>
    <row r="6977" x14ac:dyDescent="0.2"/>
    <row r="6978" x14ac:dyDescent="0.2"/>
    <row r="6979" x14ac:dyDescent="0.2"/>
    <row r="6980" x14ac:dyDescent="0.2"/>
    <row r="6981" x14ac:dyDescent="0.2"/>
    <row r="6982" x14ac:dyDescent="0.2"/>
    <row r="6983" x14ac:dyDescent="0.2"/>
    <row r="6984" x14ac:dyDescent="0.2"/>
    <row r="6985" x14ac:dyDescent="0.2"/>
    <row r="6986" x14ac:dyDescent="0.2"/>
    <row r="6987" x14ac:dyDescent="0.2"/>
    <row r="6988" x14ac:dyDescent="0.2"/>
    <row r="6989" x14ac:dyDescent="0.2"/>
    <row r="6990" x14ac:dyDescent="0.2"/>
    <row r="6991" x14ac:dyDescent="0.2"/>
    <row r="6992" x14ac:dyDescent="0.2"/>
    <row r="6993" x14ac:dyDescent="0.2"/>
    <row r="6994" x14ac:dyDescent="0.2"/>
    <row r="6995" x14ac:dyDescent="0.2"/>
    <row r="6996" x14ac:dyDescent="0.2"/>
    <row r="6997" x14ac:dyDescent="0.2"/>
    <row r="6998" x14ac:dyDescent="0.2"/>
    <row r="6999" x14ac:dyDescent="0.2"/>
    <row r="7000" x14ac:dyDescent="0.2"/>
    <row r="7001" x14ac:dyDescent="0.2"/>
    <row r="7002" x14ac:dyDescent="0.2"/>
    <row r="7003" x14ac:dyDescent="0.2"/>
    <row r="7004" x14ac:dyDescent="0.2"/>
    <row r="7005" x14ac:dyDescent="0.2"/>
    <row r="7006" x14ac:dyDescent="0.2"/>
    <row r="7007" x14ac:dyDescent="0.2"/>
    <row r="7008" x14ac:dyDescent="0.2"/>
    <row r="7009" x14ac:dyDescent="0.2"/>
    <row r="7010" x14ac:dyDescent="0.2"/>
    <row r="7011" x14ac:dyDescent="0.2"/>
    <row r="7012" x14ac:dyDescent="0.2"/>
    <row r="7013" x14ac:dyDescent="0.2"/>
    <row r="7014" x14ac:dyDescent="0.2"/>
    <row r="7015" x14ac:dyDescent="0.2"/>
    <row r="7016" x14ac:dyDescent="0.2"/>
    <row r="7017" x14ac:dyDescent="0.2"/>
    <row r="7018" x14ac:dyDescent="0.2"/>
    <row r="7019" x14ac:dyDescent="0.2"/>
    <row r="7020" x14ac:dyDescent="0.2"/>
    <row r="7021" x14ac:dyDescent="0.2"/>
    <row r="7022" x14ac:dyDescent="0.2"/>
    <row r="7023" x14ac:dyDescent="0.2"/>
    <row r="7024" x14ac:dyDescent="0.2"/>
    <row r="7025" x14ac:dyDescent="0.2"/>
    <row r="7026" x14ac:dyDescent="0.2"/>
    <row r="7027" x14ac:dyDescent="0.2"/>
    <row r="7028" x14ac:dyDescent="0.2"/>
    <row r="7029" x14ac:dyDescent="0.2"/>
    <row r="7030" x14ac:dyDescent="0.2"/>
    <row r="7031" x14ac:dyDescent="0.2"/>
    <row r="7032" x14ac:dyDescent="0.2"/>
    <row r="7033" x14ac:dyDescent="0.2"/>
    <row r="7034" x14ac:dyDescent="0.2"/>
    <row r="7035" x14ac:dyDescent="0.2"/>
    <row r="7036" x14ac:dyDescent="0.2"/>
    <row r="7037" x14ac:dyDescent="0.2"/>
    <row r="7038" x14ac:dyDescent="0.2"/>
    <row r="7039" x14ac:dyDescent="0.2"/>
    <row r="7040" x14ac:dyDescent="0.2"/>
    <row r="7041" x14ac:dyDescent="0.2"/>
    <row r="7042" x14ac:dyDescent="0.2"/>
    <row r="7043" x14ac:dyDescent="0.2"/>
    <row r="7044" x14ac:dyDescent="0.2"/>
    <row r="7045" x14ac:dyDescent="0.2"/>
    <row r="7046" x14ac:dyDescent="0.2"/>
    <row r="7047" x14ac:dyDescent="0.2"/>
    <row r="7048" x14ac:dyDescent="0.2"/>
    <row r="7049" x14ac:dyDescent="0.2"/>
    <row r="7050" x14ac:dyDescent="0.2"/>
    <row r="7051" x14ac:dyDescent="0.2"/>
    <row r="7052" x14ac:dyDescent="0.2"/>
    <row r="7053" x14ac:dyDescent="0.2"/>
    <row r="7054" x14ac:dyDescent="0.2"/>
    <row r="7055" x14ac:dyDescent="0.2"/>
    <row r="7056" x14ac:dyDescent="0.2"/>
    <row r="7057" x14ac:dyDescent="0.2"/>
    <row r="7058" x14ac:dyDescent="0.2"/>
    <row r="7059" x14ac:dyDescent="0.2"/>
    <row r="7060" x14ac:dyDescent="0.2"/>
    <row r="7061" x14ac:dyDescent="0.2"/>
    <row r="7062" x14ac:dyDescent="0.2"/>
    <row r="7063" x14ac:dyDescent="0.2"/>
    <row r="7064" x14ac:dyDescent="0.2"/>
    <row r="7065" x14ac:dyDescent="0.2"/>
    <row r="7066" x14ac:dyDescent="0.2"/>
    <row r="7067" x14ac:dyDescent="0.2"/>
    <row r="7068" x14ac:dyDescent="0.2"/>
    <row r="7069" x14ac:dyDescent="0.2"/>
    <row r="7070" x14ac:dyDescent="0.2"/>
    <row r="7071" x14ac:dyDescent="0.2"/>
    <row r="7072" x14ac:dyDescent="0.2"/>
    <row r="7073" x14ac:dyDescent="0.2"/>
    <row r="7074" x14ac:dyDescent="0.2"/>
    <row r="7075" x14ac:dyDescent="0.2"/>
    <row r="7076" x14ac:dyDescent="0.2"/>
    <row r="7077" x14ac:dyDescent="0.2"/>
    <row r="7078" x14ac:dyDescent="0.2"/>
    <row r="7079" x14ac:dyDescent="0.2"/>
    <row r="7080" x14ac:dyDescent="0.2"/>
    <row r="7081" x14ac:dyDescent="0.2"/>
    <row r="7082" x14ac:dyDescent="0.2"/>
    <row r="7083" x14ac:dyDescent="0.2"/>
    <row r="7084" x14ac:dyDescent="0.2"/>
    <row r="7085" x14ac:dyDescent="0.2"/>
    <row r="7086" x14ac:dyDescent="0.2"/>
    <row r="7087" x14ac:dyDescent="0.2"/>
    <row r="7088" x14ac:dyDescent="0.2"/>
    <row r="7089" x14ac:dyDescent="0.2"/>
    <row r="7090" x14ac:dyDescent="0.2"/>
    <row r="7091" x14ac:dyDescent="0.2"/>
    <row r="7092" x14ac:dyDescent="0.2"/>
    <row r="7093" x14ac:dyDescent="0.2"/>
    <row r="7094" x14ac:dyDescent="0.2"/>
    <row r="7095" x14ac:dyDescent="0.2"/>
    <row r="7096" x14ac:dyDescent="0.2"/>
    <row r="7097" x14ac:dyDescent="0.2"/>
    <row r="7098" x14ac:dyDescent="0.2"/>
    <row r="7099" x14ac:dyDescent="0.2"/>
    <row r="7100" x14ac:dyDescent="0.2"/>
    <row r="7101" x14ac:dyDescent="0.2"/>
    <row r="7102" x14ac:dyDescent="0.2"/>
    <row r="7103" x14ac:dyDescent="0.2"/>
    <row r="7104" x14ac:dyDescent="0.2"/>
    <row r="7105" x14ac:dyDescent="0.2"/>
    <row r="7106" x14ac:dyDescent="0.2"/>
    <row r="7107" x14ac:dyDescent="0.2"/>
    <row r="7108" x14ac:dyDescent="0.2"/>
    <row r="7109" x14ac:dyDescent="0.2"/>
    <row r="7110" x14ac:dyDescent="0.2"/>
    <row r="7111" x14ac:dyDescent="0.2"/>
    <row r="7112" x14ac:dyDescent="0.2"/>
    <row r="7113" x14ac:dyDescent="0.2"/>
    <row r="7114" x14ac:dyDescent="0.2"/>
    <row r="7115" x14ac:dyDescent="0.2"/>
    <row r="7116" x14ac:dyDescent="0.2"/>
    <row r="7117" x14ac:dyDescent="0.2"/>
    <row r="7118" x14ac:dyDescent="0.2"/>
    <row r="7119" x14ac:dyDescent="0.2"/>
    <row r="7120" x14ac:dyDescent="0.2"/>
    <row r="7121" x14ac:dyDescent="0.2"/>
    <row r="7122" x14ac:dyDescent="0.2"/>
    <row r="7123" x14ac:dyDescent="0.2"/>
    <row r="7124" x14ac:dyDescent="0.2"/>
    <row r="7125" x14ac:dyDescent="0.2"/>
    <row r="7126" x14ac:dyDescent="0.2"/>
    <row r="7127" x14ac:dyDescent="0.2"/>
    <row r="7128" x14ac:dyDescent="0.2"/>
    <row r="7129" x14ac:dyDescent="0.2"/>
    <row r="7130" x14ac:dyDescent="0.2"/>
    <row r="7131" x14ac:dyDescent="0.2"/>
    <row r="7132" x14ac:dyDescent="0.2"/>
    <row r="7133" x14ac:dyDescent="0.2"/>
    <row r="7134" x14ac:dyDescent="0.2"/>
    <row r="7135" x14ac:dyDescent="0.2"/>
    <row r="7136" x14ac:dyDescent="0.2"/>
    <row r="7137" x14ac:dyDescent="0.2"/>
    <row r="7138" x14ac:dyDescent="0.2"/>
    <row r="7139" x14ac:dyDescent="0.2"/>
    <row r="7140" x14ac:dyDescent="0.2"/>
    <row r="7141" x14ac:dyDescent="0.2"/>
    <row r="7142" x14ac:dyDescent="0.2"/>
    <row r="7143" x14ac:dyDescent="0.2"/>
    <row r="7144" x14ac:dyDescent="0.2"/>
    <row r="7145" x14ac:dyDescent="0.2"/>
    <row r="7146" x14ac:dyDescent="0.2"/>
    <row r="7147" x14ac:dyDescent="0.2"/>
    <row r="7148" x14ac:dyDescent="0.2"/>
    <row r="7149" x14ac:dyDescent="0.2"/>
    <row r="7150" x14ac:dyDescent="0.2"/>
    <row r="7151" x14ac:dyDescent="0.2"/>
    <row r="7152" x14ac:dyDescent="0.2"/>
    <row r="7153" x14ac:dyDescent="0.2"/>
    <row r="7154" x14ac:dyDescent="0.2"/>
    <row r="7155" x14ac:dyDescent="0.2"/>
    <row r="7156" x14ac:dyDescent="0.2"/>
    <row r="7157" x14ac:dyDescent="0.2"/>
    <row r="7158" x14ac:dyDescent="0.2"/>
    <row r="7159" x14ac:dyDescent="0.2"/>
    <row r="7160" x14ac:dyDescent="0.2"/>
    <row r="7161" x14ac:dyDescent="0.2"/>
    <row r="7162" x14ac:dyDescent="0.2"/>
    <row r="7163" x14ac:dyDescent="0.2"/>
    <row r="7164" x14ac:dyDescent="0.2"/>
    <row r="7165" x14ac:dyDescent="0.2"/>
    <row r="7166" x14ac:dyDescent="0.2"/>
    <row r="7167" x14ac:dyDescent="0.2"/>
    <row r="7168" x14ac:dyDescent="0.2"/>
    <row r="7169" x14ac:dyDescent="0.2"/>
    <row r="7170" x14ac:dyDescent="0.2"/>
    <row r="7171" x14ac:dyDescent="0.2"/>
    <row r="7172" x14ac:dyDescent="0.2"/>
    <row r="7173" x14ac:dyDescent="0.2"/>
    <row r="7174" x14ac:dyDescent="0.2"/>
    <row r="7175" x14ac:dyDescent="0.2"/>
    <row r="7176" x14ac:dyDescent="0.2"/>
    <row r="7177" x14ac:dyDescent="0.2"/>
    <row r="7178" x14ac:dyDescent="0.2"/>
    <row r="7179" x14ac:dyDescent="0.2"/>
    <row r="7180" x14ac:dyDescent="0.2"/>
    <row r="7181" x14ac:dyDescent="0.2"/>
    <row r="7182" x14ac:dyDescent="0.2"/>
    <row r="7183" x14ac:dyDescent="0.2"/>
    <row r="7184" x14ac:dyDescent="0.2"/>
    <row r="7185" x14ac:dyDescent="0.2"/>
    <row r="7186" x14ac:dyDescent="0.2"/>
    <row r="7187" x14ac:dyDescent="0.2"/>
    <row r="7188" x14ac:dyDescent="0.2"/>
    <row r="7189" x14ac:dyDescent="0.2"/>
    <row r="7190" x14ac:dyDescent="0.2"/>
    <row r="7191" x14ac:dyDescent="0.2"/>
    <row r="7192" x14ac:dyDescent="0.2"/>
    <row r="7193" x14ac:dyDescent="0.2"/>
    <row r="7194" x14ac:dyDescent="0.2"/>
    <row r="7195" x14ac:dyDescent="0.2"/>
    <row r="7196" x14ac:dyDescent="0.2"/>
    <row r="7197" x14ac:dyDescent="0.2"/>
    <row r="7198" x14ac:dyDescent="0.2"/>
    <row r="7199" x14ac:dyDescent="0.2"/>
    <row r="7200" x14ac:dyDescent="0.2"/>
    <row r="7201" x14ac:dyDescent="0.2"/>
    <row r="7202" x14ac:dyDescent="0.2"/>
    <row r="7203" x14ac:dyDescent="0.2"/>
    <row r="7204" x14ac:dyDescent="0.2"/>
    <row r="7205" x14ac:dyDescent="0.2"/>
    <row r="7206" x14ac:dyDescent="0.2"/>
    <row r="7207" x14ac:dyDescent="0.2"/>
    <row r="7208" x14ac:dyDescent="0.2"/>
    <row r="7209" x14ac:dyDescent="0.2"/>
    <row r="7210" x14ac:dyDescent="0.2"/>
    <row r="7211" x14ac:dyDescent="0.2"/>
    <row r="7212" x14ac:dyDescent="0.2"/>
    <row r="7213" x14ac:dyDescent="0.2"/>
    <row r="7214" x14ac:dyDescent="0.2"/>
    <row r="7215" x14ac:dyDescent="0.2"/>
    <row r="7216" x14ac:dyDescent="0.2"/>
    <row r="7217" x14ac:dyDescent="0.2"/>
    <row r="7218" x14ac:dyDescent="0.2"/>
    <row r="7219" x14ac:dyDescent="0.2"/>
    <row r="7220" x14ac:dyDescent="0.2"/>
    <row r="7221" x14ac:dyDescent="0.2"/>
    <row r="7222" x14ac:dyDescent="0.2"/>
    <row r="7223" x14ac:dyDescent="0.2"/>
    <row r="7224" x14ac:dyDescent="0.2"/>
    <row r="7225" x14ac:dyDescent="0.2"/>
    <row r="7226" x14ac:dyDescent="0.2"/>
    <row r="7227" x14ac:dyDescent="0.2"/>
    <row r="7228" x14ac:dyDescent="0.2"/>
    <row r="7229" x14ac:dyDescent="0.2"/>
    <row r="7230" x14ac:dyDescent="0.2"/>
    <row r="7231" x14ac:dyDescent="0.2"/>
    <row r="7232" x14ac:dyDescent="0.2"/>
    <row r="7233" x14ac:dyDescent="0.2"/>
    <row r="7234" x14ac:dyDescent="0.2"/>
    <row r="7235" x14ac:dyDescent="0.2"/>
    <row r="7236" x14ac:dyDescent="0.2"/>
    <row r="7237" x14ac:dyDescent="0.2"/>
    <row r="7238" x14ac:dyDescent="0.2"/>
    <row r="7239" x14ac:dyDescent="0.2"/>
    <row r="7240" x14ac:dyDescent="0.2"/>
    <row r="7241" x14ac:dyDescent="0.2"/>
    <row r="7242" x14ac:dyDescent="0.2"/>
    <row r="7243" x14ac:dyDescent="0.2"/>
    <row r="7244" x14ac:dyDescent="0.2"/>
    <row r="7245" x14ac:dyDescent="0.2"/>
    <row r="7246" x14ac:dyDescent="0.2"/>
    <row r="7247" x14ac:dyDescent="0.2"/>
    <row r="7248" x14ac:dyDescent="0.2"/>
    <row r="7249" x14ac:dyDescent="0.2"/>
    <row r="7250" x14ac:dyDescent="0.2"/>
    <row r="7251" x14ac:dyDescent="0.2"/>
    <row r="7252" x14ac:dyDescent="0.2"/>
    <row r="7253" x14ac:dyDescent="0.2"/>
    <row r="7254" x14ac:dyDescent="0.2"/>
    <row r="7255" x14ac:dyDescent="0.2"/>
    <row r="7256" x14ac:dyDescent="0.2"/>
    <row r="7257" x14ac:dyDescent="0.2"/>
    <row r="7258" x14ac:dyDescent="0.2"/>
    <row r="7259" x14ac:dyDescent="0.2"/>
    <row r="7260" x14ac:dyDescent="0.2"/>
    <row r="7261" x14ac:dyDescent="0.2"/>
    <row r="7262" x14ac:dyDescent="0.2"/>
    <row r="7263" x14ac:dyDescent="0.2"/>
    <row r="7264" x14ac:dyDescent="0.2"/>
    <row r="7265" x14ac:dyDescent="0.2"/>
    <row r="7266" x14ac:dyDescent="0.2"/>
    <row r="7267" x14ac:dyDescent="0.2"/>
    <row r="7268" x14ac:dyDescent="0.2"/>
    <row r="7269" x14ac:dyDescent="0.2"/>
    <row r="7270" x14ac:dyDescent="0.2"/>
    <row r="7271" x14ac:dyDescent="0.2"/>
    <row r="7272" x14ac:dyDescent="0.2"/>
    <row r="7273" x14ac:dyDescent="0.2"/>
    <row r="7274" x14ac:dyDescent="0.2"/>
    <row r="7275" x14ac:dyDescent="0.2"/>
    <row r="7276" x14ac:dyDescent="0.2"/>
    <row r="7277" x14ac:dyDescent="0.2"/>
    <row r="7278" x14ac:dyDescent="0.2"/>
    <row r="7279" x14ac:dyDescent="0.2"/>
    <row r="7280" x14ac:dyDescent="0.2"/>
    <row r="7281" x14ac:dyDescent="0.2"/>
    <row r="7282" x14ac:dyDescent="0.2"/>
    <row r="7283" x14ac:dyDescent="0.2"/>
    <row r="7284" x14ac:dyDescent="0.2"/>
    <row r="7285" x14ac:dyDescent="0.2"/>
    <row r="7286" x14ac:dyDescent="0.2"/>
    <row r="7287" x14ac:dyDescent="0.2"/>
    <row r="7288" x14ac:dyDescent="0.2"/>
    <row r="7289" x14ac:dyDescent="0.2"/>
    <row r="7290" x14ac:dyDescent="0.2"/>
    <row r="7291" x14ac:dyDescent="0.2"/>
    <row r="7292" x14ac:dyDescent="0.2"/>
    <row r="7293" x14ac:dyDescent="0.2"/>
    <row r="7294" x14ac:dyDescent="0.2"/>
    <row r="7295" x14ac:dyDescent="0.2"/>
    <row r="7296" x14ac:dyDescent="0.2"/>
    <row r="7297" x14ac:dyDescent="0.2"/>
    <row r="7298" x14ac:dyDescent="0.2"/>
    <row r="7299" x14ac:dyDescent="0.2"/>
    <row r="7300" x14ac:dyDescent="0.2"/>
    <row r="7301" x14ac:dyDescent="0.2"/>
    <row r="7302" x14ac:dyDescent="0.2"/>
    <row r="7303" x14ac:dyDescent="0.2"/>
    <row r="7304" x14ac:dyDescent="0.2"/>
    <row r="7305" x14ac:dyDescent="0.2"/>
    <row r="7306" x14ac:dyDescent="0.2"/>
    <row r="7307" x14ac:dyDescent="0.2"/>
    <row r="7308" x14ac:dyDescent="0.2"/>
    <row r="7309" x14ac:dyDescent="0.2"/>
    <row r="7310" x14ac:dyDescent="0.2"/>
    <row r="7311" x14ac:dyDescent="0.2"/>
    <row r="7312" x14ac:dyDescent="0.2"/>
    <row r="7313" x14ac:dyDescent="0.2"/>
    <row r="7314" x14ac:dyDescent="0.2"/>
    <row r="7315" x14ac:dyDescent="0.2"/>
    <row r="7316" x14ac:dyDescent="0.2"/>
    <row r="7317" x14ac:dyDescent="0.2"/>
    <row r="7318" x14ac:dyDescent="0.2"/>
    <row r="7319" x14ac:dyDescent="0.2"/>
    <row r="7320" x14ac:dyDescent="0.2"/>
    <row r="7321" x14ac:dyDescent="0.2"/>
    <row r="7322" x14ac:dyDescent="0.2"/>
    <row r="7323" x14ac:dyDescent="0.2"/>
    <row r="7324" x14ac:dyDescent="0.2"/>
    <row r="7325" x14ac:dyDescent="0.2"/>
    <row r="7326" x14ac:dyDescent="0.2"/>
    <row r="7327" x14ac:dyDescent="0.2"/>
    <row r="7328" x14ac:dyDescent="0.2"/>
    <row r="7329" x14ac:dyDescent="0.2"/>
    <row r="7330" x14ac:dyDescent="0.2"/>
    <row r="7331" x14ac:dyDescent="0.2"/>
    <row r="7332" x14ac:dyDescent="0.2"/>
    <row r="7333" x14ac:dyDescent="0.2"/>
    <row r="7334" x14ac:dyDescent="0.2"/>
    <row r="7335" x14ac:dyDescent="0.2"/>
    <row r="7336" x14ac:dyDescent="0.2"/>
    <row r="7337" x14ac:dyDescent="0.2"/>
    <row r="7338" x14ac:dyDescent="0.2"/>
    <row r="7339" x14ac:dyDescent="0.2"/>
    <row r="7340" x14ac:dyDescent="0.2"/>
    <row r="7341" x14ac:dyDescent="0.2"/>
    <row r="7342" x14ac:dyDescent="0.2"/>
    <row r="7343" x14ac:dyDescent="0.2"/>
    <row r="7344" x14ac:dyDescent="0.2"/>
    <row r="7345" x14ac:dyDescent="0.2"/>
    <row r="7346" x14ac:dyDescent="0.2"/>
    <row r="7347" x14ac:dyDescent="0.2"/>
    <row r="7348" x14ac:dyDescent="0.2"/>
    <row r="7349" x14ac:dyDescent="0.2"/>
    <row r="7350" x14ac:dyDescent="0.2"/>
    <row r="7351" x14ac:dyDescent="0.2"/>
    <row r="7352" x14ac:dyDescent="0.2"/>
    <row r="7353" x14ac:dyDescent="0.2"/>
    <row r="7354" x14ac:dyDescent="0.2"/>
    <row r="7355" x14ac:dyDescent="0.2"/>
    <row r="7356" x14ac:dyDescent="0.2"/>
    <row r="7357" x14ac:dyDescent="0.2"/>
    <row r="7358" x14ac:dyDescent="0.2"/>
    <row r="7359" x14ac:dyDescent="0.2"/>
    <row r="7360" x14ac:dyDescent="0.2"/>
    <row r="7361" x14ac:dyDescent="0.2"/>
    <row r="7362" x14ac:dyDescent="0.2"/>
    <row r="7363" x14ac:dyDescent="0.2"/>
    <row r="7364" x14ac:dyDescent="0.2"/>
    <row r="7365" x14ac:dyDescent="0.2"/>
    <row r="7366" x14ac:dyDescent="0.2"/>
    <row r="7367" x14ac:dyDescent="0.2"/>
    <row r="7368" x14ac:dyDescent="0.2"/>
    <row r="7369" x14ac:dyDescent="0.2"/>
    <row r="7370" x14ac:dyDescent="0.2"/>
    <row r="7371" x14ac:dyDescent="0.2"/>
    <row r="7372" x14ac:dyDescent="0.2"/>
    <row r="7373" x14ac:dyDescent="0.2"/>
    <row r="7374" x14ac:dyDescent="0.2"/>
    <row r="7375" x14ac:dyDescent="0.2"/>
    <row r="7376" x14ac:dyDescent="0.2"/>
    <row r="7377" x14ac:dyDescent="0.2"/>
    <row r="7378" x14ac:dyDescent="0.2"/>
    <row r="7379" x14ac:dyDescent="0.2"/>
    <row r="7380" x14ac:dyDescent="0.2"/>
    <row r="7381" x14ac:dyDescent="0.2"/>
    <row r="7382" x14ac:dyDescent="0.2"/>
    <row r="7383" x14ac:dyDescent="0.2"/>
    <row r="7384" x14ac:dyDescent="0.2"/>
    <row r="7385" x14ac:dyDescent="0.2"/>
    <row r="7386" x14ac:dyDescent="0.2"/>
    <row r="7387" x14ac:dyDescent="0.2"/>
    <row r="7388" x14ac:dyDescent="0.2"/>
    <row r="7389" x14ac:dyDescent="0.2"/>
    <row r="7390" x14ac:dyDescent="0.2"/>
    <row r="7391" x14ac:dyDescent="0.2"/>
    <row r="7392" x14ac:dyDescent="0.2"/>
    <row r="7393" x14ac:dyDescent="0.2"/>
    <row r="7394" x14ac:dyDescent="0.2"/>
    <row r="7395" x14ac:dyDescent="0.2"/>
    <row r="7396" x14ac:dyDescent="0.2"/>
    <row r="7397" x14ac:dyDescent="0.2"/>
    <row r="7398" x14ac:dyDescent="0.2"/>
    <row r="7399" x14ac:dyDescent="0.2"/>
    <row r="7400" x14ac:dyDescent="0.2"/>
    <row r="7401" x14ac:dyDescent="0.2"/>
    <row r="7402" x14ac:dyDescent="0.2"/>
    <row r="7403" x14ac:dyDescent="0.2"/>
    <row r="7404" x14ac:dyDescent="0.2"/>
    <row r="7405" x14ac:dyDescent="0.2"/>
    <row r="7406" x14ac:dyDescent="0.2"/>
    <row r="7407" x14ac:dyDescent="0.2"/>
    <row r="7408" x14ac:dyDescent="0.2"/>
    <row r="7409" x14ac:dyDescent="0.2"/>
    <row r="7410" x14ac:dyDescent="0.2"/>
    <row r="7411" x14ac:dyDescent="0.2"/>
    <row r="7412" x14ac:dyDescent="0.2"/>
    <row r="7413" x14ac:dyDescent="0.2"/>
    <row r="7414" x14ac:dyDescent="0.2"/>
    <row r="7415" x14ac:dyDescent="0.2"/>
    <row r="7416" x14ac:dyDescent="0.2"/>
    <row r="7417" x14ac:dyDescent="0.2"/>
    <row r="7418" x14ac:dyDescent="0.2"/>
    <row r="7419" x14ac:dyDescent="0.2"/>
    <row r="7420" x14ac:dyDescent="0.2"/>
    <row r="7421" x14ac:dyDescent="0.2"/>
    <row r="7422" x14ac:dyDescent="0.2"/>
    <row r="7423" x14ac:dyDescent="0.2"/>
    <row r="7424" x14ac:dyDescent="0.2"/>
    <row r="7425" x14ac:dyDescent="0.2"/>
    <row r="7426" x14ac:dyDescent="0.2"/>
    <row r="7427" x14ac:dyDescent="0.2"/>
    <row r="7428" x14ac:dyDescent="0.2"/>
    <row r="7429" x14ac:dyDescent="0.2"/>
    <row r="7430" x14ac:dyDescent="0.2"/>
    <row r="7431" x14ac:dyDescent="0.2"/>
    <row r="7432" x14ac:dyDescent="0.2"/>
    <row r="7433" x14ac:dyDescent="0.2"/>
    <row r="7434" x14ac:dyDescent="0.2"/>
    <row r="7435" x14ac:dyDescent="0.2"/>
    <row r="7436" x14ac:dyDescent="0.2"/>
    <row r="7437" x14ac:dyDescent="0.2"/>
    <row r="7438" x14ac:dyDescent="0.2"/>
    <row r="7439" x14ac:dyDescent="0.2"/>
    <row r="7440" x14ac:dyDescent="0.2"/>
    <row r="7441" x14ac:dyDescent="0.2"/>
    <row r="7442" x14ac:dyDescent="0.2"/>
    <row r="7443" x14ac:dyDescent="0.2"/>
    <row r="7444" x14ac:dyDescent="0.2"/>
    <row r="7445" x14ac:dyDescent="0.2"/>
    <row r="7446" x14ac:dyDescent="0.2"/>
    <row r="7447" x14ac:dyDescent="0.2"/>
    <row r="7448" x14ac:dyDescent="0.2"/>
    <row r="7449" x14ac:dyDescent="0.2"/>
    <row r="7450" x14ac:dyDescent="0.2"/>
    <row r="7451" x14ac:dyDescent="0.2"/>
    <row r="7452" x14ac:dyDescent="0.2"/>
    <row r="7453" x14ac:dyDescent="0.2"/>
    <row r="7454" x14ac:dyDescent="0.2"/>
    <row r="7455" x14ac:dyDescent="0.2"/>
    <row r="7456" x14ac:dyDescent="0.2"/>
    <row r="7457" x14ac:dyDescent="0.2"/>
    <row r="7458" x14ac:dyDescent="0.2"/>
    <row r="7459" x14ac:dyDescent="0.2"/>
    <row r="7460" x14ac:dyDescent="0.2"/>
    <row r="7461" x14ac:dyDescent="0.2"/>
    <row r="7462" x14ac:dyDescent="0.2"/>
    <row r="7463" x14ac:dyDescent="0.2"/>
    <row r="7464" x14ac:dyDescent="0.2"/>
    <row r="7465" x14ac:dyDescent="0.2"/>
    <row r="7466" x14ac:dyDescent="0.2"/>
    <row r="7467" x14ac:dyDescent="0.2"/>
    <row r="7468" x14ac:dyDescent="0.2"/>
    <row r="7469" x14ac:dyDescent="0.2"/>
    <row r="7470" x14ac:dyDescent="0.2"/>
    <row r="7471" x14ac:dyDescent="0.2"/>
    <row r="7472" x14ac:dyDescent="0.2"/>
    <row r="7473" x14ac:dyDescent="0.2"/>
    <row r="7474" x14ac:dyDescent="0.2"/>
    <row r="7475" x14ac:dyDescent="0.2"/>
    <row r="7476" x14ac:dyDescent="0.2"/>
    <row r="7477" x14ac:dyDescent="0.2"/>
    <row r="7478" x14ac:dyDescent="0.2"/>
    <row r="7479" x14ac:dyDescent="0.2"/>
    <row r="7480" x14ac:dyDescent="0.2"/>
    <row r="7481" x14ac:dyDescent="0.2"/>
    <row r="7482" x14ac:dyDescent="0.2"/>
    <row r="7483" x14ac:dyDescent="0.2"/>
    <row r="7484" x14ac:dyDescent="0.2"/>
    <row r="7485" x14ac:dyDescent="0.2"/>
    <row r="7486" x14ac:dyDescent="0.2"/>
    <row r="7487" x14ac:dyDescent="0.2"/>
    <row r="7488" x14ac:dyDescent="0.2"/>
    <row r="7489" x14ac:dyDescent="0.2"/>
    <row r="7490" x14ac:dyDescent="0.2"/>
    <row r="7491" x14ac:dyDescent="0.2"/>
    <row r="7492" x14ac:dyDescent="0.2"/>
    <row r="7493" x14ac:dyDescent="0.2"/>
    <row r="7494" x14ac:dyDescent="0.2"/>
    <row r="7495" x14ac:dyDescent="0.2"/>
    <row r="7496" x14ac:dyDescent="0.2"/>
    <row r="7497" x14ac:dyDescent="0.2"/>
    <row r="7498" x14ac:dyDescent="0.2"/>
    <row r="7499" x14ac:dyDescent="0.2"/>
    <row r="7500" x14ac:dyDescent="0.2"/>
    <row r="7501" x14ac:dyDescent="0.2"/>
    <row r="7502" x14ac:dyDescent="0.2"/>
    <row r="7503" x14ac:dyDescent="0.2"/>
    <row r="7504" x14ac:dyDescent="0.2"/>
    <row r="7505" x14ac:dyDescent="0.2"/>
    <row r="7506" x14ac:dyDescent="0.2"/>
    <row r="7507" x14ac:dyDescent="0.2"/>
    <row r="7508" x14ac:dyDescent="0.2"/>
    <row r="7509" x14ac:dyDescent="0.2"/>
    <row r="7510" x14ac:dyDescent="0.2"/>
    <row r="7511" x14ac:dyDescent="0.2"/>
    <row r="7512" x14ac:dyDescent="0.2"/>
    <row r="7513" x14ac:dyDescent="0.2"/>
    <row r="7514" x14ac:dyDescent="0.2"/>
    <row r="7515" x14ac:dyDescent="0.2"/>
    <row r="7516" x14ac:dyDescent="0.2"/>
    <row r="7517" x14ac:dyDescent="0.2"/>
    <row r="7518" x14ac:dyDescent="0.2"/>
    <row r="7519" x14ac:dyDescent="0.2"/>
    <row r="7520" x14ac:dyDescent="0.2"/>
    <row r="7521" x14ac:dyDescent="0.2"/>
    <row r="7522" x14ac:dyDescent="0.2"/>
    <row r="7523" x14ac:dyDescent="0.2"/>
    <row r="7524" x14ac:dyDescent="0.2"/>
    <row r="7525" x14ac:dyDescent="0.2"/>
    <row r="7526" x14ac:dyDescent="0.2"/>
    <row r="7527" x14ac:dyDescent="0.2"/>
    <row r="7528" x14ac:dyDescent="0.2"/>
    <row r="7529" x14ac:dyDescent="0.2"/>
    <row r="7530" x14ac:dyDescent="0.2"/>
    <row r="7531" x14ac:dyDescent="0.2"/>
    <row r="7532" x14ac:dyDescent="0.2"/>
    <row r="7533" x14ac:dyDescent="0.2"/>
    <row r="7534" x14ac:dyDescent="0.2"/>
    <row r="7535" x14ac:dyDescent="0.2"/>
    <row r="7536" x14ac:dyDescent="0.2"/>
    <row r="7537" x14ac:dyDescent="0.2"/>
    <row r="7538" x14ac:dyDescent="0.2"/>
    <row r="7539" x14ac:dyDescent="0.2"/>
    <row r="7540" x14ac:dyDescent="0.2"/>
    <row r="7541" x14ac:dyDescent="0.2"/>
    <row r="7542" x14ac:dyDescent="0.2"/>
    <row r="7543" x14ac:dyDescent="0.2"/>
    <row r="7544" x14ac:dyDescent="0.2"/>
    <row r="7545" x14ac:dyDescent="0.2"/>
    <row r="7546" x14ac:dyDescent="0.2"/>
    <row r="7547" x14ac:dyDescent="0.2"/>
    <row r="7548" x14ac:dyDescent="0.2"/>
    <row r="7549" x14ac:dyDescent="0.2"/>
    <row r="7550" x14ac:dyDescent="0.2"/>
    <row r="7551" x14ac:dyDescent="0.2"/>
    <row r="7552" x14ac:dyDescent="0.2"/>
    <row r="7553" x14ac:dyDescent="0.2"/>
    <row r="7554" x14ac:dyDescent="0.2"/>
    <row r="7555" x14ac:dyDescent="0.2"/>
    <row r="7556" x14ac:dyDescent="0.2"/>
    <row r="7557" x14ac:dyDescent="0.2"/>
    <row r="7558" x14ac:dyDescent="0.2"/>
    <row r="7559" x14ac:dyDescent="0.2"/>
    <row r="7560" x14ac:dyDescent="0.2"/>
    <row r="7561" x14ac:dyDescent="0.2"/>
    <row r="7562" x14ac:dyDescent="0.2"/>
    <row r="7563" x14ac:dyDescent="0.2"/>
    <row r="7564" x14ac:dyDescent="0.2"/>
    <row r="7565" x14ac:dyDescent="0.2"/>
    <row r="7566" x14ac:dyDescent="0.2"/>
    <row r="7567" x14ac:dyDescent="0.2"/>
    <row r="7568" x14ac:dyDescent="0.2"/>
    <row r="7569" x14ac:dyDescent="0.2"/>
    <row r="7570" x14ac:dyDescent="0.2"/>
    <row r="7571" x14ac:dyDescent="0.2"/>
    <row r="7572" x14ac:dyDescent="0.2"/>
    <row r="7573" x14ac:dyDescent="0.2"/>
    <row r="7574" x14ac:dyDescent="0.2"/>
    <row r="7575" x14ac:dyDescent="0.2"/>
    <row r="7576" x14ac:dyDescent="0.2"/>
    <row r="7577" x14ac:dyDescent="0.2"/>
    <row r="7578" x14ac:dyDescent="0.2"/>
    <row r="7579" x14ac:dyDescent="0.2"/>
    <row r="7580" x14ac:dyDescent="0.2"/>
    <row r="7581" x14ac:dyDescent="0.2"/>
    <row r="7582" x14ac:dyDescent="0.2"/>
    <row r="7583" x14ac:dyDescent="0.2"/>
    <row r="7584" x14ac:dyDescent="0.2"/>
    <row r="7585" x14ac:dyDescent="0.2"/>
    <row r="7586" x14ac:dyDescent="0.2"/>
    <row r="7587" x14ac:dyDescent="0.2"/>
    <row r="7588" x14ac:dyDescent="0.2"/>
    <row r="7589" x14ac:dyDescent="0.2"/>
    <row r="7590" x14ac:dyDescent="0.2"/>
    <row r="7591" x14ac:dyDescent="0.2"/>
    <row r="7592" x14ac:dyDescent="0.2"/>
    <row r="7593" x14ac:dyDescent="0.2"/>
    <row r="7594" x14ac:dyDescent="0.2"/>
    <row r="7595" x14ac:dyDescent="0.2"/>
    <row r="7596" x14ac:dyDescent="0.2"/>
    <row r="7597" x14ac:dyDescent="0.2"/>
    <row r="7598" x14ac:dyDescent="0.2"/>
    <row r="7599" x14ac:dyDescent="0.2"/>
    <row r="7600" x14ac:dyDescent="0.2"/>
    <row r="7601" x14ac:dyDescent="0.2"/>
    <row r="7602" x14ac:dyDescent="0.2"/>
    <row r="7603" x14ac:dyDescent="0.2"/>
    <row r="7604" x14ac:dyDescent="0.2"/>
    <row r="7605" x14ac:dyDescent="0.2"/>
    <row r="7606" x14ac:dyDescent="0.2"/>
    <row r="7607" x14ac:dyDescent="0.2"/>
    <row r="7608" x14ac:dyDescent="0.2"/>
    <row r="7609" x14ac:dyDescent="0.2"/>
    <row r="7610" x14ac:dyDescent="0.2"/>
    <row r="7611" x14ac:dyDescent="0.2"/>
    <row r="7612" x14ac:dyDescent="0.2"/>
    <row r="7613" x14ac:dyDescent="0.2"/>
    <row r="7614" x14ac:dyDescent="0.2"/>
    <row r="7615" x14ac:dyDescent="0.2"/>
    <row r="7616" x14ac:dyDescent="0.2"/>
    <row r="7617" x14ac:dyDescent="0.2"/>
    <row r="7618" x14ac:dyDescent="0.2"/>
    <row r="7619" x14ac:dyDescent="0.2"/>
    <row r="7620" x14ac:dyDescent="0.2"/>
    <row r="7621" x14ac:dyDescent="0.2"/>
    <row r="7622" x14ac:dyDescent="0.2"/>
    <row r="7623" x14ac:dyDescent="0.2"/>
    <row r="7624" x14ac:dyDescent="0.2"/>
    <row r="7625" x14ac:dyDescent="0.2"/>
    <row r="7626" x14ac:dyDescent="0.2"/>
    <row r="7627" x14ac:dyDescent="0.2"/>
    <row r="7628" x14ac:dyDescent="0.2"/>
    <row r="7629" x14ac:dyDescent="0.2"/>
    <row r="7630" x14ac:dyDescent="0.2"/>
    <row r="7631" x14ac:dyDescent="0.2"/>
    <row r="7632" x14ac:dyDescent="0.2"/>
    <row r="7633" x14ac:dyDescent="0.2"/>
    <row r="7634" x14ac:dyDescent="0.2"/>
    <row r="7635" x14ac:dyDescent="0.2"/>
    <row r="7636" x14ac:dyDescent="0.2"/>
    <row r="7637" x14ac:dyDescent="0.2"/>
    <row r="7638" x14ac:dyDescent="0.2"/>
    <row r="7639" x14ac:dyDescent="0.2"/>
    <row r="7640" x14ac:dyDescent="0.2"/>
    <row r="7641" x14ac:dyDescent="0.2"/>
    <row r="7642" x14ac:dyDescent="0.2"/>
    <row r="7643" x14ac:dyDescent="0.2"/>
    <row r="7644" x14ac:dyDescent="0.2"/>
    <row r="7645" x14ac:dyDescent="0.2"/>
    <row r="7646" x14ac:dyDescent="0.2"/>
    <row r="7647" x14ac:dyDescent="0.2"/>
    <row r="7648" x14ac:dyDescent="0.2"/>
    <row r="7649" x14ac:dyDescent="0.2"/>
    <row r="7650" x14ac:dyDescent="0.2"/>
    <row r="7651" x14ac:dyDescent="0.2"/>
    <row r="7652" x14ac:dyDescent="0.2"/>
    <row r="7653" x14ac:dyDescent="0.2"/>
    <row r="7654" x14ac:dyDescent="0.2"/>
    <row r="7655" x14ac:dyDescent="0.2"/>
    <row r="7656" x14ac:dyDescent="0.2"/>
    <row r="7657" x14ac:dyDescent="0.2"/>
    <row r="7658" x14ac:dyDescent="0.2"/>
    <row r="7659" x14ac:dyDescent="0.2"/>
    <row r="7660" x14ac:dyDescent="0.2"/>
    <row r="7661" x14ac:dyDescent="0.2"/>
    <row r="7662" x14ac:dyDescent="0.2"/>
    <row r="7663" x14ac:dyDescent="0.2"/>
    <row r="7664" x14ac:dyDescent="0.2"/>
    <row r="7665" x14ac:dyDescent="0.2"/>
    <row r="7666" x14ac:dyDescent="0.2"/>
    <row r="7667" x14ac:dyDescent="0.2"/>
    <row r="7668" x14ac:dyDescent="0.2"/>
    <row r="7669" x14ac:dyDescent="0.2"/>
    <row r="7670" x14ac:dyDescent="0.2"/>
    <row r="7671" x14ac:dyDescent="0.2"/>
    <row r="7672" x14ac:dyDescent="0.2"/>
    <row r="7673" x14ac:dyDescent="0.2"/>
    <row r="7674" x14ac:dyDescent="0.2"/>
    <row r="7675" x14ac:dyDescent="0.2"/>
    <row r="7676" x14ac:dyDescent="0.2"/>
    <row r="7677" x14ac:dyDescent="0.2"/>
    <row r="7678" x14ac:dyDescent="0.2"/>
    <row r="7679" x14ac:dyDescent="0.2"/>
    <row r="7680" x14ac:dyDescent="0.2"/>
    <row r="7681" x14ac:dyDescent="0.2"/>
    <row r="7682" x14ac:dyDescent="0.2"/>
    <row r="7683" x14ac:dyDescent="0.2"/>
    <row r="7684" x14ac:dyDescent="0.2"/>
    <row r="7685" x14ac:dyDescent="0.2"/>
    <row r="7686" x14ac:dyDescent="0.2"/>
    <row r="7687" x14ac:dyDescent="0.2"/>
    <row r="7688" x14ac:dyDescent="0.2"/>
    <row r="7689" x14ac:dyDescent="0.2"/>
    <row r="7690" x14ac:dyDescent="0.2"/>
    <row r="7691" x14ac:dyDescent="0.2"/>
    <row r="7692" x14ac:dyDescent="0.2"/>
    <row r="7693" x14ac:dyDescent="0.2"/>
    <row r="7694" x14ac:dyDescent="0.2"/>
    <row r="7695" x14ac:dyDescent="0.2"/>
    <row r="7696" x14ac:dyDescent="0.2"/>
    <row r="7697" x14ac:dyDescent="0.2"/>
    <row r="7698" x14ac:dyDescent="0.2"/>
    <row r="7699" x14ac:dyDescent="0.2"/>
    <row r="7700" x14ac:dyDescent="0.2"/>
    <row r="7701" x14ac:dyDescent="0.2"/>
    <row r="7702" x14ac:dyDescent="0.2"/>
    <row r="7703" x14ac:dyDescent="0.2"/>
    <row r="7704" x14ac:dyDescent="0.2"/>
    <row r="7705" x14ac:dyDescent="0.2"/>
    <row r="7706" x14ac:dyDescent="0.2"/>
    <row r="7707" x14ac:dyDescent="0.2"/>
    <row r="7708" x14ac:dyDescent="0.2"/>
    <row r="7709" x14ac:dyDescent="0.2"/>
    <row r="7710" x14ac:dyDescent="0.2"/>
    <row r="7711" x14ac:dyDescent="0.2"/>
    <row r="7712" x14ac:dyDescent="0.2"/>
    <row r="7713" x14ac:dyDescent="0.2"/>
    <row r="7714" x14ac:dyDescent="0.2"/>
    <row r="7715" x14ac:dyDescent="0.2"/>
    <row r="7716" x14ac:dyDescent="0.2"/>
    <row r="7717" x14ac:dyDescent="0.2"/>
    <row r="7718" x14ac:dyDescent="0.2"/>
    <row r="7719" x14ac:dyDescent="0.2"/>
    <row r="7720" x14ac:dyDescent="0.2"/>
    <row r="7721" x14ac:dyDescent="0.2"/>
    <row r="7722" x14ac:dyDescent="0.2"/>
    <row r="7723" x14ac:dyDescent="0.2"/>
    <row r="7724" x14ac:dyDescent="0.2"/>
    <row r="7725" x14ac:dyDescent="0.2"/>
    <row r="7726" x14ac:dyDescent="0.2"/>
    <row r="7727" x14ac:dyDescent="0.2"/>
    <row r="7728" x14ac:dyDescent="0.2"/>
    <row r="7729" x14ac:dyDescent="0.2"/>
    <row r="7730" x14ac:dyDescent="0.2"/>
    <row r="7731" x14ac:dyDescent="0.2"/>
    <row r="7732" x14ac:dyDescent="0.2"/>
    <row r="7733" x14ac:dyDescent="0.2"/>
    <row r="7734" x14ac:dyDescent="0.2"/>
    <row r="7735" x14ac:dyDescent="0.2"/>
    <row r="7736" x14ac:dyDescent="0.2"/>
    <row r="7737" x14ac:dyDescent="0.2"/>
    <row r="7738" x14ac:dyDescent="0.2"/>
    <row r="7739" x14ac:dyDescent="0.2"/>
    <row r="7740" x14ac:dyDescent="0.2"/>
    <row r="7741" x14ac:dyDescent="0.2"/>
    <row r="7742" x14ac:dyDescent="0.2"/>
    <row r="7743" x14ac:dyDescent="0.2"/>
    <row r="7744" x14ac:dyDescent="0.2"/>
    <row r="7745" x14ac:dyDescent="0.2"/>
    <row r="7746" x14ac:dyDescent="0.2"/>
    <row r="7747" x14ac:dyDescent="0.2"/>
    <row r="7748" x14ac:dyDescent="0.2"/>
    <row r="7749" x14ac:dyDescent="0.2"/>
    <row r="7750" x14ac:dyDescent="0.2"/>
    <row r="7751" x14ac:dyDescent="0.2"/>
    <row r="7752" x14ac:dyDescent="0.2"/>
    <row r="7753" x14ac:dyDescent="0.2"/>
    <row r="7754" x14ac:dyDescent="0.2"/>
    <row r="7755" x14ac:dyDescent="0.2"/>
    <row r="7756" x14ac:dyDescent="0.2"/>
    <row r="7757" x14ac:dyDescent="0.2"/>
    <row r="7758" x14ac:dyDescent="0.2"/>
    <row r="7759" x14ac:dyDescent="0.2"/>
    <row r="7760" x14ac:dyDescent="0.2"/>
    <row r="7761" x14ac:dyDescent="0.2"/>
    <row r="7762" x14ac:dyDescent="0.2"/>
    <row r="7763" x14ac:dyDescent="0.2"/>
    <row r="7764" x14ac:dyDescent="0.2"/>
    <row r="7765" x14ac:dyDescent="0.2"/>
    <row r="7766" x14ac:dyDescent="0.2"/>
    <row r="7767" x14ac:dyDescent="0.2"/>
    <row r="7768" x14ac:dyDescent="0.2"/>
    <row r="7769" x14ac:dyDescent="0.2"/>
    <row r="7770" x14ac:dyDescent="0.2"/>
    <row r="7771" x14ac:dyDescent="0.2"/>
    <row r="7772" x14ac:dyDescent="0.2"/>
    <row r="7773" x14ac:dyDescent="0.2"/>
    <row r="7774" x14ac:dyDescent="0.2"/>
    <row r="7775" x14ac:dyDescent="0.2"/>
    <row r="7776" x14ac:dyDescent="0.2"/>
    <row r="7777" x14ac:dyDescent="0.2"/>
    <row r="7778" x14ac:dyDescent="0.2"/>
    <row r="7779" x14ac:dyDescent="0.2"/>
    <row r="7780" x14ac:dyDescent="0.2"/>
    <row r="7781" x14ac:dyDescent="0.2"/>
    <row r="7782" x14ac:dyDescent="0.2"/>
    <row r="7783" x14ac:dyDescent="0.2"/>
    <row r="7784" x14ac:dyDescent="0.2"/>
    <row r="7785" x14ac:dyDescent="0.2"/>
    <row r="7786" x14ac:dyDescent="0.2"/>
    <row r="7787" x14ac:dyDescent="0.2"/>
    <row r="7788" x14ac:dyDescent="0.2"/>
    <row r="7789" x14ac:dyDescent="0.2"/>
    <row r="7790" x14ac:dyDescent="0.2"/>
    <row r="7791" x14ac:dyDescent="0.2"/>
    <row r="7792" x14ac:dyDescent="0.2"/>
    <row r="7793" x14ac:dyDescent="0.2"/>
    <row r="7794" x14ac:dyDescent="0.2"/>
    <row r="7795" x14ac:dyDescent="0.2"/>
    <row r="7796" x14ac:dyDescent="0.2"/>
    <row r="7797" x14ac:dyDescent="0.2"/>
    <row r="7798" x14ac:dyDescent="0.2"/>
    <row r="7799" x14ac:dyDescent="0.2"/>
    <row r="7800" x14ac:dyDescent="0.2"/>
    <row r="7801" x14ac:dyDescent="0.2"/>
    <row r="7802" x14ac:dyDescent="0.2"/>
    <row r="7803" x14ac:dyDescent="0.2"/>
    <row r="7804" x14ac:dyDescent="0.2"/>
    <row r="7805" x14ac:dyDescent="0.2"/>
    <row r="7806" x14ac:dyDescent="0.2"/>
    <row r="7807" x14ac:dyDescent="0.2"/>
    <row r="7808" x14ac:dyDescent="0.2"/>
    <row r="7809" x14ac:dyDescent="0.2"/>
    <row r="7810" x14ac:dyDescent="0.2"/>
    <row r="7811" x14ac:dyDescent="0.2"/>
    <row r="7812" x14ac:dyDescent="0.2"/>
    <row r="7813" x14ac:dyDescent="0.2"/>
    <row r="7814" x14ac:dyDescent="0.2"/>
    <row r="7815" x14ac:dyDescent="0.2"/>
    <row r="7816" x14ac:dyDescent="0.2"/>
    <row r="7817" x14ac:dyDescent="0.2"/>
    <row r="7818" x14ac:dyDescent="0.2"/>
    <row r="7819" x14ac:dyDescent="0.2"/>
    <row r="7820" x14ac:dyDescent="0.2"/>
    <row r="7821" x14ac:dyDescent="0.2"/>
    <row r="7822" x14ac:dyDescent="0.2"/>
    <row r="7823" x14ac:dyDescent="0.2"/>
    <row r="7824" x14ac:dyDescent="0.2"/>
    <row r="7825" x14ac:dyDescent="0.2"/>
    <row r="7826" x14ac:dyDescent="0.2"/>
    <row r="7827" x14ac:dyDescent="0.2"/>
    <row r="7828" x14ac:dyDescent="0.2"/>
    <row r="7829" x14ac:dyDescent="0.2"/>
    <row r="7830" x14ac:dyDescent="0.2"/>
    <row r="7831" x14ac:dyDescent="0.2"/>
    <row r="7832" x14ac:dyDescent="0.2"/>
    <row r="7833" x14ac:dyDescent="0.2"/>
    <row r="7834" x14ac:dyDescent="0.2"/>
    <row r="7835" x14ac:dyDescent="0.2"/>
    <row r="7836" x14ac:dyDescent="0.2"/>
    <row r="7837" x14ac:dyDescent="0.2"/>
    <row r="7838" x14ac:dyDescent="0.2"/>
    <row r="7839" x14ac:dyDescent="0.2"/>
    <row r="7840" x14ac:dyDescent="0.2"/>
    <row r="7841" x14ac:dyDescent="0.2"/>
    <row r="7842" x14ac:dyDescent="0.2"/>
    <row r="7843" x14ac:dyDescent="0.2"/>
    <row r="7844" x14ac:dyDescent="0.2"/>
    <row r="7845" x14ac:dyDescent="0.2"/>
    <row r="7846" x14ac:dyDescent="0.2"/>
    <row r="7847" x14ac:dyDescent="0.2"/>
    <row r="7848" x14ac:dyDescent="0.2"/>
    <row r="7849" x14ac:dyDescent="0.2"/>
    <row r="7850" x14ac:dyDescent="0.2"/>
    <row r="7851" x14ac:dyDescent="0.2"/>
    <row r="7852" x14ac:dyDescent="0.2"/>
    <row r="7853" x14ac:dyDescent="0.2"/>
    <row r="7854" x14ac:dyDescent="0.2"/>
    <row r="7855" x14ac:dyDescent="0.2"/>
    <row r="7856" x14ac:dyDescent="0.2"/>
    <row r="7857" x14ac:dyDescent="0.2"/>
    <row r="7858" x14ac:dyDescent="0.2"/>
    <row r="7859" x14ac:dyDescent="0.2"/>
    <row r="7860" x14ac:dyDescent="0.2"/>
    <row r="7861" x14ac:dyDescent="0.2"/>
    <row r="7862" x14ac:dyDescent="0.2"/>
    <row r="7863" x14ac:dyDescent="0.2"/>
    <row r="7864" x14ac:dyDescent="0.2"/>
    <row r="7865" x14ac:dyDescent="0.2"/>
    <row r="7866" x14ac:dyDescent="0.2"/>
    <row r="7867" x14ac:dyDescent="0.2"/>
    <row r="7868" x14ac:dyDescent="0.2"/>
    <row r="7869" x14ac:dyDescent="0.2"/>
    <row r="7870" x14ac:dyDescent="0.2"/>
    <row r="7871" x14ac:dyDescent="0.2"/>
    <row r="7872" x14ac:dyDescent="0.2"/>
    <row r="7873" x14ac:dyDescent="0.2"/>
    <row r="7874" x14ac:dyDescent="0.2"/>
    <row r="7875" x14ac:dyDescent="0.2"/>
    <row r="7876" x14ac:dyDescent="0.2"/>
    <row r="7877" x14ac:dyDescent="0.2"/>
    <row r="7878" x14ac:dyDescent="0.2"/>
    <row r="7879" x14ac:dyDescent="0.2"/>
    <row r="7880" x14ac:dyDescent="0.2"/>
    <row r="7881" x14ac:dyDescent="0.2"/>
    <row r="7882" x14ac:dyDescent="0.2"/>
    <row r="7883" x14ac:dyDescent="0.2"/>
    <row r="7884" x14ac:dyDescent="0.2"/>
    <row r="7885" x14ac:dyDescent="0.2"/>
    <row r="7886" x14ac:dyDescent="0.2"/>
    <row r="7887" x14ac:dyDescent="0.2"/>
    <row r="7888" x14ac:dyDescent="0.2"/>
    <row r="7889" x14ac:dyDescent="0.2"/>
    <row r="7890" x14ac:dyDescent="0.2"/>
    <row r="7891" x14ac:dyDescent="0.2"/>
    <row r="7892" x14ac:dyDescent="0.2"/>
    <row r="7893" x14ac:dyDescent="0.2"/>
    <row r="7894" x14ac:dyDescent="0.2"/>
    <row r="7895" x14ac:dyDescent="0.2"/>
    <row r="7896" x14ac:dyDescent="0.2"/>
    <row r="7897" x14ac:dyDescent="0.2"/>
    <row r="7898" x14ac:dyDescent="0.2"/>
    <row r="7899" x14ac:dyDescent="0.2"/>
    <row r="7900" x14ac:dyDescent="0.2"/>
    <row r="7901" x14ac:dyDescent="0.2"/>
    <row r="7902" x14ac:dyDescent="0.2"/>
    <row r="7903" x14ac:dyDescent="0.2"/>
    <row r="7904" x14ac:dyDescent="0.2"/>
    <row r="7905" x14ac:dyDescent="0.2"/>
    <row r="7906" x14ac:dyDescent="0.2"/>
    <row r="7907" x14ac:dyDescent="0.2"/>
    <row r="7908" x14ac:dyDescent="0.2"/>
    <row r="7909" x14ac:dyDescent="0.2"/>
    <row r="7910" x14ac:dyDescent="0.2"/>
    <row r="7911" x14ac:dyDescent="0.2"/>
    <row r="7912" x14ac:dyDescent="0.2"/>
    <row r="7913" x14ac:dyDescent="0.2"/>
    <row r="7914" x14ac:dyDescent="0.2"/>
    <row r="7915" x14ac:dyDescent="0.2"/>
    <row r="7916" x14ac:dyDescent="0.2"/>
    <row r="7917" x14ac:dyDescent="0.2"/>
    <row r="7918" x14ac:dyDescent="0.2"/>
    <row r="7919" x14ac:dyDescent="0.2"/>
    <row r="7920" x14ac:dyDescent="0.2"/>
    <row r="7921" x14ac:dyDescent="0.2"/>
    <row r="7922" x14ac:dyDescent="0.2"/>
    <row r="7923" x14ac:dyDescent="0.2"/>
    <row r="7924" x14ac:dyDescent="0.2"/>
    <row r="7925" x14ac:dyDescent="0.2"/>
    <row r="7926" x14ac:dyDescent="0.2"/>
    <row r="7927" x14ac:dyDescent="0.2"/>
    <row r="7928" x14ac:dyDescent="0.2"/>
    <row r="7929" x14ac:dyDescent="0.2"/>
    <row r="7930" x14ac:dyDescent="0.2"/>
    <row r="7931" x14ac:dyDescent="0.2"/>
    <row r="7932" x14ac:dyDescent="0.2"/>
    <row r="7933" x14ac:dyDescent="0.2"/>
    <row r="7934" x14ac:dyDescent="0.2"/>
    <row r="7935" x14ac:dyDescent="0.2"/>
    <row r="7936" x14ac:dyDescent="0.2"/>
    <row r="7937" x14ac:dyDescent="0.2"/>
    <row r="7938" x14ac:dyDescent="0.2"/>
    <row r="7939" x14ac:dyDescent="0.2"/>
    <row r="7940" x14ac:dyDescent="0.2"/>
    <row r="7941" x14ac:dyDescent="0.2"/>
    <row r="7942" x14ac:dyDescent="0.2"/>
    <row r="7943" x14ac:dyDescent="0.2"/>
    <row r="7944" x14ac:dyDescent="0.2"/>
    <row r="7945" x14ac:dyDescent="0.2"/>
    <row r="7946" x14ac:dyDescent="0.2"/>
    <row r="7947" x14ac:dyDescent="0.2"/>
    <row r="7948" x14ac:dyDescent="0.2"/>
    <row r="7949" x14ac:dyDescent="0.2"/>
    <row r="7950" x14ac:dyDescent="0.2"/>
    <row r="7951" x14ac:dyDescent="0.2"/>
    <row r="7952" x14ac:dyDescent="0.2"/>
    <row r="7953" x14ac:dyDescent="0.2"/>
    <row r="7954" x14ac:dyDescent="0.2"/>
    <row r="7955" x14ac:dyDescent="0.2"/>
    <row r="7956" x14ac:dyDescent="0.2"/>
    <row r="7957" x14ac:dyDescent="0.2"/>
    <row r="7958" x14ac:dyDescent="0.2"/>
    <row r="7959" x14ac:dyDescent="0.2"/>
    <row r="7960" x14ac:dyDescent="0.2"/>
    <row r="7961" x14ac:dyDescent="0.2"/>
    <row r="7962" x14ac:dyDescent="0.2"/>
    <row r="7963" x14ac:dyDescent="0.2"/>
    <row r="7964" x14ac:dyDescent="0.2"/>
    <row r="7965" x14ac:dyDescent="0.2"/>
    <row r="7966" x14ac:dyDescent="0.2"/>
    <row r="7967" x14ac:dyDescent="0.2"/>
    <row r="7968" x14ac:dyDescent="0.2"/>
    <row r="7969" x14ac:dyDescent="0.2"/>
    <row r="7970" x14ac:dyDescent="0.2"/>
    <row r="7971" x14ac:dyDescent="0.2"/>
    <row r="7972" x14ac:dyDescent="0.2"/>
    <row r="7973" x14ac:dyDescent="0.2"/>
    <row r="7974" x14ac:dyDescent="0.2"/>
    <row r="7975" x14ac:dyDescent="0.2"/>
    <row r="7976" x14ac:dyDescent="0.2"/>
    <row r="7977" x14ac:dyDescent="0.2"/>
    <row r="7978" x14ac:dyDescent="0.2"/>
    <row r="7979" x14ac:dyDescent="0.2"/>
    <row r="7980" x14ac:dyDescent="0.2"/>
    <row r="7981" x14ac:dyDescent="0.2"/>
    <row r="7982" x14ac:dyDescent="0.2"/>
    <row r="7983" x14ac:dyDescent="0.2"/>
    <row r="7984" x14ac:dyDescent="0.2"/>
    <row r="7985" x14ac:dyDescent="0.2"/>
    <row r="7986" x14ac:dyDescent="0.2"/>
    <row r="7987" x14ac:dyDescent="0.2"/>
    <row r="7988" x14ac:dyDescent="0.2"/>
    <row r="7989" x14ac:dyDescent="0.2"/>
    <row r="7990" x14ac:dyDescent="0.2"/>
    <row r="7991" x14ac:dyDescent="0.2"/>
    <row r="7992" x14ac:dyDescent="0.2"/>
    <row r="7993" x14ac:dyDescent="0.2"/>
    <row r="7994" x14ac:dyDescent="0.2"/>
    <row r="7995" x14ac:dyDescent="0.2"/>
    <row r="7996" x14ac:dyDescent="0.2"/>
    <row r="7997" x14ac:dyDescent="0.2"/>
    <row r="7998" x14ac:dyDescent="0.2"/>
    <row r="7999" x14ac:dyDescent="0.2"/>
    <row r="8000" x14ac:dyDescent="0.2"/>
    <row r="8001" x14ac:dyDescent="0.2"/>
    <row r="8002" x14ac:dyDescent="0.2"/>
    <row r="8003" x14ac:dyDescent="0.2"/>
    <row r="8004" x14ac:dyDescent="0.2"/>
    <row r="8005" x14ac:dyDescent="0.2"/>
    <row r="8006" x14ac:dyDescent="0.2"/>
    <row r="8007" x14ac:dyDescent="0.2"/>
    <row r="8008" x14ac:dyDescent="0.2"/>
    <row r="8009" x14ac:dyDescent="0.2"/>
    <row r="8010" x14ac:dyDescent="0.2"/>
    <row r="8011" x14ac:dyDescent="0.2"/>
    <row r="8012" x14ac:dyDescent="0.2"/>
    <row r="8013" x14ac:dyDescent="0.2"/>
    <row r="8014" x14ac:dyDescent="0.2"/>
    <row r="8015" x14ac:dyDescent="0.2"/>
    <row r="8016" x14ac:dyDescent="0.2"/>
    <row r="8017" x14ac:dyDescent="0.2"/>
    <row r="8018" x14ac:dyDescent="0.2"/>
    <row r="8019" x14ac:dyDescent="0.2"/>
    <row r="8020" x14ac:dyDescent="0.2"/>
    <row r="8021" x14ac:dyDescent="0.2"/>
    <row r="8022" x14ac:dyDescent="0.2"/>
    <row r="8023" x14ac:dyDescent="0.2"/>
    <row r="8024" x14ac:dyDescent="0.2"/>
    <row r="8025" x14ac:dyDescent="0.2"/>
    <row r="8026" x14ac:dyDescent="0.2"/>
    <row r="8027" x14ac:dyDescent="0.2"/>
    <row r="8028" x14ac:dyDescent="0.2"/>
    <row r="8029" x14ac:dyDescent="0.2"/>
    <row r="8030" x14ac:dyDescent="0.2"/>
    <row r="8031" x14ac:dyDescent="0.2"/>
    <row r="8032" x14ac:dyDescent="0.2"/>
    <row r="8033" x14ac:dyDescent="0.2"/>
    <row r="8034" x14ac:dyDescent="0.2"/>
    <row r="8035" x14ac:dyDescent="0.2"/>
    <row r="8036" x14ac:dyDescent="0.2"/>
    <row r="8037" x14ac:dyDescent="0.2"/>
    <row r="8038" x14ac:dyDescent="0.2"/>
    <row r="8039" x14ac:dyDescent="0.2"/>
    <row r="8040" x14ac:dyDescent="0.2"/>
    <row r="8041" x14ac:dyDescent="0.2"/>
    <row r="8042" x14ac:dyDescent="0.2"/>
    <row r="8043" x14ac:dyDescent="0.2"/>
    <row r="8044" x14ac:dyDescent="0.2"/>
    <row r="8045" x14ac:dyDescent="0.2"/>
    <row r="8046" x14ac:dyDescent="0.2"/>
    <row r="8047" x14ac:dyDescent="0.2"/>
    <row r="8048" x14ac:dyDescent="0.2"/>
    <row r="8049" x14ac:dyDescent="0.2"/>
    <row r="8050" x14ac:dyDescent="0.2"/>
    <row r="8051" x14ac:dyDescent="0.2"/>
    <row r="8052" x14ac:dyDescent="0.2"/>
    <row r="8053" x14ac:dyDescent="0.2"/>
    <row r="8054" x14ac:dyDescent="0.2"/>
    <row r="8055" x14ac:dyDescent="0.2"/>
    <row r="8056" x14ac:dyDescent="0.2"/>
    <row r="8057" x14ac:dyDescent="0.2"/>
    <row r="8058" x14ac:dyDescent="0.2"/>
    <row r="8059" x14ac:dyDescent="0.2"/>
    <row r="8060" x14ac:dyDescent="0.2"/>
    <row r="8061" x14ac:dyDescent="0.2"/>
    <row r="8062" x14ac:dyDescent="0.2"/>
    <row r="8063" x14ac:dyDescent="0.2"/>
    <row r="8064" x14ac:dyDescent="0.2"/>
    <row r="8065" x14ac:dyDescent="0.2"/>
    <row r="8066" x14ac:dyDescent="0.2"/>
    <row r="8067" x14ac:dyDescent="0.2"/>
    <row r="8068" x14ac:dyDescent="0.2"/>
    <row r="8069" x14ac:dyDescent="0.2"/>
    <row r="8070" x14ac:dyDescent="0.2"/>
    <row r="8071" x14ac:dyDescent="0.2"/>
    <row r="8072" x14ac:dyDescent="0.2"/>
    <row r="8073" x14ac:dyDescent="0.2"/>
    <row r="8074" x14ac:dyDescent="0.2"/>
    <row r="8075" x14ac:dyDescent="0.2"/>
    <row r="8076" x14ac:dyDescent="0.2"/>
    <row r="8077" x14ac:dyDescent="0.2"/>
    <row r="8078" x14ac:dyDescent="0.2"/>
    <row r="8079" x14ac:dyDescent="0.2"/>
    <row r="8080" x14ac:dyDescent="0.2"/>
    <row r="8081" x14ac:dyDescent="0.2"/>
    <row r="8082" x14ac:dyDescent="0.2"/>
    <row r="8083" x14ac:dyDescent="0.2"/>
    <row r="8084" x14ac:dyDescent="0.2"/>
    <row r="8085" x14ac:dyDescent="0.2"/>
    <row r="8086" x14ac:dyDescent="0.2"/>
    <row r="8087" x14ac:dyDescent="0.2"/>
    <row r="8088" x14ac:dyDescent="0.2"/>
    <row r="8089" x14ac:dyDescent="0.2"/>
    <row r="8090" x14ac:dyDescent="0.2"/>
    <row r="8091" x14ac:dyDescent="0.2"/>
    <row r="8092" x14ac:dyDescent="0.2"/>
    <row r="8093" x14ac:dyDescent="0.2"/>
    <row r="8094" x14ac:dyDescent="0.2"/>
    <row r="8095" x14ac:dyDescent="0.2"/>
    <row r="8096" x14ac:dyDescent="0.2"/>
    <row r="8097" x14ac:dyDescent="0.2"/>
    <row r="8098" x14ac:dyDescent="0.2"/>
    <row r="8099" x14ac:dyDescent="0.2"/>
    <row r="8100" x14ac:dyDescent="0.2"/>
    <row r="8101" x14ac:dyDescent="0.2"/>
    <row r="8102" x14ac:dyDescent="0.2"/>
    <row r="8103" x14ac:dyDescent="0.2"/>
    <row r="8104" x14ac:dyDescent="0.2"/>
    <row r="8105" x14ac:dyDescent="0.2"/>
    <row r="8106" x14ac:dyDescent="0.2"/>
    <row r="8107" x14ac:dyDescent="0.2"/>
    <row r="8108" x14ac:dyDescent="0.2"/>
    <row r="8109" x14ac:dyDescent="0.2"/>
    <row r="8110" x14ac:dyDescent="0.2"/>
    <row r="8111" x14ac:dyDescent="0.2"/>
    <row r="8112" x14ac:dyDescent="0.2"/>
    <row r="8113" x14ac:dyDescent="0.2"/>
    <row r="8114" x14ac:dyDescent="0.2"/>
    <row r="8115" x14ac:dyDescent="0.2"/>
    <row r="8116" x14ac:dyDescent="0.2"/>
    <row r="8117" x14ac:dyDescent="0.2"/>
    <row r="8118" x14ac:dyDescent="0.2"/>
    <row r="8119" x14ac:dyDescent="0.2"/>
    <row r="8120" x14ac:dyDescent="0.2"/>
    <row r="8121" x14ac:dyDescent="0.2"/>
    <row r="8122" x14ac:dyDescent="0.2"/>
    <row r="8123" x14ac:dyDescent="0.2"/>
    <row r="8124" x14ac:dyDescent="0.2"/>
    <row r="8125" x14ac:dyDescent="0.2"/>
    <row r="8126" x14ac:dyDescent="0.2"/>
    <row r="8127" x14ac:dyDescent="0.2"/>
    <row r="8128" x14ac:dyDescent="0.2"/>
    <row r="8129" x14ac:dyDescent="0.2"/>
    <row r="8130" x14ac:dyDescent="0.2"/>
    <row r="8131" x14ac:dyDescent="0.2"/>
    <row r="8132" x14ac:dyDescent="0.2"/>
    <row r="8133" x14ac:dyDescent="0.2"/>
    <row r="8134" x14ac:dyDescent="0.2"/>
    <row r="8135" x14ac:dyDescent="0.2"/>
    <row r="8136" x14ac:dyDescent="0.2"/>
    <row r="8137" x14ac:dyDescent="0.2"/>
    <row r="8138" x14ac:dyDescent="0.2"/>
    <row r="8139" x14ac:dyDescent="0.2"/>
    <row r="8140" x14ac:dyDescent="0.2"/>
    <row r="8141" x14ac:dyDescent="0.2"/>
    <row r="8142" x14ac:dyDescent="0.2"/>
    <row r="8143" x14ac:dyDescent="0.2"/>
    <row r="8144" x14ac:dyDescent="0.2"/>
    <row r="8145" x14ac:dyDescent="0.2"/>
    <row r="8146" x14ac:dyDescent="0.2"/>
    <row r="8147" x14ac:dyDescent="0.2"/>
    <row r="8148" x14ac:dyDescent="0.2"/>
    <row r="8149" x14ac:dyDescent="0.2"/>
    <row r="8150" x14ac:dyDescent="0.2"/>
    <row r="8151" x14ac:dyDescent="0.2"/>
    <row r="8152" x14ac:dyDescent="0.2"/>
    <row r="8153" x14ac:dyDescent="0.2"/>
    <row r="8154" x14ac:dyDescent="0.2"/>
    <row r="8155" x14ac:dyDescent="0.2"/>
    <row r="8156" x14ac:dyDescent="0.2"/>
    <row r="8157" x14ac:dyDescent="0.2"/>
    <row r="8158" x14ac:dyDescent="0.2"/>
    <row r="8159" x14ac:dyDescent="0.2"/>
    <row r="8160" x14ac:dyDescent="0.2"/>
    <row r="8161" x14ac:dyDescent="0.2"/>
    <row r="8162" x14ac:dyDescent="0.2"/>
    <row r="8163" x14ac:dyDescent="0.2"/>
    <row r="8164" x14ac:dyDescent="0.2"/>
    <row r="8165" x14ac:dyDescent="0.2"/>
    <row r="8166" x14ac:dyDescent="0.2"/>
    <row r="8167" x14ac:dyDescent="0.2"/>
    <row r="8168" x14ac:dyDescent="0.2"/>
    <row r="8169" x14ac:dyDescent="0.2"/>
    <row r="8170" x14ac:dyDescent="0.2"/>
    <row r="8171" x14ac:dyDescent="0.2"/>
    <row r="8172" x14ac:dyDescent="0.2"/>
    <row r="8173" x14ac:dyDescent="0.2"/>
    <row r="8174" x14ac:dyDescent="0.2"/>
    <row r="8175" x14ac:dyDescent="0.2"/>
    <row r="8176" x14ac:dyDescent="0.2"/>
    <row r="8177" x14ac:dyDescent="0.2"/>
    <row r="8178" x14ac:dyDescent="0.2"/>
    <row r="8179" x14ac:dyDescent="0.2"/>
    <row r="8180" x14ac:dyDescent="0.2"/>
    <row r="8181" x14ac:dyDescent="0.2"/>
    <row r="8182" x14ac:dyDescent="0.2"/>
    <row r="8183" x14ac:dyDescent="0.2"/>
    <row r="8184" x14ac:dyDescent="0.2"/>
    <row r="8185" x14ac:dyDescent="0.2"/>
    <row r="8186" x14ac:dyDescent="0.2"/>
    <row r="8187" x14ac:dyDescent="0.2"/>
    <row r="8188" x14ac:dyDescent="0.2"/>
    <row r="8189" x14ac:dyDescent="0.2"/>
    <row r="8190" x14ac:dyDescent="0.2"/>
    <row r="8191" x14ac:dyDescent="0.2"/>
    <row r="8192" x14ac:dyDescent="0.2"/>
    <row r="8193" x14ac:dyDescent="0.2"/>
    <row r="8194" x14ac:dyDescent="0.2"/>
    <row r="8195" x14ac:dyDescent="0.2"/>
    <row r="8196" x14ac:dyDescent="0.2"/>
    <row r="8197" x14ac:dyDescent="0.2"/>
    <row r="8198" x14ac:dyDescent="0.2"/>
    <row r="8199" x14ac:dyDescent="0.2"/>
    <row r="8200" x14ac:dyDescent="0.2"/>
    <row r="8201" x14ac:dyDescent="0.2"/>
    <row r="8202" x14ac:dyDescent="0.2"/>
    <row r="8203" x14ac:dyDescent="0.2"/>
    <row r="8204" x14ac:dyDescent="0.2"/>
    <row r="8205" x14ac:dyDescent="0.2"/>
    <row r="8206" x14ac:dyDescent="0.2"/>
    <row r="8207" x14ac:dyDescent="0.2"/>
    <row r="8208" x14ac:dyDescent="0.2"/>
    <row r="8209" x14ac:dyDescent="0.2"/>
    <row r="8210" x14ac:dyDescent="0.2"/>
    <row r="8211" x14ac:dyDescent="0.2"/>
    <row r="8212" x14ac:dyDescent="0.2"/>
    <row r="8213" x14ac:dyDescent="0.2"/>
    <row r="8214" x14ac:dyDescent="0.2"/>
    <row r="8215" x14ac:dyDescent="0.2"/>
    <row r="8216" x14ac:dyDescent="0.2"/>
    <row r="8217" x14ac:dyDescent="0.2"/>
    <row r="8218" x14ac:dyDescent="0.2"/>
    <row r="8219" x14ac:dyDescent="0.2"/>
    <row r="8220" x14ac:dyDescent="0.2"/>
    <row r="8221" x14ac:dyDescent="0.2"/>
    <row r="8222" x14ac:dyDescent="0.2"/>
    <row r="8223" x14ac:dyDescent="0.2"/>
    <row r="8224" x14ac:dyDescent="0.2"/>
    <row r="8225" x14ac:dyDescent="0.2"/>
    <row r="8226" x14ac:dyDescent="0.2"/>
    <row r="8227" x14ac:dyDescent="0.2"/>
    <row r="8228" x14ac:dyDescent="0.2"/>
    <row r="8229" x14ac:dyDescent="0.2"/>
    <row r="8230" x14ac:dyDescent="0.2"/>
    <row r="8231" x14ac:dyDescent="0.2"/>
    <row r="8232" x14ac:dyDescent="0.2"/>
    <row r="8233" x14ac:dyDescent="0.2"/>
    <row r="8234" x14ac:dyDescent="0.2"/>
    <row r="8235" x14ac:dyDescent="0.2"/>
    <row r="8236" x14ac:dyDescent="0.2"/>
    <row r="8237" x14ac:dyDescent="0.2"/>
    <row r="8238" x14ac:dyDescent="0.2"/>
    <row r="8239" x14ac:dyDescent="0.2"/>
    <row r="8240" x14ac:dyDescent="0.2"/>
    <row r="8241" x14ac:dyDescent="0.2"/>
    <row r="8242" x14ac:dyDescent="0.2"/>
    <row r="8243" x14ac:dyDescent="0.2"/>
    <row r="8244" x14ac:dyDescent="0.2"/>
    <row r="8245" x14ac:dyDescent="0.2"/>
    <row r="8246" x14ac:dyDescent="0.2"/>
    <row r="8247" x14ac:dyDescent="0.2"/>
    <row r="8248" x14ac:dyDescent="0.2"/>
    <row r="8249" x14ac:dyDescent="0.2"/>
    <row r="8250" x14ac:dyDescent="0.2"/>
    <row r="8251" x14ac:dyDescent="0.2"/>
    <row r="8252" x14ac:dyDescent="0.2"/>
    <row r="8253" x14ac:dyDescent="0.2"/>
    <row r="8254" x14ac:dyDescent="0.2"/>
    <row r="8255" x14ac:dyDescent="0.2"/>
    <row r="8256" x14ac:dyDescent="0.2"/>
    <row r="8257" x14ac:dyDescent="0.2"/>
    <row r="8258" x14ac:dyDescent="0.2"/>
    <row r="8259" x14ac:dyDescent="0.2"/>
    <row r="8260" x14ac:dyDescent="0.2"/>
    <row r="8261" x14ac:dyDescent="0.2"/>
    <row r="8262" x14ac:dyDescent="0.2"/>
    <row r="8263" x14ac:dyDescent="0.2"/>
    <row r="8264" x14ac:dyDescent="0.2"/>
    <row r="8265" x14ac:dyDescent="0.2"/>
    <row r="8266" x14ac:dyDescent="0.2"/>
    <row r="8267" x14ac:dyDescent="0.2"/>
    <row r="8268" x14ac:dyDescent="0.2"/>
    <row r="8269" x14ac:dyDescent="0.2"/>
    <row r="8270" x14ac:dyDescent="0.2"/>
    <row r="8271" x14ac:dyDescent="0.2"/>
    <row r="8272" x14ac:dyDescent="0.2"/>
    <row r="8273" x14ac:dyDescent="0.2"/>
    <row r="8274" x14ac:dyDescent="0.2"/>
    <row r="8275" x14ac:dyDescent="0.2"/>
    <row r="8276" x14ac:dyDescent="0.2"/>
    <row r="8277" x14ac:dyDescent="0.2"/>
    <row r="8278" x14ac:dyDescent="0.2"/>
    <row r="8279" x14ac:dyDescent="0.2"/>
    <row r="8280" x14ac:dyDescent="0.2"/>
    <row r="8281" x14ac:dyDescent="0.2"/>
    <row r="8282" x14ac:dyDescent="0.2"/>
    <row r="8283" x14ac:dyDescent="0.2"/>
    <row r="8284" x14ac:dyDescent="0.2"/>
    <row r="8285" x14ac:dyDescent="0.2"/>
    <row r="8286" x14ac:dyDescent="0.2"/>
    <row r="8287" x14ac:dyDescent="0.2"/>
    <row r="8288" x14ac:dyDescent="0.2"/>
    <row r="8289" x14ac:dyDescent="0.2"/>
    <row r="8290" x14ac:dyDescent="0.2"/>
    <row r="8291" x14ac:dyDescent="0.2"/>
    <row r="8292" x14ac:dyDescent="0.2"/>
    <row r="8293" x14ac:dyDescent="0.2"/>
    <row r="8294" x14ac:dyDescent="0.2"/>
    <row r="8295" x14ac:dyDescent="0.2"/>
    <row r="8296" x14ac:dyDescent="0.2"/>
    <row r="8297" x14ac:dyDescent="0.2"/>
    <row r="8298" x14ac:dyDescent="0.2"/>
    <row r="8299" x14ac:dyDescent="0.2"/>
    <row r="8300" x14ac:dyDescent="0.2"/>
    <row r="8301" x14ac:dyDescent="0.2"/>
    <row r="8302" x14ac:dyDescent="0.2"/>
    <row r="8303" x14ac:dyDescent="0.2"/>
    <row r="8304" x14ac:dyDescent="0.2"/>
    <row r="8305" x14ac:dyDescent="0.2"/>
    <row r="8306" x14ac:dyDescent="0.2"/>
    <row r="8307" x14ac:dyDescent="0.2"/>
    <row r="8308" x14ac:dyDescent="0.2"/>
    <row r="8309" x14ac:dyDescent="0.2"/>
    <row r="8310" x14ac:dyDescent="0.2"/>
    <row r="8311" x14ac:dyDescent="0.2"/>
    <row r="8312" x14ac:dyDescent="0.2"/>
    <row r="8313" x14ac:dyDescent="0.2"/>
    <row r="8314" x14ac:dyDescent="0.2"/>
    <row r="8315" x14ac:dyDescent="0.2"/>
    <row r="8316" x14ac:dyDescent="0.2"/>
    <row r="8317" x14ac:dyDescent="0.2"/>
    <row r="8318" x14ac:dyDescent="0.2"/>
    <row r="8319" x14ac:dyDescent="0.2"/>
    <row r="8320" x14ac:dyDescent="0.2"/>
    <row r="8321" x14ac:dyDescent="0.2"/>
    <row r="8322" x14ac:dyDescent="0.2"/>
    <row r="8323" x14ac:dyDescent="0.2"/>
    <row r="8324" x14ac:dyDescent="0.2"/>
    <row r="8325" x14ac:dyDescent="0.2"/>
    <row r="8326" x14ac:dyDescent="0.2"/>
    <row r="8327" x14ac:dyDescent="0.2"/>
    <row r="8328" x14ac:dyDescent="0.2"/>
    <row r="8329" x14ac:dyDescent="0.2"/>
    <row r="8330" x14ac:dyDescent="0.2"/>
    <row r="8331" x14ac:dyDescent="0.2"/>
    <row r="8332" x14ac:dyDescent="0.2"/>
    <row r="8333" x14ac:dyDescent="0.2"/>
    <row r="8334" x14ac:dyDescent="0.2"/>
    <row r="8335" x14ac:dyDescent="0.2"/>
    <row r="8336" x14ac:dyDescent="0.2"/>
    <row r="8337" x14ac:dyDescent="0.2"/>
    <row r="8338" x14ac:dyDescent="0.2"/>
    <row r="8339" x14ac:dyDescent="0.2"/>
    <row r="8340" x14ac:dyDescent="0.2"/>
    <row r="8341" x14ac:dyDescent="0.2"/>
    <row r="8342" x14ac:dyDescent="0.2"/>
    <row r="8343" x14ac:dyDescent="0.2"/>
    <row r="8344" x14ac:dyDescent="0.2"/>
    <row r="8345" x14ac:dyDescent="0.2"/>
    <row r="8346" x14ac:dyDescent="0.2"/>
    <row r="8347" x14ac:dyDescent="0.2"/>
    <row r="8348" x14ac:dyDescent="0.2"/>
    <row r="8349" x14ac:dyDescent="0.2"/>
    <row r="8350" x14ac:dyDescent="0.2"/>
    <row r="8351" x14ac:dyDescent="0.2"/>
    <row r="8352" x14ac:dyDescent="0.2"/>
    <row r="8353" x14ac:dyDescent="0.2"/>
    <row r="8354" x14ac:dyDescent="0.2"/>
    <row r="8355" x14ac:dyDescent="0.2"/>
    <row r="8356" x14ac:dyDescent="0.2"/>
    <row r="8357" x14ac:dyDescent="0.2"/>
    <row r="8358" x14ac:dyDescent="0.2"/>
    <row r="8359" x14ac:dyDescent="0.2"/>
    <row r="8360" x14ac:dyDescent="0.2"/>
    <row r="8361" x14ac:dyDescent="0.2"/>
    <row r="8362" x14ac:dyDescent="0.2"/>
    <row r="8363" x14ac:dyDescent="0.2"/>
    <row r="8364" x14ac:dyDescent="0.2"/>
    <row r="8365" x14ac:dyDescent="0.2"/>
    <row r="8366" x14ac:dyDescent="0.2"/>
    <row r="8367" x14ac:dyDescent="0.2"/>
    <row r="8368" x14ac:dyDescent="0.2"/>
    <row r="8369" x14ac:dyDescent="0.2"/>
    <row r="8370" x14ac:dyDescent="0.2"/>
    <row r="8371" x14ac:dyDescent="0.2"/>
    <row r="8372" x14ac:dyDescent="0.2"/>
    <row r="8373" x14ac:dyDescent="0.2"/>
    <row r="8374" x14ac:dyDescent="0.2"/>
    <row r="8375" x14ac:dyDescent="0.2"/>
    <row r="8376" x14ac:dyDescent="0.2"/>
    <row r="8377" x14ac:dyDescent="0.2"/>
    <row r="8378" x14ac:dyDescent="0.2"/>
    <row r="8379" x14ac:dyDescent="0.2"/>
    <row r="8380" x14ac:dyDescent="0.2"/>
    <row r="8381" x14ac:dyDescent="0.2"/>
    <row r="8382" x14ac:dyDescent="0.2"/>
    <row r="8383" x14ac:dyDescent="0.2"/>
    <row r="8384" x14ac:dyDescent="0.2"/>
    <row r="8385" x14ac:dyDescent="0.2"/>
    <row r="8386" x14ac:dyDescent="0.2"/>
    <row r="8387" x14ac:dyDescent="0.2"/>
    <row r="8388" x14ac:dyDescent="0.2"/>
    <row r="8389" x14ac:dyDescent="0.2"/>
    <row r="8390" x14ac:dyDescent="0.2"/>
    <row r="8391" x14ac:dyDescent="0.2"/>
    <row r="8392" x14ac:dyDescent="0.2"/>
    <row r="8393" x14ac:dyDescent="0.2"/>
    <row r="8394" x14ac:dyDescent="0.2"/>
    <row r="8395" x14ac:dyDescent="0.2"/>
    <row r="8396" x14ac:dyDescent="0.2"/>
    <row r="8397" x14ac:dyDescent="0.2"/>
    <row r="8398" x14ac:dyDescent="0.2"/>
    <row r="8399" x14ac:dyDescent="0.2"/>
    <row r="8400" x14ac:dyDescent="0.2"/>
    <row r="8401" x14ac:dyDescent="0.2"/>
    <row r="8402" x14ac:dyDescent="0.2"/>
    <row r="8403" x14ac:dyDescent="0.2"/>
    <row r="8404" x14ac:dyDescent="0.2"/>
    <row r="8405" x14ac:dyDescent="0.2"/>
    <row r="8406" x14ac:dyDescent="0.2"/>
    <row r="8407" x14ac:dyDescent="0.2"/>
    <row r="8408" x14ac:dyDescent="0.2"/>
    <row r="8409" x14ac:dyDescent="0.2"/>
    <row r="8410" x14ac:dyDescent="0.2"/>
    <row r="8411" x14ac:dyDescent="0.2"/>
    <row r="8412" x14ac:dyDescent="0.2"/>
    <row r="8413" x14ac:dyDescent="0.2"/>
    <row r="8414" x14ac:dyDescent="0.2"/>
    <row r="8415" x14ac:dyDescent="0.2"/>
    <row r="8416" x14ac:dyDescent="0.2"/>
    <row r="8417" x14ac:dyDescent="0.2"/>
    <row r="8418" x14ac:dyDescent="0.2"/>
    <row r="8419" x14ac:dyDescent="0.2"/>
    <row r="8420" x14ac:dyDescent="0.2"/>
    <row r="8421" x14ac:dyDescent="0.2"/>
    <row r="8422" x14ac:dyDescent="0.2"/>
    <row r="8423" x14ac:dyDescent="0.2"/>
    <row r="8424" x14ac:dyDescent="0.2"/>
    <row r="8425" x14ac:dyDescent="0.2"/>
    <row r="8426" x14ac:dyDescent="0.2"/>
    <row r="8427" x14ac:dyDescent="0.2"/>
    <row r="8428" x14ac:dyDescent="0.2"/>
    <row r="8429" x14ac:dyDescent="0.2"/>
    <row r="8430" x14ac:dyDescent="0.2"/>
    <row r="8431" x14ac:dyDescent="0.2"/>
    <row r="8432" x14ac:dyDescent="0.2"/>
    <row r="8433" x14ac:dyDescent="0.2"/>
    <row r="8434" x14ac:dyDescent="0.2"/>
    <row r="8435" x14ac:dyDescent="0.2"/>
    <row r="8436" x14ac:dyDescent="0.2"/>
    <row r="8437" x14ac:dyDescent="0.2"/>
    <row r="8438" x14ac:dyDescent="0.2"/>
    <row r="8439" x14ac:dyDescent="0.2"/>
    <row r="8440" x14ac:dyDescent="0.2"/>
    <row r="8441" x14ac:dyDescent="0.2"/>
    <row r="8442" x14ac:dyDescent="0.2"/>
    <row r="8443" x14ac:dyDescent="0.2"/>
    <row r="8444" x14ac:dyDescent="0.2"/>
    <row r="8445" x14ac:dyDescent="0.2"/>
    <row r="8446" x14ac:dyDescent="0.2"/>
    <row r="8447" x14ac:dyDescent="0.2"/>
    <row r="8448" x14ac:dyDescent="0.2"/>
    <row r="8449" x14ac:dyDescent="0.2"/>
    <row r="8450" x14ac:dyDescent="0.2"/>
    <row r="8451" x14ac:dyDescent="0.2"/>
    <row r="8452" x14ac:dyDescent="0.2"/>
    <row r="8453" x14ac:dyDescent="0.2"/>
    <row r="8454" x14ac:dyDescent="0.2"/>
    <row r="8455" x14ac:dyDescent="0.2"/>
    <row r="8456" x14ac:dyDescent="0.2"/>
    <row r="8457" x14ac:dyDescent="0.2"/>
    <row r="8458" x14ac:dyDescent="0.2"/>
    <row r="8459" x14ac:dyDescent="0.2"/>
    <row r="8460" x14ac:dyDescent="0.2"/>
    <row r="8461" x14ac:dyDescent="0.2"/>
    <row r="8462" x14ac:dyDescent="0.2"/>
    <row r="8463" x14ac:dyDescent="0.2"/>
    <row r="8464" x14ac:dyDescent="0.2"/>
    <row r="8465" x14ac:dyDescent="0.2"/>
    <row r="8466" x14ac:dyDescent="0.2"/>
    <row r="8467" x14ac:dyDescent="0.2"/>
    <row r="8468" x14ac:dyDescent="0.2"/>
    <row r="8469" x14ac:dyDescent="0.2"/>
    <row r="8470" x14ac:dyDescent="0.2"/>
    <row r="8471" x14ac:dyDescent="0.2"/>
    <row r="8472" x14ac:dyDescent="0.2"/>
    <row r="8473" x14ac:dyDescent="0.2"/>
    <row r="8474" x14ac:dyDescent="0.2"/>
    <row r="8475" x14ac:dyDescent="0.2"/>
    <row r="8476" x14ac:dyDescent="0.2"/>
    <row r="8477" x14ac:dyDescent="0.2"/>
    <row r="8478" x14ac:dyDescent="0.2"/>
    <row r="8479" x14ac:dyDescent="0.2"/>
    <row r="8480" x14ac:dyDescent="0.2"/>
    <row r="8481" x14ac:dyDescent="0.2"/>
    <row r="8482" x14ac:dyDescent="0.2"/>
    <row r="8483" x14ac:dyDescent="0.2"/>
    <row r="8484" x14ac:dyDescent="0.2"/>
    <row r="8485" x14ac:dyDescent="0.2"/>
    <row r="8486" x14ac:dyDescent="0.2"/>
    <row r="8487" x14ac:dyDescent="0.2"/>
    <row r="8488" x14ac:dyDescent="0.2"/>
    <row r="8489" x14ac:dyDescent="0.2"/>
    <row r="8490" x14ac:dyDescent="0.2"/>
    <row r="8491" x14ac:dyDescent="0.2"/>
    <row r="8492" x14ac:dyDescent="0.2"/>
    <row r="8493" x14ac:dyDescent="0.2"/>
    <row r="8494" x14ac:dyDescent="0.2"/>
    <row r="8495" x14ac:dyDescent="0.2"/>
    <row r="8496" x14ac:dyDescent="0.2"/>
    <row r="8497" x14ac:dyDescent="0.2"/>
    <row r="8498" x14ac:dyDescent="0.2"/>
    <row r="8499" x14ac:dyDescent="0.2"/>
    <row r="8500" x14ac:dyDescent="0.2"/>
    <row r="8501" x14ac:dyDescent="0.2"/>
    <row r="8502" x14ac:dyDescent="0.2"/>
    <row r="8503" x14ac:dyDescent="0.2"/>
    <row r="8504" x14ac:dyDescent="0.2"/>
    <row r="8505" x14ac:dyDescent="0.2"/>
    <row r="8506" x14ac:dyDescent="0.2"/>
    <row r="8507" x14ac:dyDescent="0.2"/>
    <row r="8508" x14ac:dyDescent="0.2"/>
    <row r="8509" x14ac:dyDescent="0.2"/>
    <row r="8510" x14ac:dyDescent="0.2"/>
    <row r="8511" x14ac:dyDescent="0.2"/>
    <row r="8512" x14ac:dyDescent="0.2"/>
    <row r="8513" x14ac:dyDescent="0.2"/>
    <row r="8514" x14ac:dyDescent="0.2"/>
    <row r="8515" x14ac:dyDescent="0.2"/>
    <row r="8516" x14ac:dyDescent="0.2"/>
    <row r="8517" x14ac:dyDescent="0.2"/>
    <row r="8518" x14ac:dyDescent="0.2"/>
    <row r="8519" x14ac:dyDescent="0.2"/>
    <row r="8520" x14ac:dyDescent="0.2"/>
    <row r="8521" x14ac:dyDescent="0.2"/>
    <row r="8522" x14ac:dyDescent="0.2"/>
    <row r="8523" x14ac:dyDescent="0.2"/>
    <row r="8524" x14ac:dyDescent="0.2"/>
    <row r="8525" x14ac:dyDescent="0.2"/>
    <row r="8526" x14ac:dyDescent="0.2"/>
    <row r="8527" x14ac:dyDescent="0.2"/>
    <row r="8528" x14ac:dyDescent="0.2"/>
    <row r="8529" x14ac:dyDescent="0.2"/>
    <row r="8530" x14ac:dyDescent="0.2"/>
    <row r="8531" x14ac:dyDescent="0.2"/>
    <row r="8532" x14ac:dyDescent="0.2"/>
    <row r="8533" x14ac:dyDescent="0.2"/>
    <row r="8534" x14ac:dyDescent="0.2"/>
    <row r="8535" x14ac:dyDescent="0.2"/>
    <row r="8536" x14ac:dyDescent="0.2"/>
    <row r="8537" x14ac:dyDescent="0.2"/>
    <row r="8538" x14ac:dyDescent="0.2"/>
    <row r="8539" x14ac:dyDescent="0.2"/>
    <row r="8540" x14ac:dyDescent="0.2"/>
    <row r="8541" x14ac:dyDescent="0.2"/>
    <row r="8542" x14ac:dyDescent="0.2"/>
    <row r="8543" x14ac:dyDescent="0.2"/>
    <row r="8544" x14ac:dyDescent="0.2"/>
    <row r="8545" x14ac:dyDescent="0.2"/>
    <row r="8546" x14ac:dyDescent="0.2"/>
    <row r="8547" x14ac:dyDescent="0.2"/>
    <row r="8548" x14ac:dyDescent="0.2"/>
    <row r="8549" x14ac:dyDescent="0.2"/>
    <row r="8550" x14ac:dyDescent="0.2"/>
    <row r="8551" x14ac:dyDescent="0.2"/>
    <row r="8552" x14ac:dyDescent="0.2"/>
    <row r="8553" x14ac:dyDescent="0.2"/>
    <row r="8554" x14ac:dyDescent="0.2"/>
    <row r="8555" x14ac:dyDescent="0.2"/>
    <row r="8556" x14ac:dyDescent="0.2"/>
    <row r="8557" x14ac:dyDescent="0.2"/>
    <row r="8558" x14ac:dyDescent="0.2"/>
    <row r="8559" x14ac:dyDescent="0.2"/>
    <row r="8560" x14ac:dyDescent="0.2"/>
    <row r="8561" x14ac:dyDescent="0.2"/>
    <row r="8562" x14ac:dyDescent="0.2"/>
    <row r="8563" x14ac:dyDescent="0.2"/>
    <row r="8564" x14ac:dyDescent="0.2"/>
    <row r="8565" x14ac:dyDescent="0.2"/>
    <row r="8566" x14ac:dyDescent="0.2"/>
    <row r="8567" x14ac:dyDescent="0.2"/>
    <row r="8568" x14ac:dyDescent="0.2"/>
    <row r="8569" x14ac:dyDescent="0.2"/>
    <row r="8570" x14ac:dyDescent="0.2"/>
    <row r="8571" x14ac:dyDescent="0.2"/>
    <row r="8572" x14ac:dyDescent="0.2"/>
    <row r="8573" x14ac:dyDescent="0.2"/>
    <row r="8574" x14ac:dyDescent="0.2"/>
    <row r="8575" x14ac:dyDescent="0.2"/>
    <row r="8576" x14ac:dyDescent="0.2"/>
    <row r="8577" x14ac:dyDescent="0.2"/>
    <row r="8578" x14ac:dyDescent="0.2"/>
    <row r="8579" x14ac:dyDescent="0.2"/>
    <row r="8580" x14ac:dyDescent="0.2"/>
    <row r="8581" x14ac:dyDescent="0.2"/>
    <row r="8582" x14ac:dyDescent="0.2"/>
    <row r="8583" x14ac:dyDescent="0.2"/>
    <row r="8584" x14ac:dyDescent="0.2"/>
    <row r="8585" x14ac:dyDescent="0.2"/>
    <row r="8586" x14ac:dyDescent="0.2"/>
    <row r="8587" x14ac:dyDescent="0.2"/>
    <row r="8588" x14ac:dyDescent="0.2"/>
    <row r="8589" x14ac:dyDescent="0.2"/>
    <row r="8590" x14ac:dyDescent="0.2"/>
    <row r="8591" x14ac:dyDescent="0.2"/>
    <row r="8592" x14ac:dyDescent="0.2"/>
    <row r="8593" x14ac:dyDescent="0.2"/>
    <row r="8594" x14ac:dyDescent="0.2"/>
    <row r="8595" x14ac:dyDescent="0.2"/>
    <row r="8596" x14ac:dyDescent="0.2"/>
    <row r="8597" x14ac:dyDescent="0.2"/>
    <row r="8598" x14ac:dyDescent="0.2"/>
    <row r="8599" x14ac:dyDescent="0.2"/>
    <row r="8600" x14ac:dyDescent="0.2"/>
    <row r="8601" x14ac:dyDescent="0.2"/>
    <row r="8602" x14ac:dyDescent="0.2"/>
    <row r="8603" x14ac:dyDescent="0.2"/>
    <row r="8604" x14ac:dyDescent="0.2"/>
    <row r="8605" x14ac:dyDescent="0.2"/>
    <row r="8606" x14ac:dyDescent="0.2"/>
    <row r="8607" x14ac:dyDescent="0.2"/>
    <row r="8608" x14ac:dyDescent="0.2"/>
    <row r="8609" x14ac:dyDescent="0.2"/>
    <row r="8610" x14ac:dyDescent="0.2"/>
    <row r="8611" x14ac:dyDescent="0.2"/>
    <row r="8612" x14ac:dyDescent="0.2"/>
    <row r="8613" x14ac:dyDescent="0.2"/>
    <row r="8614" x14ac:dyDescent="0.2"/>
    <row r="8615" x14ac:dyDescent="0.2"/>
    <row r="8616" x14ac:dyDescent="0.2"/>
    <row r="8617" x14ac:dyDescent="0.2"/>
    <row r="8618" x14ac:dyDescent="0.2"/>
    <row r="8619" x14ac:dyDescent="0.2"/>
    <row r="8620" x14ac:dyDescent="0.2"/>
    <row r="8621" x14ac:dyDescent="0.2"/>
    <row r="8622" x14ac:dyDescent="0.2"/>
    <row r="8623" x14ac:dyDescent="0.2"/>
    <row r="8624" x14ac:dyDescent="0.2"/>
    <row r="8625" x14ac:dyDescent="0.2"/>
    <row r="8626" x14ac:dyDescent="0.2"/>
    <row r="8627" x14ac:dyDescent="0.2"/>
    <row r="8628" x14ac:dyDescent="0.2"/>
    <row r="8629" x14ac:dyDescent="0.2"/>
    <row r="8630" x14ac:dyDescent="0.2"/>
    <row r="8631" x14ac:dyDescent="0.2"/>
    <row r="8632" x14ac:dyDescent="0.2"/>
    <row r="8633" x14ac:dyDescent="0.2"/>
    <row r="8634" x14ac:dyDescent="0.2"/>
    <row r="8635" x14ac:dyDescent="0.2"/>
    <row r="8636" x14ac:dyDescent="0.2"/>
    <row r="8637" x14ac:dyDescent="0.2"/>
    <row r="8638" x14ac:dyDescent="0.2"/>
    <row r="8639" x14ac:dyDescent="0.2"/>
    <row r="8640" x14ac:dyDescent="0.2"/>
    <row r="8641" x14ac:dyDescent="0.2"/>
    <row r="8642" x14ac:dyDescent="0.2"/>
    <row r="8643" x14ac:dyDescent="0.2"/>
    <row r="8644" x14ac:dyDescent="0.2"/>
    <row r="8645" x14ac:dyDescent="0.2"/>
    <row r="8646" x14ac:dyDescent="0.2"/>
    <row r="8647" x14ac:dyDescent="0.2"/>
    <row r="8648" x14ac:dyDescent="0.2"/>
    <row r="8649" x14ac:dyDescent="0.2"/>
    <row r="8650" x14ac:dyDescent="0.2"/>
    <row r="8651" x14ac:dyDescent="0.2"/>
    <row r="8652" x14ac:dyDescent="0.2"/>
    <row r="8653" x14ac:dyDescent="0.2"/>
    <row r="8654" x14ac:dyDescent="0.2"/>
    <row r="8655" x14ac:dyDescent="0.2"/>
    <row r="8656" x14ac:dyDescent="0.2"/>
    <row r="8657" x14ac:dyDescent="0.2"/>
    <row r="8658" x14ac:dyDescent="0.2"/>
    <row r="8659" x14ac:dyDescent="0.2"/>
    <row r="8660" x14ac:dyDescent="0.2"/>
    <row r="8661" x14ac:dyDescent="0.2"/>
    <row r="8662" x14ac:dyDescent="0.2"/>
    <row r="8663" x14ac:dyDescent="0.2"/>
    <row r="8664" x14ac:dyDescent="0.2"/>
    <row r="8665" x14ac:dyDescent="0.2"/>
    <row r="8666" x14ac:dyDescent="0.2"/>
    <row r="8667" x14ac:dyDescent="0.2"/>
    <row r="8668" x14ac:dyDescent="0.2"/>
    <row r="8669" x14ac:dyDescent="0.2"/>
    <row r="8670" x14ac:dyDescent="0.2"/>
    <row r="8671" x14ac:dyDescent="0.2"/>
    <row r="8672" x14ac:dyDescent="0.2"/>
    <row r="8673" x14ac:dyDescent="0.2"/>
    <row r="8674" x14ac:dyDescent="0.2"/>
    <row r="8675" x14ac:dyDescent="0.2"/>
    <row r="8676" x14ac:dyDescent="0.2"/>
    <row r="8677" x14ac:dyDescent="0.2"/>
    <row r="8678" x14ac:dyDescent="0.2"/>
    <row r="8679" x14ac:dyDescent="0.2"/>
    <row r="8680" x14ac:dyDescent="0.2"/>
    <row r="8681" x14ac:dyDescent="0.2"/>
    <row r="8682" x14ac:dyDescent="0.2"/>
    <row r="8683" x14ac:dyDescent="0.2"/>
    <row r="8684" x14ac:dyDescent="0.2"/>
    <row r="8685" x14ac:dyDescent="0.2"/>
    <row r="8686" x14ac:dyDescent="0.2"/>
    <row r="8687" x14ac:dyDescent="0.2"/>
    <row r="8688" x14ac:dyDescent="0.2"/>
    <row r="8689" x14ac:dyDescent="0.2"/>
    <row r="8690" x14ac:dyDescent="0.2"/>
    <row r="8691" x14ac:dyDescent="0.2"/>
    <row r="8692" x14ac:dyDescent="0.2"/>
    <row r="8693" x14ac:dyDescent="0.2"/>
    <row r="8694" x14ac:dyDescent="0.2"/>
    <row r="8695" x14ac:dyDescent="0.2"/>
    <row r="8696" x14ac:dyDescent="0.2"/>
    <row r="8697" x14ac:dyDescent="0.2"/>
    <row r="8698" x14ac:dyDescent="0.2"/>
    <row r="8699" x14ac:dyDescent="0.2"/>
    <row r="8700" x14ac:dyDescent="0.2"/>
    <row r="8701" x14ac:dyDescent="0.2"/>
    <row r="8702" x14ac:dyDescent="0.2"/>
    <row r="8703" x14ac:dyDescent="0.2"/>
    <row r="8704" x14ac:dyDescent="0.2"/>
    <row r="8705" x14ac:dyDescent="0.2"/>
    <row r="8706" x14ac:dyDescent="0.2"/>
    <row r="8707" x14ac:dyDescent="0.2"/>
    <row r="8708" x14ac:dyDescent="0.2"/>
    <row r="8709" x14ac:dyDescent="0.2"/>
    <row r="8710" x14ac:dyDescent="0.2"/>
    <row r="8711" x14ac:dyDescent="0.2"/>
    <row r="8712" x14ac:dyDescent="0.2"/>
    <row r="8713" x14ac:dyDescent="0.2"/>
    <row r="8714" x14ac:dyDescent="0.2"/>
    <row r="8715" x14ac:dyDescent="0.2"/>
    <row r="8716" x14ac:dyDescent="0.2"/>
    <row r="8717" x14ac:dyDescent="0.2"/>
    <row r="8718" x14ac:dyDescent="0.2"/>
    <row r="8719" x14ac:dyDescent="0.2"/>
    <row r="8720" x14ac:dyDescent="0.2"/>
    <row r="8721" x14ac:dyDescent="0.2"/>
    <row r="8722" x14ac:dyDescent="0.2"/>
    <row r="8723" x14ac:dyDescent="0.2"/>
    <row r="8724" x14ac:dyDescent="0.2"/>
    <row r="8725" x14ac:dyDescent="0.2"/>
    <row r="8726" x14ac:dyDescent="0.2"/>
    <row r="8727" x14ac:dyDescent="0.2"/>
    <row r="8728" x14ac:dyDescent="0.2"/>
    <row r="8729" x14ac:dyDescent="0.2"/>
    <row r="8730" x14ac:dyDescent="0.2"/>
    <row r="8731" x14ac:dyDescent="0.2"/>
    <row r="8732" x14ac:dyDescent="0.2"/>
    <row r="8733" x14ac:dyDescent="0.2"/>
    <row r="8734" x14ac:dyDescent="0.2"/>
    <row r="8735" x14ac:dyDescent="0.2"/>
    <row r="8736" x14ac:dyDescent="0.2"/>
    <row r="8737" x14ac:dyDescent="0.2"/>
    <row r="8738" x14ac:dyDescent="0.2"/>
    <row r="8739" x14ac:dyDescent="0.2"/>
    <row r="8740" x14ac:dyDescent="0.2"/>
    <row r="8741" x14ac:dyDescent="0.2"/>
    <row r="8742" x14ac:dyDescent="0.2"/>
    <row r="8743" x14ac:dyDescent="0.2"/>
    <row r="8744" x14ac:dyDescent="0.2"/>
    <row r="8745" x14ac:dyDescent="0.2"/>
    <row r="8746" x14ac:dyDescent="0.2"/>
    <row r="8747" x14ac:dyDescent="0.2"/>
    <row r="8748" x14ac:dyDescent="0.2"/>
    <row r="8749" x14ac:dyDescent="0.2"/>
    <row r="8750" x14ac:dyDescent="0.2"/>
    <row r="8751" x14ac:dyDescent="0.2"/>
    <row r="8752" x14ac:dyDescent="0.2"/>
    <row r="8753" x14ac:dyDescent="0.2"/>
    <row r="8754" x14ac:dyDescent="0.2"/>
    <row r="8755" x14ac:dyDescent="0.2"/>
    <row r="8756" x14ac:dyDescent="0.2"/>
    <row r="8757" x14ac:dyDescent="0.2"/>
    <row r="8758" x14ac:dyDescent="0.2"/>
    <row r="8759" x14ac:dyDescent="0.2"/>
    <row r="8760" x14ac:dyDescent="0.2"/>
    <row r="8761" x14ac:dyDescent="0.2"/>
    <row r="8762" x14ac:dyDescent="0.2"/>
    <row r="8763" x14ac:dyDescent="0.2"/>
    <row r="8764" x14ac:dyDescent="0.2"/>
    <row r="8765" x14ac:dyDescent="0.2"/>
    <row r="8766" x14ac:dyDescent="0.2"/>
    <row r="8767" x14ac:dyDescent="0.2"/>
    <row r="8768" x14ac:dyDescent="0.2"/>
    <row r="8769" x14ac:dyDescent="0.2"/>
    <row r="8770" x14ac:dyDescent="0.2"/>
    <row r="8771" x14ac:dyDescent="0.2"/>
    <row r="8772" x14ac:dyDescent="0.2"/>
    <row r="8773" x14ac:dyDescent="0.2"/>
    <row r="8774" x14ac:dyDescent="0.2"/>
    <row r="8775" x14ac:dyDescent="0.2"/>
    <row r="8776" x14ac:dyDescent="0.2"/>
    <row r="8777" x14ac:dyDescent="0.2"/>
    <row r="8778" x14ac:dyDescent="0.2"/>
    <row r="8779" x14ac:dyDescent="0.2"/>
    <row r="8780" x14ac:dyDescent="0.2"/>
    <row r="8781" x14ac:dyDescent="0.2"/>
    <row r="8782" x14ac:dyDescent="0.2"/>
    <row r="8783" x14ac:dyDescent="0.2"/>
    <row r="8784" x14ac:dyDescent="0.2"/>
    <row r="8785" x14ac:dyDescent="0.2"/>
    <row r="8786" x14ac:dyDescent="0.2"/>
    <row r="8787" x14ac:dyDescent="0.2"/>
    <row r="8788" x14ac:dyDescent="0.2"/>
    <row r="8789" x14ac:dyDescent="0.2"/>
    <row r="8790" x14ac:dyDescent="0.2"/>
    <row r="8791" x14ac:dyDescent="0.2"/>
    <row r="8792" x14ac:dyDescent="0.2"/>
    <row r="8793" x14ac:dyDescent="0.2"/>
    <row r="8794" x14ac:dyDescent="0.2"/>
    <row r="8795" x14ac:dyDescent="0.2"/>
    <row r="8796" x14ac:dyDescent="0.2"/>
    <row r="8797" x14ac:dyDescent="0.2"/>
    <row r="8798" x14ac:dyDescent="0.2"/>
    <row r="8799" x14ac:dyDescent="0.2"/>
    <row r="8800" x14ac:dyDescent="0.2"/>
    <row r="8801" x14ac:dyDescent="0.2"/>
    <row r="8802" x14ac:dyDescent="0.2"/>
    <row r="8803" x14ac:dyDescent="0.2"/>
    <row r="8804" x14ac:dyDescent="0.2"/>
    <row r="8805" x14ac:dyDescent="0.2"/>
    <row r="8806" x14ac:dyDescent="0.2"/>
    <row r="8807" x14ac:dyDescent="0.2"/>
    <row r="8808" x14ac:dyDescent="0.2"/>
    <row r="8809" x14ac:dyDescent="0.2"/>
    <row r="8810" x14ac:dyDescent="0.2"/>
    <row r="8811" x14ac:dyDescent="0.2"/>
    <row r="8812" x14ac:dyDescent="0.2"/>
    <row r="8813" x14ac:dyDescent="0.2"/>
    <row r="8814" x14ac:dyDescent="0.2"/>
    <row r="8815" x14ac:dyDescent="0.2"/>
    <row r="8816" x14ac:dyDescent="0.2"/>
    <row r="8817" x14ac:dyDescent="0.2"/>
    <row r="8818" x14ac:dyDescent="0.2"/>
    <row r="8819" x14ac:dyDescent="0.2"/>
    <row r="8820" x14ac:dyDescent="0.2"/>
    <row r="8821" x14ac:dyDescent="0.2"/>
    <row r="8822" x14ac:dyDescent="0.2"/>
    <row r="8823" x14ac:dyDescent="0.2"/>
    <row r="8824" x14ac:dyDescent="0.2"/>
    <row r="8825" x14ac:dyDescent="0.2"/>
    <row r="8826" x14ac:dyDescent="0.2"/>
    <row r="8827" x14ac:dyDescent="0.2"/>
    <row r="8828" x14ac:dyDescent="0.2"/>
    <row r="8829" x14ac:dyDescent="0.2"/>
    <row r="8830" x14ac:dyDescent="0.2"/>
    <row r="8831" x14ac:dyDescent="0.2"/>
    <row r="8832" x14ac:dyDescent="0.2"/>
    <row r="8833" x14ac:dyDescent="0.2"/>
    <row r="8834" x14ac:dyDescent="0.2"/>
    <row r="8835" x14ac:dyDescent="0.2"/>
    <row r="8836" x14ac:dyDescent="0.2"/>
    <row r="8837" x14ac:dyDescent="0.2"/>
    <row r="8838" x14ac:dyDescent="0.2"/>
    <row r="8839" x14ac:dyDescent="0.2"/>
    <row r="8840" x14ac:dyDescent="0.2"/>
    <row r="8841" x14ac:dyDescent="0.2"/>
    <row r="8842" x14ac:dyDescent="0.2"/>
    <row r="8843" x14ac:dyDescent="0.2"/>
    <row r="8844" x14ac:dyDescent="0.2"/>
    <row r="8845" x14ac:dyDescent="0.2"/>
    <row r="8846" x14ac:dyDescent="0.2"/>
    <row r="8847" x14ac:dyDescent="0.2"/>
    <row r="8848" x14ac:dyDescent="0.2"/>
    <row r="8849" x14ac:dyDescent="0.2"/>
    <row r="8850" x14ac:dyDescent="0.2"/>
    <row r="8851" x14ac:dyDescent="0.2"/>
    <row r="8852" x14ac:dyDescent="0.2"/>
    <row r="8853" x14ac:dyDescent="0.2"/>
    <row r="8854" x14ac:dyDescent="0.2"/>
    <row r="8855" x14ac:dyDescent="0.2"/>
    <row r="8856" x14ac:dyDescent="0.2"/>
    <row r="8857" x14ac:dyDescent="0.2"/>
    <row r="8858" x14ac:dyDescent="0.2"/>
    <row r="8859" x14ac:dyDescent="0.2"/>
    <row r="8860" x14ac:dyDescent="0.2"/>
    <row r="8861" x14ac:dyDescent="0.2"/>
    <row r="8862" x14ac:dyDescent="0.2"/>
    <row r="8863" x14ac:dyDescent="0.2"/>
    <row r="8864" x14ac:dyDescent="0.2"/>
    <row r="8865" x14ac:dyDescent="0.2"/>
    <row r="8866" x14ac:dyDescent="0.2"/>
    <row r="8867" x14ac:dyDescent="0.2"/>
    <row r="8868" x14ac:dyDescent="0.2"/>
    <row r="8869" x14ac:dyDescent="0.2"/>
    <row r="8870" x14ac:dyDescent="0.2"/>
    <row r="8871" x14ac:dyDescent="0.2"/>
    <row r="8872" x14ac:dyDescent="0.2"/>
    <row r="8873" x14ac:dyDescent="0.2"/>
    <row r="8874" x14ac:dyDescent="0.2"/>
    <row r="8875" x14ac:dyDescent="0.2"/>
    <row r="8876" x14ac:dyDescent="0.2"/>
    <row r="8877" x14ac:dyDescent="0.2"/>
    <row r="8878" x14ac:dyDescent="0.2"/>
    <row r="8879" x14ac:dyDescent="0.2"/>
    <row r="8880" x14ac:dyDescent="0.2"/>
    <row r="8881" x14ac:dyDescent="0.2"/>
    <row r="8882" x14ac:dyDescent="0.2"/>
    <row r="8883" x14ac:dyDescent="0.2"/>
    <row r="8884" x14ac:dyDescent="0.2"/>
    <row r="8885" x14ac:dyDescent="0.2"/>
    <row r="8886" x14ac:dyDescent="0.2"/>
    <row r="8887" x14ac:dyDescent="0.2"/>
    <row r="8888" x14ac:dyDescent="0.2"/>
    <row r="8889" x14ac:dyDescent="0.2"/>
    <row r="8890" x14ac:dyDescent="0.2"/>
    <row r="8891" x14ac:dyDescent="0.2"/>
    <row r="8892" x14ac:dyDescent="0.2"/>
    <row r="8893" x14ac:dyDescent="0.2"/>
    <row r="8894" x14ac:dyDescent="0.2"/>
    <row r="8895" x14ac:dyDescent="0.2"/>
    <row r="8896" x14ac:dyDescent="0.2"/>
    <row r="8897" x14ac:dyDescent="0.2"/>
    <row r="8898" x14ac:dyDescent="0.2"/>
    <row r="8899" x14ac:dyDescent="0.2"/>
    <row r="8900" x14ac:dyDescent="0.2"/>
    <row r="8901" x14ac:dyDescent="0.2"/>
    <row r="8902" x14ac:dyDescent="0.2"/>
    <row r="8903" x14ac:dyDescent="0.2"/>
    <row r="8904" x14ac:dyDescent="0.2"/>
    <row r="8905" x14ac:dyDescent="0.2"/>
    <row r="8906" x14ac:dyDescent="0.2"/>
    <row r="8907" x14ac:dyDescent="0.2"/>
    <row r="8908" x14ac:dyDescent="0.2"/>
    <row r="8909" x14ac:dyDescent="0.2"/>
    <row r="8910" x14ac:dyDescent="0.2"/>
    <row r="8911" x14ac:dyDescent="0.2"/>
    <row r="8912" x14ac:dyDescent="0.2"/>
    <row r="8913" x14ac:dyDescent="0.2"/>
    <row r="8914" x14ac:dyDescent="0.2"/>
    <row r="8915" x14ac:dyDescent="0.2"/>
    <row r="8916" x14ac:dyDescent="0.2"/>
    <row r="8917" x14ac:dyDescent="0.2"/>
    <row r="8918" x14ac:dyDescent="0.2"/>
    <row r="8919" x14ac:dyDescent="0.2"/>
    <row r="8920" x14ac:dyDescent="0.2"/>
    <row r="8921" x14ac:dyDescent="0.2"/>
    <row r="8922" x14ac:dyDescent="0.2"/>
    <row r="8923" x14ac:dyDescent="0.2"/>
    <row r="8924" x14ac:dyDescent="0.2"/>
    <row r="8925" x14ac:dyDescent="0.2"/>
    <row r="8926" x14ac:dyDescent="0.2"/>
    <row r="8927" x14ac:dyDescent="0.2"/>
    <row r="8928" x14ac:dyDescent="0.2"/>
    <row r="8929" x14ac:dyDescent="0.2"/>
    <row r="8930" x14ac:dyDescent="0.2"/>
    <row r="8931" x14ac:dyDescent="0.2"/>
    <row r="8932" x14ac:dyDescent="0.2"/>
    <row r="8933" x14ac:dyDescent="0.2"/>
    <row r="8934" x14ac:dyDescent="0.2"/>
    <row r="8935" x14ac:dyDescent="0.2"/>
    <row r="8936" x14ac:dyDescent="0.2"/>
    <row r="8937" x14ac:dyDescent="0.2"/>
    <row r="8938" x14ac:dyDescent="0.2"/>
    <row r="8939" x14ac:dyDescent="0.2"/>
    <row r="8940" x14ac:dyDescent="0.2"/>
    <row r="8941" x14ac:dyDescent="0.2"/>
    <row r="8942" x14ac:dyDescent="0.2"/>
    <row r="8943" x14ac:dyDescent="0.2"/>
    <row r="8944" x14ac:dyDescent="0.2"/>
    <row r="8945" x14ac:dyDescent="0.2"/>
    <row r="8946" x14ac:dyDescent="0.2"/>
    <row r="8947" x14ac:dyDescent="0.2"/>
    <row r="8948" x14ac:dyDescent="0.2"/>
    <row r="8949" x14ac:dyDescent="0.2"/>
    <row r="8950" x14ac:dyDescent="0.2"/>
    <row r="8951" x14ac:dyDescent="0.2"/>
    <row r="8952" x14ac:dyDescent="0.2"/>
    <row r="8953" x14ac:dyDescent="0.2"/>
    <row r="8954" x14ac:dyDescent="0.2"/>
    <row r="8955" x14ac:dyDescent="0.2"/>
    <row r="8956" x14ac:dyDescent="0.2"/>
    <row r="8957" x14ac:dyDescent="0.2"/>
    <row r="8958" x14ac:dyDescent="0.2"/>
    <row r="8959" x14ac:dyDescent="0.2"/>
    <row r="8960" x14ac:dyDescent="0.2"/>
    <row r="8961" x14ac:dyDescent="0.2"/>
    <row r="8962" x14ac:dyDescent="0.2"/>
    <row r="8963" x14ac:dyDescent="0.2"/>
    <row r="8964" x14ac:dyDescent="0.2"/>
    <row r="8965" x14ac:dyDescent="0.2"/>
    <row r="8966" x14ac:dyDescent="0.2"/>
    <row r="8967" x14ac:dyDescent="0.2"/>
    <row r="8968" x14ac:dyDescent="0.2"/>
    <row r="8969" x14ac:dyDescent="0.2"/>
    <row r="8970" x14ac:dyDescent="0.2"/>
    <row r="8971" x14ac:dyDescent="0.2"/>
    <row r="8972" x14ac:dyDescent="0.2"/>
    <row r="8973" x14ac:dyDescent="0.2"/>
    <row r="8974" x14ac:dyDescent="0.2"/>
    <row r="8975" x14ac:dyDescent="0.2"/>
    <row r="8976" x14ac:dyDescent="0.2"/>
    <row r="8977" x14ac:dyDescent="0.2"/>
    <row r="8978" x14ac:dyDescent="0.2"/>
    <row r="8979" x14ac:dyDescent="0.2"/>
    <row r="8980" x14ac:dyDescent="0.2"/>
    <row r="8981" x14ac:dyDescent="0.2"/>
    <row r="8982" x14ac:dyDescent="0.2"/>
    <row r="8983" x14ac:dyDescent="0.2"/>
    <row r="8984" x14ac:dyDescent="0.2"/>
    <row r="8985" x14ac:dyDescent="0.2"/>
    <row r="8986" x14ac:dyDescent="0.2"/>
    <row r="8987" x14ac:dyDescent="0.2"/>
    <row r="8988" x14ac:dyDescent="0.2"/>
    <row r="8989" x14ac:dyDescent="0.2"/>
    <row r="8990" x14ac:dyDescent="0.2"/>
    <row r="8991" x14ac:dyDescent="0.2"/>
    <row r="8992" x14ac:dyDescent="0.2"/>
    <row r="8993" x14ac:dyDescent="0.2"/>
    <row r="8994" x14ac:dyDescent="0.2"/>
    <row r="8995" x14ac:dyDescent="0.2"/>
    <row r="8996" x14ac:dyDescent="0.2"/>
    <row r="8997" x14ac:dyDescent="0.2"/>
    <row r="8998" x14ac:dyDescent="0.2"/>
    <row r="8999" x14ac:dyDescent="0.2"/>
    <row r="9000" x14ac:dyDescent="0.2"/>
    <row r="9001" x14ac:dyDescent="0.2"/>
    <row r="9002" x14ac:dyDescent="0.2"/>
    <row r="9003" x14ac:dyDescent="0.2"/>
    <row r="9004" x14ac:dyDescent="0.2"/>
    <row r="9005" x14ac:dyDescent="0.2"/>
    <row r="9006" x14ac:dyDescent="0.2"/>
    <row r="9007" x14ac:dyDescent="0.2"/>
    <row r="9008" x14ac:dyDescent="0.2"/>
    <row r="9009" x14ac:dyDescent="0.2"/>
    <row r="9010" x14ac:dyDescent="0.2"/>
    <row r="9011" x14ac:dyDescent="0.2"/>
    <row r="9012" x14ac:dyDescent="0.2"/>
    <row r="9013" x14ac:dyDescent="0.2"/>
    <row r="9014" x14ac:dyDescent="0.2"/>
    <row r="9015" x14ac:dyDescent="0.2"/>
    <row r="9016" x14ac:dyDescent="0.2"/>
    <row r="9017" x14ac:dyDescent="0.2"/>
    <row r="9018" x14ac:dyDescent="0.2"/>
    <row r="9019" x14ac:dyDescent="0.2"/>
    <row r="9020" x14ac:dyDescent="0.2"/>
    <row r="9021" x14ac:dyDescent="0.2"/>
    <row r="9022" x14ac:dyDescent="0.2"/>
    <row r="9023" x14ac:dyDescent="0.2"/>
    <row r="9024" x14ac:dyDescent="0.2"/>
    <row r="9025" x14ac:dyDescent="0.2"/>
    <row r="9026" x14ac:dyDescent="0.2"/>
    <row r="9027" x14ac:dyDescent="0.2"/>
    <row r="9028" x14ac:dyDescent="0.2"/>
    <row r="9029" x14ac:dyDescent="0.2"/>
    <row r="9030" x14ac:dyDescent="0.2"/>
    <row r="9031" x14ac:dyDescent="0.2"/>
    <row r="9032" x14ac:dyDescent="0.2"/>
    <row r="9033" x14ac:dyDescent="0.2"/>
    <row r="9034" x14ac:dyDescent="0.2"/>
    <row r="9035" x14ac:dyDescent="0.2"/>
    <row r="9036" x14ac:dyDescent="0.2"/>
    <row r="9037" x14ac:dyDescent="0.2"/>
    <row r="9038" x14ac:dyDescent="0.2"/>
    <row r="9039" x14ac:dyDescent="0.2"/>
    <row r="9040" x14ac:dyDescent="0.2"/>
    <row r="9041" x14ac:dyDescent="0.2"/>
    <row r="9042" x14ac:dyDescent="0.2"/>
    <row r="9043" x14ac:dyDescent="0.2"/>
    <row r="9044" x14ac:dyDescent="0.2"/>
    <row r="9045" x14ac:dyDescent="0.2"/>
    <row r="9046" x14ac:dyDescent="0.2"/>
    <row r="9047" x14ac:dyDescent="0.2"/>
    <row r="9048" x14ac:dyDescent="0.2"/>
    <row r="9049" x14ac:dyDescent="0.2"/>
    <row r="9050" x14ac:dyDescent="0.2"/>
    <row r="9051" x14ac:dyDescent="0.2"/>
    <row r="9052" x14ac:dyDescent="0.2"/>
    <row r="9053" x14ac:dyDescent="0.2"/>
    <row r="9054" x14ac:dyDescent="0.2"/>
    <row r="9055" x14ac:dyDescent="0.2"/>
    <row r="9056" x14ac:dyDescent="0.2"/>
    <row r="9057" x14ac:dyDescent="0.2"/>
    <row r="9058" x14ac:dyDescent="0.2"/>
    <row r="9059" x14ac:dyDescent="0.2"/>
    <row r="9060" x14ac:dyDescent="0.2"/>
    <row r="9061" x14ac:dyDescent="0.2"/>
    <row r="9062" x14ac:dyDescent="0.2"/>
    <row r="9063" x14ac:dyDescent="0.2"/>
    <row r="9064" x14ac:dyDescent="0.2"/>
    <row r="9065" x14ac:dyDescent="0.2"/>
    <row r="9066" x14ac:dyDescent="0.2"/>
    <row r="9067" x14ac:dyDescent="0.2"/>
    <row r="9068" x14ac:dyDescent="0.2"/>
    <row r="9069" x14ac:dyDescent="0.2"/>
    <row r="9070" x14ac:dyDescent="0.2"/>
    <row r="9071" x14ac:dyDescent="0.2"/>
    <row r="9072" x14ac:dyDescent="0.2"/>
    <row r="9073" x14ac:dyDescent="0.2"/>
    <row r="9074" x14ac:dyDescent="0.2"/>
    <row r="9075" x14ac:dyDescent="0.2"/>
    <row r="9076" x14ac:dyDescent="0.2"/>
    <row r="9077" x14ac:dyDescent="0.2"/>
    <row r="9078" x14ac:dyDescent="0.2"/>
    <row r="9079" x14ac:dyDescent="0.2"/>
    <row r="9080" x14ac:dyDescent="0.2"/>
    <row r="9081" x14ac:dyDescent="0.2"/>
    <row r="9082" x14ac:dyDescent="0.2"/>
    <row r="9083" x14ac:dyDescent="0.2"/>
    <row r="9084" x14ac:dyDescent="0.2"/>
    <row r="9085" x14ac:dyDescent="0.2"/>
    <row r="9086" x14ac:dyDescent="0.2"/>
    <row r="9087" x14ac:dyDescent="0.2"/>
    <row r="9088" x14ac:dyDescent="0.2"/>
    <row r="9089" x14ac:dyDescent="0.2"/>
    <row r="9090" x14ac:dyDescent="0.2"/>
    <row r="9091" x14ac:dyDescent="0.2"/>
    <row r="9092" x14ac:dyDescent="0.2"/>
    <row r="9093" x14ac:dyDescent="0.2"/>
    <row r="9094" x14ac:dyDescent="0.2"/>
    <row r="9095" x14ac:dyDescent="0.2"/>
    <row r="9096" x14ac:dyDescent="0.2"/>
    <row r="9097" x14ac:dyDescent="0.2"/>
    <row r="9098" x14ac:dyDescent="0.2"/>
    <row r="9099" x14ac:dyDescent="0.2"/>
    <row r="9100" x14ac:dyDescent="0.2"/>
    <row r="9101" x14ac:dyDescent="0.2"/>
    <row r="9102" x14ac:dyDescent="0.2"/>
    <row r="9103" x14ac:dyDescent="0.2"/>
    <row r="9104" x14ac:dyDescent="0.2"/>
    <row r="9105" x14ac:dyDescent="0.2"/>
    <row r="9106" x14ac:dyDescent="0.2"/>
    <row r="9107" x14ac:dyDescent="0.2"/>
    <row r="9108" x14ac:dyDescent="0.2"/>
    <row r="9109" x14ac:dyDescent="0.2"/>
    <row r="9110" x14ac:dyDescent="0.2"/>
    <row r="9111" x14ac:dyDescent="0.2"/>
    <row r="9112" x14ac:dyDescent="0.2"/>
    <row r="9113" x14ac:dyDescent="0.2"/>
    <row r="9114" x14ac:dyDescent="0.2"/>
    <row r="9115" x14ac:dyDescent="0.2"/>
    <row r="9116" x14ac:dyDescent="0.2"/>
    <row r="9117" x14ac:dyDescent="0.2"/>
    <row r="9118" x14ac:dyDescent="0.2"/>
    <row r="9119" x14ac:dyDescent="0.2"/>
    <row r="9120" x14ac:dyDescent="0.2"/>
    <row r="9121" x14ac:dyDescent="0.2"/>
    <row r="9122" x14ac:dyDescent="0.2"/>
    <row r="9123" x14ac:dyDescent="0.2"/>
    <row r="9124" x14ac:dyDescent="0.2"/>
    <row r="9125" x14ac:dyDescent="0.2"/>
    <row r="9126" x14ac:dyDescent="0.2"/>
    <row r="9127" x14ac:dyDescent="0.2"/>
    <row r="9128" x14ac:dyDescent="0.2"/>
    <row r="9129" x14ac:dyDescent="0.2"/>
    <row r="9130" x14ac:dyDescent="0.2"/>
    <row r="9131" x14ac:dyDescent="0.2"/>
    <row r="9132" x14ac:dyDescent="0.2"/>
    <row r="9133" x14ac:dyDescent="0.2"/>
    <row r="9134" x14ac:dyDescent="0.2"/>
    <row r="9135" x14ac:dyDescent="0.2"/>
    <row r="9136" x14ac:dyDescent="0.2"/>
    <row r="9137" x14ac:dyDescent="0.2"/>
    <row r="9138" x14ac:dyDescent="0.2"/>
    <row r="9139" x14ac:dyDescent="0.2"/>
    <row r="9140" x14ac:dyDescent="0.2"/>
    <row r="9141" x14ac:dyDescent="0.2"/>
    <row r="9142" x14ac:dyDescent="0.2"/>
    <row r="9143" x14ac:dyDescent="0.2"/>
    <row r="9144" x14ac:dyDescent="0.2"/>
    <row r="9145" x14ac:dyDescent="0.2"/>
    <row r="9146" x14ac:dyDescent="0.2"/>
    <row r="9147" x14ac:dyDescent="0.2"/>
    <row r="9148" x14ac:dyDescent="0.2"/>
    <row r="9149" x14ac:dyDescent="0.2"/>
    <row r="9150" x14ac:dyDescent="0.2"/>
    <row r="9151" x14ac:dyDescent="0.2"/>
    <row r="9152" x14ac:dyDescent="0.2"/>
    <row r="9153" x14ac:dyDescent="0.2"/>
    <row r="9154" x14ac:dyDescent="0.2"/>
    <row r="9155" x14ac:dyDescent="0.2"/>
    <row r="9156" x14ac:dyDescent="0.2"/>
    <row r="9157" x14ac:dyDescent="0.2"/>
    <row r="9158" x14ac:dyDescent="0.2"/>
    <row r="9159" x14ac:dyDescent="0.2"/>
    <row r="9160" x14ac:dyDescent="0.2"/>
    <row r="9161" x14ac:dyDescent="0.2"/>
    <row r="9162" x14ac:dyDescent="0.2"/>
    <row r="9163" x14ac:dyDescent="0.2"/>
    <row r="9164" x14ac:dyDescent="0.2"/>
    <row r="9165" x14ac:dyDescent="0.2"/>
    <row r="9166" x14ac:dyDescent="0.2"/>
    <row r="9167" x14ac:dyDescent="0.2"/>
    <row r="9168" x14ac:dyDescent="0.2"/>
    <row r="9169" x14ac:dyDescent="0.2"/>
    <row r="9170" x14ac:dyDescent="0.2"/>
    <row r="9171" x14ac:dyDescent="0.2"/>
    <row r="9172" x14ac:dyDescent="0.2"/>
    <row r="9173" x14ac:dyDescent="0.2"/>
    <row r="9174" x14ac:dyDescent="0.2"/>
    <row r="9175" x14ac:dyDescent="0.2"/>
    <row r="9176" x14ac:dyDescent="0.2"/>
    <row r="9177" x14ac:dyDescent="0.2"/>
    <row r="9178" x14ac:dyDescent="0.2"/>
    <row r="9179" x14ac:dyDescent="0.2"/>
    <row r="9180" x14ac:dyDescent="0.2"/>
    <row r="9181" x14ac:dyDescent="0.2"/>
    <row r="9182" x14ac:dyDescent="0.2"/>
    <row r="9183" x14ac:dyDescent="0.2"/>
    <row r="9184" x14ac:dyDescent="0.2"/>
    <row r="9185" x14ac:dyDescent="0.2"/>
    <row r="9186" x14ac:dyDescent="0.2"/>
    <row r="9187" x14ac:dyDescent="0.2"/>
    <row r="9188" x14ac:dyDescent="0.2"/>
    <row r="9189" x14ac:dyDescent="0.2"/>
    <row r="9190" x14ac:dyDescent="0.2"/>
    <row r="9191" x14ac:dyDescent="0.2"/>
    <row r="9192" x14ac:dyDescent="0.2"/>
    <row r="9193" x14ac:dyDescent="0.2"/>
    <row r="9194" x14ac:dyDescent="0.2"/>
    <row r="9195" x14ac:dyDescent="0.2"/>
    <row r="9196" x14ac:dyDescent="0.2"/>
    <row r="9197" x14ac:dyDescent="0.2"/>
    <row r="9198" x14ac:dyDescent="0.2"/>
    <row r="9199" x14ac:dyDescent="0.2"/>
    <row r="9200" x14ac:dyDescent="0.2"/>
    <row r="9201" x14ac:dyDescent="0.2"/>
    <row r="9202" x14ac:dyDescent="0.2"/>
    <row r="9203" x14ac:dyDescent="0.2"/>
    <row r="9204" x14ac:dyDescent="0.2"/>
    <row r="9205" x14ac:dyDescent="0.2"/>
    <row r="9206" x14ac:dyDescent="0.2"/>
    <row r="9207" x14ac:dyDescent="0.2"/>
    <row r="9208" x14ac:dyDescent="0.2"/>
    <row r="9209" x14ac:dyDescent="0.2"/>
    <row r="9210" x14ac:dyDescent="0.2"/>
    <row r="9211" x14ac:dyDescent="0.2"/>
    <row r="9212" x14ac:dyDescent="0.2"/>
    <row r="9213" x14ac:dyDescent="0.2"/>
    <row r="9214" x14ac:dyDescent="0.2"/>
    <row r="9215" x14ac:dyDescent="0.2"/>
    <row r="9216" x14ac:dyDescent="0.2"/>
    <row r="9217" x14ac:dyDescent="0.2"/>
    <row r="9218" x14ac:dyDescent="0.2"/>
    <row r="9219" x14ac:dyDescent="0.2"/>
    <row r="9220" x14ac:dyDescent="0.2"/>
    <row r="9221" x14ac:dyDescent="0.2"/>
    <row r="9222" x14ac:dyDescent="0.2"/>
    <row r="9223" x14ac:dyDescent="0.2"/>
    <row r="9224" x14ac:dyDescent="0.2"/>
    <row r="9225" x14ac:dyDescent="0.2"/>
    <row r="9226" x14ac:dyDescent="0.2"/>
    <row r="9227" x14ac:dyDescent="0.2"/>
    <row r="9228" x14ac:dyDescent="0.2"/>
    <row r="9229" x14ac:dyDescent="0.2"/>
    <row r="9230" x14ac:dyDescent="0.2"/>
    <row r="9231" x14ac:dyDescent="0.2"/>
    <row r="9232" x14ac:dyDescent="0.2"/>
    <row r="9233" x14ac:dyDescent="0.2"/>
    <row r="9234" x14ac:dyDescent="0.2"/>
    <row r="9235" x14ac:dyDescent="0.2"/>
    <row r="9236" x14ac:dyDescent="0.2"/>
    <row r="9237" x14ac:dyDescent="0.2"/>
    <row r="9238" x14ac:dyDescent="0.2"/>
    <row r="9239" x14ac:dyDescent="0.2"/>
    <row r="9240" x14ac:dyDescent="0.2"/>
    <row r="9241" x14ac:dyDescent="0.2"/>
    <row r="9242" x14ac:dyDescent="0.2"/>
    <row r="9243" x14ac:dyDescent="0.2"/>
    <row r="9244" x14ac:dyDescent="0.2"/>
    <row r="9245" x14ac:dyDescent="0.2"/>
    <row r="9246" x14ac:dyDescent="0.2"/>
    <row r="9247" x14ac:dyDescent="0.2"/>
    <row r="9248" x14ac:dyDescent="0.2"/>
    <row r="9249" x14ac:dyDescent="0.2"/>
    <row r="9250" x14ac:dyDescent="0.2"/>
    <row r="9251" x14ac:dyDescent="0.2"/>
    <row r="9252" x14ac:dyDescent="0.2"/>
    <row r="9253" x14ac:dyDescent="0.2"/>
    <row r="9254" x14ac:dyDescent="0.2"/>
    <row r="9255" x14ac:dyDescent="0.2"/>
    <row r="9256" x14ac:dyDescent="0.2"/>
    <row r="9257" x14ac:dyDescent="0.2"/>
    <row r="9258" x14ac:dyDescent="0.2"/>
    <row r="9259" x14ac:dyDescent="0.2"/>
    <row r="9260" x14ac:dyDescent="0.2"/>
    <row r="9261" x14ac:dyDescent="0.2"/>
    <row r="9262" x14ac:dyDescent="0.2"/>
    <row r="9263" x14ac:dyDescent="0.2"/>
    <row r="9264" x14ac:dyDescent="0.2"/>
    <row r="9265" x14ac:dyDescent="0.2"/>
    <row r="9266" x14ac:dyDescent="0.2"/>
    <row r="9267" x14ac:dyDescent="0.2"/>
    <row r="9268" x14ac:dyDescent="0.2"/>
    <row r="9269" x14ac:dyDescent="0.2"/>
    <row r="9270" x14ac:dyDescent="0.2"/>
    <row r="9271" x14ac:dyDescent="0.2"/>
    <row r="9272" x14ac:dyDescent="0.2"/>
    <row r="9273" x14ac:dyDescent="0.2"/>
    <row r="9274" x14ac:dyDescent="0.2"/>
    <row r="9275" x14ac:dyDescent="0.2"/>
    <row r="9276" x14ac:dyDescent="0.2"/>
    <row r="9277" x14ac:dyDescent="0.2"/>
    <row r="9278" x14ac:dyDescent="0.2"/>
    <row r="9279" x14ac:dyDescent="0.2"/>
    <row r="9280" x14ac:dyDescent="0.2"/>
    <row r="9281" x14ac:dyDescent="0.2"/>
    <row r="9282" x14ac:dyDescent="0.2"/>
    <row r="9283" x14ac:dyDescent="0.2"/>
    <row r="9284" x14ac:dyDescent="0.2"/>
    <row r="9285" x14ac:dyDescent="0.2"/>
    <row r="9286" x14ac:dyDescent="0.2"/>
    <row r="9287" x14ac:dyDescent="0.2"/>
    <row r="9288" x14ac:dyDescent="0.2"/>
    <row r="9289" x14ac:dyDescent="0.2"/>
    <row r="9290" x14ac:dyDescent="0.2"/>
    <row r="9291" x14ac:dyDescent="0.2"/>
    <row r="9292" x14ac:dyDescent="0.2"/>
    <row r="9293" x14ac:dyDescent="0.2"/>
    <row r="9294" x14ac:dyDescent="0.2"/>
    <row r="9295" x14ac:dyDescent="0.2"/>
    <row r="9296" x14ac:dyDescent="0.2"/>
    <row r="9297" x14ac:dyDescent="0.2"/>
    <row r="9298" x14ac:dyDescent="0.2"/>
    <row r="9299" x14ac:dyDescent="0.2"/>
    <row r="9300" x14ac:dyDescent="0.2"/>
    <row r="9301" x14ac:dyDescent="0.2"/>
    <row r="9302" x14ac:dyDescent="0.2"/>
    <row r="9303" x14ac:dyDescent="0.2"/>
    <row r="9304" x14ac:dyDescent="0.2"/>
    <row r="9305" x14ac:dyDescent="0.2"/>
    <row r="9306" x14ac:dyDescent="0.2"/>
    <row r="9307" x14ac:dyDescent="0.2"/>
    <row r="9308" x14ac:dyDescent="0.2"/>
    <row r="9309" x14ac:dyDescent="0.2"/>
    <row r="9310" x14ac:dyDescent="0.2"/>
    <row r="9311" x14ac:dyDescent="0.2"/>
    <row r="9312" x14ac:dyDescent="0.2"/>
    <row r="9313" x14ac:dyDescent="0.2"/>
    <row r="9314" x14ac:dyDescent="0.2"/>
    <row r="9315" x14ac:dyDescent="0.2"/>
    <row r="9316" x14ac:dyDescent="0.2"/>
    <row r="9317" x14ac:dyDescent="0.2"/>
    <row r="9318" x14ac:dyDescent="0.2"/>
    <row r="9319" x14ac:dyDescent="0.2"/>
    <row r="9320" x14ac:dyDescent="0.2"/>
    <row r="9321" x14ac:dyDescent="0.2"/>
    <row r="9322" x14ac:dyDescent="0.2"/>
    <row r="9323" x14ac:dyDescent="0.2"/>
    <row r="9324" x14ac:dyDescent="0.2"/>
    <row r="9325" x14ac:dyDescent="0.2"/>
    <row r="9326" x14ac:dyDescent="0.2"/>
    <row r="9327" x14ac:dyDescent="0.2"/>
    <row r="9328" x14ac:dyDescent="0.2"/>
    <row r="9329" x14ac:dyDescent="0.2"/>
    <row r="9330" x14ac:dyDescent="0.2"/>
    <row r="9331" x14ac:dyDescent="0.2"/>
    <row r="9332" x14ac:dyDescent="0.2"/>
    <row r="9333" x14ac:dyDescent="0.2"/>
    <row r="9334" x14ac:dyDescent="0.2"/>
    <row r="9335" x14ac:dyDescent="0.2"/>
    <row r="9336" x14ac:dyDescent="0.2"/>
    <row r="9337" x14ac:dyDescent="0.2"/>
    <row r="9338" x14ac:dyDescent="0.2"/>
    <row r="9339" x14ac:dyDescent="0.2"/>
    <row r="9340" x14ac:dyDescent="0.2"/>
    <row r="9341" x14ac:dyDescent="0.2"/>
    <row r="9342" x14ac:dyDescent="0.2"/>
    <row r="9343" x14ac:dyDescent="0.2"/>
    <row r="9344" x14ac:dyDescent="0.2"/>
    <row r="9345" x14ac:dyDescent="0.2"/>
    <row r="9346" x14ac:dyDescent="0.2"/>
    <row r="9347" x14ac:dyDescent="0.2"/>
    <row r="9348" x14ac:dyDescent="0.2"/>
    <row r="9349" x14ac:dyDescent="0.2"/>
    <row r="9350" x14ac:dyDescent="0.2"/>
    <row r="9351" x14ac:dyDescent="0.2"/>
    <row r="9352" x14ac:dyDescent="0.2"/>
    <row r="9353" x14ac:dyDescent="0.2"/>
    <row r="9354" x14ac:dyDescent="0.2"/>
    <row r="9355" x14ac:dyDescent="0.2"/>
    <row r="9356" x14ac:dyDescent="0.2"/>
    <row r="9357" x14ac:dyDescent="0.2"/>
    <row r="9358" x14ac:dyDescent="0.2"/>
    <row r="9359" x14ac:dyDescent="0.2"/>
    <row r="9360" x14ac:dyDescent="0.2"/>
    <row r="9361" x14ac:dyDescent="0.2"/>
    <row r="9362" x14ac:dyDescent="0.2"/>
    <row r="9363" x14ac:dyDescent="0.2"/>
    <row r="9364" x14ac:dyDescent="0.2"/>
    <row r="9365" x14ac:dyDescent="0.2"/>
    <row r="9366" x14ac:dyDescent="0.2"/>
    <row r="9367" x14ac:dyDescent="0.2"/>
    <row r="9368" x14ac:dyDescent="0.2"/>
    <row r="9369" x14ac:dyDescent="0.2"/>
    <row r="9370" x14ac:dyDescent="0.2"/>
    <row r="9371" x14ac:dyDescent="0.2"/>
    <row r="9372" x14ac:dyDescent="0.2"/>
    <row r="9373" x14ac:dyDescent="0.2"/>
    <row r="9374" x14ac:dyDescent="0.2"/>
    <row r="9375" x14ac:dyDescent="0.2"/>
    <row r="9376" x14ac:dyDescent="0.2"/>
    <row r="9377" x14ac:dyDescent="0.2"/>
    <row r="9378" x14ac:dyDescent="0.2"/>
    <row r="9379" x14ac:dyDescent="0.2"/>
    <row r="9380" x14ac:dyDescent="0.2"/>
    <row r="9381" x14ac:dyDescent="0.2"/>
    <row r="9382" x14ac:dyDescent="0.2"/>
    <row r="9383" x14ac:dyDescent="0.2"/>
    <row r="9384" x14ac:dyDescent="0.2"/>
    <row r="9385" x14ac:dyDescent="0.2"/>
    <row r="9386" x14ac:dyDescent="0.2"/>
    <row r="9387" x14ac:dyDescent="0.2"/>
    <row r="9388" x14ac:dyDescent="0.2"/>
    <row r="9389" x14ac:dyDescent="0.2"/>
    <row r="9390" x14ac:dyDescent="0.2"/>
    <row r="9391" x14ac:dyDescent="0.2"/>
    <row r="9392" x14ac:dyDescent="0.2"/>
    <row r="9393" x14ac:dyDescent="0.2"/>
    <row r="9394" x14ac:dyDescent="0.2"/>
    <row r="9395" x14ac:dyDescent="0.2"/>
    <row r="9396" x14ac:dyDescent="0.2"/>
    <row r="9397" x14ac:dyDescent="0.2"/>
    <row r="9398" x14ac:dyDescent="0.2"/>
    <row r="9399" x14ac:dyDescent="0.2"/>
    <row r="9400" x14ac:dyDescent="0.2"/>
    <row r="9401" x14ac:dyDescent="0.2"/>
    <row r="9402" x14ac:dyDescent="0.2"/>
    <row r="9403" x14ac:dyDescent="0.2"/>
    <row r="9404" x14ac:dyDescent="0.2"/>
    <row r="9405" x14ac:dyDescent="0.2"/>
    <row r="9406" x14ac:dyDescent="0.2"/>
    <row r="9407" x14ac:dyDescent="0.2"/>
    <row r="9408" x14ac:dyDescent="0.2"/>
    <row r="9409" x14ac:dyDescent="0.2"/>
    <row r="9410" x14ac:dyDescent="0.2"/>
    <row r="9411" x14ac:dyDescent="0.2"/>
    <row r="9412" x14ac:dyDescent="0.2"/>
    <row r="9413" x14ac:dyDescent="0.2"/>
    <row r="9414" x14ac:dyDescent="0.2"/>
    <row r="9415" x14ac:dyDescent="0.2"/>
    <row r="9416" x14ac:dyDescent="0.2"/>
    <row r="9417" x14ac:dyDescent="0.2"/>
    <row r="9418" x14ac:dyDescent="0.2"/>
    <row r="9419" x14ac:dyDescent="0.2"/>
    <row r="9420" x14ac:dyDescent="0.2"/>
    <row r="9421" x14ac:dyDescent="0.2"/>
    <row r="9422" x14ac:dyDescent="0.2"/>
    <row r="9423" x14ac:dyDescent="0.2"/>
    <row r="9424" x14ac:dyDescent="0.2"/>
    <row r="9425" x14ac:dyDescent="0.2"/>
    <row r="9426" x14ac:dyDescent="0.2"/>
    <row r="9427" x14ac:dyDescent="0.2"/>
    <row r="9428" x14ac:dyDescent="0.2"/>
    <row r="9429" x14ac:dyDescent="0.2"/>
    <row r="9430" x14ac:dyDescent="0.2"/>
    <row r="9431" x14ac:dyDescent="0.2"/>
    <row r="9432" x14ac:dyDescent="0.2"/>
    <row r="9433" x14ac:dyDescent="0.2"/>
    <row r="9434" x14ac:dyDescent="0.2"/>
    <row r="9435" x14ac:dyDescent="0.2"/>
    <row r="9436" x14ac:dyDescent="0.2"/>
    <row r="9437" x14ac:dyDescent="0.2"/>
    <row r="9438" x14ac:dyDescent="0.2"/>
    <row r="9439" x14ac:dyDescent="0.2"/>
    <row r="9440" x14ac:dyDescent="0.2"/>
    <row r="9441" x14ac:dyDescent="0.2"/>
    <row r="9442" x14ac:dyDescent="0.2"/>
    <row r="9443" x14ac:dyDescent="0.2"/>
    <row r="9444" x14ac:dyDescent="0.2"/>
    <row r="9445" x14ac:dyDescent="0.2"/>
    <row r="9446" x14ac:dyDescent="0.2"/>
    <row r="9447" x14ac:dyDescent="0.2"/>
    <row r="9448" x14ac:dyDescent="0.2"/>
    <row r="9449" x14ac:dyDescent="0.2"/>
    <row r="9450" x14ac:dyDescent="0.2"/>
    <row r="9451" x14ac:dyDescent="0.2"/>
    <row r="9452" x14ac:dyDescent="0.2"/>
    <row r="9453" x14ac:dyDescent="0.2"/>
    <row r="9454" x14ac:dyDescent="0.2"/>
    <row r="9455" x14ac:dyDescent="0.2"/>
    <row r="9456" x14ac:dyDescent="0.2"/>
    <row r="9457" x14ac:dyDescent="0.2"/>
    <row r="9458" x14ac:dyDescent="0.2"/>
    <row r="9459" x14ac:dyDescent="0.2"/>
    <row r="9460" x14ac:dyDescent="0.2"/>
    <row r="9461" x14ac:dyDescent="0.2"/>
    <row r="9462" x14ac:dyDescent="0.2"/>
    <row r="9463" x14ac:dyDescent="0.2"/>
    <row r="9464" x14ac:dyDescent="0.2"/>
    <row r="9465" x14ac:dyDescent="0.2"/>
    <row r="9466" x14ac:dyDescent="0.2"/>
    <row r="9467" x14ac:dyDescent="0.2"/>
    <row r="9468" x14ac:dyDescent="0.2"/>
    <row r="9469" x14ac:dyDescent="0.2"/>
    <row r="9470" x14ac:dyDescent="0.2"/>
    <row r="9471" x14ac:dyDescent="0.2"/>
    <row r="9472" x14ac:dyDescent="0.2"/>
    <row r="9473" x14ac:dyDescent="0.2"/>
    <row r="9474" x14ac:dyDescent="0.2"/>
    <row r="9475" x14ac:dyDescent="0.2"/>
    <row r="9476" x14ac:dyDescent="0.2"/>
    <row r="9477" x14ac:dyDescent="0.2"/>
    <row r="9478" x14ac:dyDescent="0.2"/>
    <row r="9479" x14ac:dyDescent="0.2"/>
    <row r="9480" x14ac:dyDescent="0.2"/>
    <row r="9481" x14ac:dyDescent="0.2"/>
    <row r="9482" x14ac:dyDescent="0.2"/>
    <row r="9483" x14ac:dyDescent="0.2"/>
    <row r="9484" x14ac:dyDescent="0.2"/>
    <row r="9485" x14ac:dyDescent="0.2"/>
    <row r="9486" x14ac:dyDescent="0.2"/>
    <row r="9487" x14ac:dyDescent="0.2"/>
    <row r="9488" x14ac:dyDescent="0.2"/>
    <row r="9489" x14ac:dyDescent="0.2"/>
    <row r="9490" x14ac:dyDescent="0.2"/>
    <row r="9491" x14ac:dyDescent="0.2"/>
    <row r="9492" x14ac:dyDescent="0.2"/>
    <row r="9493" x14ac:dyDescent="0.2"/>
    <row r="9494" x14ac:dyDescent="0.2"/>
    <row r="9495" x14ac:dyDescent="0.2"/>
    <row r="9496" x14ac:dyDescent="0.2"/>
    <row r="9497" x14ac:dyDescent="0.2"/>
    <row r="9498" x14ac:dyDescent="0.2"/>
    <row r="9499" x14ac:dyDescent="0.2"/>
    <row r="9500" x14ac:dyDescent="0.2"/>
    <row r="9501" x14ac:dyDescent="0.2"/>
    <row r="9502" x14ac:dyDescent="0.2"/>
    <row r="9503" x14ac:dyDescent="0.2"/>
    <row r="9504" x14ac:dyDescent="0.2"/>
    <row r="9505" x14ac:dyDescent="0.2"/>
    <row r="9506" x14ac:dyDescent="0.2"/>
    <row r="9507" x14ac:dyDescent="0.2"/>
    <row r="9508" x14ac:dyDescent="0.2"/>
    <row r="9509" x14ac:dyDescent="0.2"/>
    <row r="9510" x14ac:dyDescent="0.2"/>
    <row r="9511" x14ac:dyDescent="0.2"/>
    <row r="9512" x14ac:dyDescent="0.2"/>
    <row r="9513" x14ac:dyDescent="0.2"/>
    <row r="9514" x14ac:dyDescent="0.2"/>
    <row r="9515" x14ac:dyDescent="0.2"/>
    <row r="9516" x14ac:dyDescent="0.2"/>
    <row r="9517" x14ac:dyDescent="0.2"/>
    <row r="9518" x14ac:dyDescent="0.2"/>
    <row r="9519" x14ac:dyDescent="0.2"/>
    <row r="9520" x14ac:dyDescent="0.2"/>
    <row r="9521" x14ac:dyDescent="0.2"/>
    <row r="9522" x14ac:dyDescent="0.2"/>
    <row r="9523" x14ac:dyDescent="0.2"/>
    <row r="9524" x14ac:dyDescent="0.2"/>
    <row r="9525" x14ac:dyDescent="0.2"/>
    <row r="9526" x14ac:dyDescent="0.2"/>
    <row r="9527" x14ac:dyDescent="0.2"/>
    <row r="9528" x14ac:dyDescent="0.2"/>
    <row r="9529" x14ac:dyDescent="0.2"/>
    <row r="9530" x14ac:dyDescent="0.2"/>
    <row r="9531" x14ac:dyDescent="0.2"/>
    <row r="9532" x14ac:dyDescent="0.2"/>
    <row r="9533" x14ac:dyDescent="0.2"/>
    <row r="9534" x14ac:dyDescent="0.2"/>
    <row r="9535" x14ac:dyDescent="0.2"/>
    <row r="9536" x14ac:dyDescent="0.2"/>
    <row r="9537" x14ac:dyDescent="0.2"/>
    <row r="9538" x14ac:dyDescent="0.2"/>
    <row r="9539" x14ac:dyDescent="0.2"/>
    <row r="9540" x14ac:dyDescent="0.2"/>
    <row r="9541" x14ac:dyDescent="0.2"/>
    <row r="9542" x14ac:dyDescent="0.2"/>
    <row r="9543" x14ac:dyDescent="0.2"/>
    <row r="9544" x14ac:dyDescent="0.2"/>
    <row r="9545" x14ac:dyDescent="0.2"/>
    <row r="9546" x14ac:dyDescent="0.2"/>
    <row r="9547" x14ac:dyDescent="0.2"/>
    <row r="9548" x14ac:dyDescent="0.2"/>
    <row r="9549" x14ac:dyDescent="0.2"/>
    <row r="9550" x14ac:dyDescent="0.2"/>
    <row r="9551" x14ac:dyDescent="0.2"/>
    <row r="9552" x14ac:dyDescent="0.2"/>
    <row r="9553" x14ac:dyDescent="0.2"/>
    <row r="9554" x14ac:dyDescent="0.2"/>
    <row r="9555" x14ac:dyDescent="0.2"/>
    <row r="9556" x14ac:dyDescent="0.2"/>
    <row r="9557" x14ac:dyDescent="0.2"/>
    <row r="9558" x14ac:dyDescent="0.2"/>
    <row r="9559" x14ac:dyDescent="0.2"/>
    <row r="9560" x14ac:dyDescent="0.2"/>
    <row r="9561" x14ac:dyDescent="0.2"/>
    <row r="9562" x14ac:dyDescent="0.2"/>
    <row r="9563" x14ac:dyDescent="0.2"/>
    <row r="9564" x14ac:dyDescent="0.2"/>
    <row r="9565" x14ac:dyDescent="0.2"/>
    <row r="9566" x14ac:dyDescent="0.2"/>
    <row r="9567" x14ac:dyDescent="0.2"/>
    <row r="9568" x14ac:dyDescent="0.2"/>
    <row r="9569" x14ac:dyDescent="0.2"/>
    <row r="9570" x14ac:dyDescent="0.2"/>
    <row r="9571" x14ac:dyDescent="0.2"/>
    <row r="9572" x14ac:dyDescent="0.2"/>
    <row r="9573" x14ac:dyDescent="0.2"/>
    <row r="9574" x14ac:dyDescent="0.2"/>
    <row r="9575" x14ac:dyDescent="0.2"/>
    <row r="9576" x14ac:dyDescent="0.2"/>
    <row r="9577" x14ac:dyDescent="0.2"/>
    <row r="9578" x14ac:dyDescent="0.2"/>
    <row r="9579" x14ac:dyDescent="0.2"/>
    <row r="9580" x14ac:dyDescent="0.2"/>
    <row r="9581" x14ac:dyDescent="0.2"/>
    <row r="9582" x14ac:dyDescent="0.2"/>
    <row r="9583" x14ac:dyDescent="0.2"/>
    <row r="9584" x14ac:dyDescent="0.2"/>
    <row r="9585" x14ac:dyDescent="0.2"/>
    <row r="9586" x14ac:dyDescent="0.2"/>
    <row r="9587" x14ac:dyDescent="0.2"/>
    <row r="9588" x14ac:dyDescent="0.2"/>
    <row r="9589" x14ac:dyDescent="0.2"/>
    <row r="9590" x14ac:dyDescent="0.2"/>
    <row r="9591" x14ac:dyDescent="0.2"/>
    <row r="9592" x14ac:dyDescent="0.2"/>
    <row r="9593" x14ac:dyDescent="0.2"/>
    <row r="9594" x14ac:dyDescent="0.2"/>
    <row r="9595" x14ac:dyDescent="0.2"/>
    <row r="9596" x14ac:dyDescent="0.2"/>
    <row r="9597" x14ac:dyDescent="0.2"/>
    <row r="9598" x14ac:dyDescent="0.2"/>
    <row r="9599" x14ac:dyDescent="0.2"/>
    <row r="9600" x14ac:dyDescent="0.2"/>
    <row r="9601" x14ac:dyDescent="0.2"/>
    <row r="9602" x14ac:dyDescent="0.2"/>
    <row r="9603" x14ac:dyDescent="0.2"/>
    <row r="9604" x14ac:dyDescent="0.2"/>
    <row r="9605" x14ac:dyDescent="0.2"/>
    <row r="9606" x14ac:dyDescent="0.2"/>
    <row r="9607" x14ac:dyDescent="0.2"/>
    <row r="9608" x14ac:dyDescent="0.2"/>
    <row r="9609" x14ac:dyDescent="0.2"/>
    <row r="9610" x14ac:dyDescent="0.2"/>
    <row r="9611" x14ac:dyDescent="0.2"/>
    <row r="9612" x14ac:dyDescent="0.2"/>
    <row r="9613" x14ac:dyDescent="0.2"/>
    <row r="9614" x14ac:dyDescent="0.2"/>
    <row r="9615" x14ac:dyDescent="0.2"/>
    <row r="9616" x14ac:dyDescent="0.2"/>
    <row r="9617" x14ac:dyDescent="0.2"/>
    <row r="9618" x14ac:dyDescent="0.2"/>
    <row r="9619" x14ac:dyDescent="0.2"/>
    <row r="9620" x14ac:dyDescent="0.2"/>
    <row r="9621" x14ac:dyDescent="0.2"/>
    <row r="9622" x14ac:dyDescent="0.2"/>
    <row r="9623" x14ac:dyDescent="0.2"/>
    <row r="9624" x14ac:dyDescent="0.2"/>
    <row r="9625" x14ac:dyDescent="0.2"/>
    <row r="9626" x14ac:dyDescent="0.2"/>
    <row r="9627" x14ac:dyDescent="0.2"/>
    <row r="9628" x14ac:dyDescent="0.2"/>
    <row r="9629" x14ac:dyDescent="0.2"/>
    <row r="9630" x14ac:dyDescent="0.2"/>
    <row r="9631" x14ac:dyDescent="0.2"/>
    <row r="9632" x14ac:dyDescent="0.2"/>
    <row r="9633" x14ac:dyDescent="0.2"/>
    <row r="9634" x14ac:dyDescent="0.2"/>
    <row r="9635" x14ac:dyDescent="0.2"/>
    <row r="9636" x14ac:dyDescent="0.2"/>
    <row r="9637" x14ac:dyDescent="0.2"/>
    <row r="9638" x14ac:dyDescent="0.2"/>
    <row r="9639" x14ac:dyDescent="0.2"/>
    <row r="9640" x14ac:dyDescent="0.2"/>
    <row r="9641" x14ac:dyDescent="0.2"/>
    <row r="9642" x14ac:dyDescent="0.2"/>
    <row r="9643" x14ac:dyDescent="0.2"/>
    <row r="9644" x14ac:dyDescent="0.2"/>
    <row r="9645" x14ac:dyDescent="0.2"/>
    <row r="9646" x14ac:dyDescent="0.2"/>
    <row r="9647" x14ac:dyDescent="0.2"/>
    <row r="9648" x14ac:dyDescent="0.2"/>
    <row r="9649" x14ac:dyDescent="0.2"/>
    <row r="9650" x14ac:dyDescent="0.2"/>
    <row r="9651" x14ac:dyDescent="0.2"/>
    <row r="9652" x14ac:dyDescent="0.2"/>
    <row r="9653" x14ac:dyDescent="0.2"/>
    <row r="9654" x14ac:dyDescent="0.2"/>
    <row r="9655" x14ac:dyDescent="0.2"/>
    <row r="9656" x14ac:dyDescent="0.2"/>
    <row r="9657" x14ac:dyDescent="0.2"/>
    <row r="9658" x14ac:dyDescent="0.2"/>
    <row r="9659" x14ac:dyDescent="0.2"/>
    <row r="9660" x14ac:dyDescent="0.2"/>
    <row r="9661" x14ac:dyDescent="0.2"/>
    <row r="9662" x14ac:dyDescent="0.2"/>
    <row r="9663" x14ac:dyDescent="0.2"/>
    <row r="9664" x14ac:dyDescent="0.2"/>
    <row r="9665" x14ac:dyDescent="0.2"/>
    <row r="9666" x14ac:dyDescent="0.2"/>
    <row r="9667" x14ac:dyDescent="0.2"/>
    <row r="9668" x14ac:dyDescent="0.2"/>
    <row r="9669" x14ac:dyDescent="0.2"/>
    <row r="9670" x14ac:dyDescent="0.2"/>
    <row r="9671" x14ac:dyDescent="0.2"/>
    <row r="9672" x14ac:dyDescent="0.2"/>
    <row r="9673" x14ac:dyDescent="0.2"/>
    <row r="9674" x14ac:dyDescent="0.2"/>
    <row r="9675" x14ac:dyDescent="0.2"/>
    <row r="9676" x14ac:dyDescent="0.2"/>
    <row r="9677" x14ac:dyDescent="0.2"/>
    <row r="9678" x14ac:dyDescent="0.2"/>
    <row r="9679" x14ac:dyDescent="0.2"/>
    <row r="9680" x14ac:dyDescent="0.2"/>
    <row r="9681" x14ac:dyDescent="0.2"/>
    <row r="9682" x14ac:dyDescent="0.2"/>
    <row r="9683" x14ac:dyDescent="0.2"/>
    <row r="9684" x14ac:dyDescent="0.2"/>
    <row r="9685" x14ac:dyDescent="0.2"/>
    <row r="9686" x14ac:dyDescent="0.2"/>
    <row r="9687" x14ac:dyDescent="0.2"/>
    <row r="9688" x14ac:dyDescent="0.2"/>
    <row r="9689" x14ac:dyDescent="0.2"/>
    <row r="9690" x14ac:dyDescent="0.2"/>
    <row r="9691" x14ac:dyDescent="0.2"/>
    <row r="9692" x14ac:dyDescent="0.2"/>
    <row r="9693" x14ac:dyDescent="0.2"/>
    <row r="9694" x14ac:dyDescent="0.2"/>
    <row r="9695" x14ac:dyDescent="0.2"/>
    <row r="9696" x14ac:dyDescent="0.2"/>
    <row r="9697" x14ac:dyDescent="0.2"/>
    <row r="9698" x14ac:dyDescent="0.2"/>
    <row r="9699" x14ac:dyDescent="0.2"/>
    <row r="9700" x14ac:dyDescent="0.2"/>
    <row r="9701" x14ac:dyDescent="0.2"/>
    <row r="9702" x14ac:dyDescent="0.2"/>
    <row r="9703" x14ac:dyDescent="0.2"/>
    <row r="9704" x14ac:dyDescent="0.2"/>
    <row r="9705" x14ac:dyDescent="0.2"/>
    <row r="9706" x14ac:dyDescent="0.2"/>
    <row r="9707" x14ac:dyDescent="0.2"/>
    <row r="9708" x14ac:dyDescent="0.2"/>
    <row r="9709" x14ac:dyDescent="0.2"/>
    <row r="9710" x14ac:dyDescent="0.2"/>
    <row r="9711" x14ac:dyDescent="0.2"/>
    <row r="9712" x14ac:dyDescent="0.2"/>
    <row r="9713" x14ac:dyDescent="0.2"/>
    <row r="9714" x14ac:dyDescent="0.2"/>
    <row r="9715" x14ac:dyDescent="0.2"/>
    <row r="9716" x14ac:dyDescent="0.2"/>
    <row r="9717" x14ac:dyDescent="0.2"/>
    <row r="9718" x14ac:dyDescent="0.2"/>
    <row r="9719" x14ac:dyDescent="0.2"/>
    <row r="9720" x14ac:dyDescent="0.2"/>
    <row r="9721" x14ac:dyDescent="0.2"/>
    <row r="9722" x14ac:dyDescent="0.2"/>
    <row r="9723" x14ac:dyDescent="0.2"/>
    <row r="9724" x14ac:dyDescent="0.2"/>
    <row r="9725" x14ac:dyDescent="0.2"/>
    <row r="9726" x14ac:dyDescent="0.2"/>
    <row r="9727" x14ac:dyDescent="0.2"/>
    <row r="9728" x14ac:dyDescent="0.2"/>
    <row r="9729" x14ac:dyDescent="0.2"/>
    <row r="9730" x14ac:dyDescent="0.2"/>
    <row r="9731" x14ac:dyDescent="0.2"/>
    <row r="9732" x14ac:dyDescent="0.2"/>
    <row r="9733" x14ac:dyDescent="0.2"/>
    <row r="9734" x14ac:dyDescent="0.2"/>
    <row r="9735" x14ac:dyDescent="0.2"/>
    <row r="9736" x14ac:dyDescent="0.2"/>
    <row r="9737" x14ac:dyDescent="0.2"/>
    <row r="9738" x14ac:dyDescent="0.2"/>
    <row r="9739" x14ac:dyDescent="0.2"/>
    <row r="9740" x14ac:dyDescent="0.2"/>
    <row r="9741" x14ac:dyDescent="0.2"/>
    <row r="9742" x14ac:dyDescent="0.2"/>
    <row r="9743" x14ac:dyDescent="0.2"/>
    <row r="9744" x14ac:dyDescent="0.2"/>
    <row r="9745" x14ac:dyDescent="0.2"/>
    <row r="9746" x14ac:dyDescent="0.2"/>
    <row r="9747" x14ac:dyDescent="0.2"/>
    <row r="9748" x14ac:dyDescent="0.2"/>
    <row r="9749" x14ac:dyDescent="0.2"/>
    <row r="9750" x14ac:dyDescent="0.2"/>
    <row r="9751" x14ac:dyDescent="0.2"/>
    <row r="9752" x14ac:dyDescent="0.2"/>
    <row r="9753" x14ac:dyDescent="0.2"/>
    <row r="9754" x14ac:dyDescent="0.2"/>
    <row r="9755" x14ac:dyDescent="0.2"/>
    <row r="9756" x14ac:dyDescent="0.2"/>
    <row r="9757" x14ac:dyDescent="0.2"/>
    <row r="9758" x14ac:dyDescent="0.2"/>
    <row r="9759" x14ac:dyDescent="0.2"/>
    <row r="9760" x14ac:dyDescent="0.2"/>
    <row r="9761" x14ac:dyDescent="0.2"/>
    <row r="9762" x14ac:dyDescent="0.2"/>
    <row r="9763" x14ac:dyDescent="0.2"/>
    <row r="9764" x14ac:dyDescent="0.2"/>
    <row r="9765" x14ac:dyDescent="0.2"/>
    <row r="9766" x14ac:dyDescent="0.2"/>
    <row r="9767" x14ac:dyDescent="0.2"/>
    <row r="9768" x14ac:dyDescent="0.2"/>
    <row r="9769" x14ac:dyDescent="0.2"/>
    <row r="9770" x14ac:dyDescent="0.2"/>
    <row r="9771" x14ac:dyDescent="0.2"/>
    <row r="9772" x14ac:dyDescent="0.2"/>
    <row r="9773" x14ac:dyDescent="0.2"/>
    <row r="9774" x14ac:dyDescent="0.2"/>
    <row r="9775" x14ac:dyDescent="0.2"/>
    <row r="9776" x14ac:dyDescent="0.2"/>
    <row r="9777" x14ac:dyDescent="0.2"/>
    <row r="9778" x14ac:dyDescent="0.2"/>
    <row r="9779" x14ac:dyDescent="0.2"/>
    <row r="9780" x14ac:dyDescent="0.2"/>
    <row r="9781" x14ac:dyDescent="0.2"/>
    <row r="9782" x14ac:dyDescent="0.2"/>
    <row r="9783" x14ac:dyDescent="0.2"/>
    <row r="9784" x14ac:dyDescent="0.2"/>
    <row r="9785" x14ac:dyDescent="0.2"/>
    <row r="9786" x14ac:dyDescent="0.2"/>
    <row r="9787" x14ac:dyDescent="0.2"/>
    <row r="9788" x14ac:dyDescent="0.2"/>
    <row r="9789" x14ac:dyDescent="0.2"/>
    <row r="9790" x14ac:dyDescent="0.2"/>
    <row r="9791" x14ac:dyDescent="0.2"/>
    <row r="9792" x14ac:dyDescent="0.2"/>
    <row r="9793" x14ac:dyDescent="0.2"/>
    <row r="9794" x14ac:dyDescent="0.2"/>
    <row r="9795" x14ac:dyDescent="0.2"/>
    <row r="9796" x14ac:dyDescent="0.2"/>
    <row r="9797" x14ac:dyDescent="0.2"/>
    <row r="9798" x14ac:dyDescent="0.2"/>
    <row r="9799" x14ac:dyDescent="0.2"/>
    <row r="9800" x14ac:dyDescent="0.2"/>
    <row r="9801" x14ac:dyDescent="0.2"/>
    <row r="9802" x14ac:dyDescent="0.2"/>
    <row r="9803" x14ac:dyDescent="0.2"/>
    <row r="9804" x14ac:dyDescent="0.2"/>
    <row r="9805" x14ac:dyDescent="0.2"/>
    <row r="9806" x14ac:dyDescent="0.2"/>
    <row r="9807" x14ac:dyDescent="0.2"/>
    <row r="9808" x14ac:dyDescent="0.2"/>
    <row r="9809" x14ac:dyDescent="0.2"/>
    <row r="9810" x14ac:dyDescent="0.2"/>
    <row r="9811" x14ac:dyDescent="0.2"/>
    <row r="9812" x14ac:dyDescent="0.2"/>
    <row r="9813" x14ac:dyDescent="0.2"/>
    <row r="9814" x14ac:dyDescent="0.2"/>
    <row r="9815" x14ac:dyDescent="0.2"/>
    <row r="9816" x14ac:dyDescent="0.2"/>
    <row r="9817" x14ac:dyDescent="0.2"/>
    <row r="9818" x14ac:dyDescent="0.2"/>
    <row r="9819" x14ac:dyDescent="0.2"/>
    <row r="9820" x14ac:dyDescent="0.2"/>
    <row r="9821" x14ac:dyDescent="0.2"/>
    <row r="9822" x14ac:dyDescent="0.2"/>
    <row r="9823" x14ac:dyDescent="0.2"/>
    <row r="9824" x14ac:dyDescent="0.2"/>
    <row r="9825" x14ac:dyDescent="0.2"/>
    <row r="9826" x14ac:dyDescent="0.2"/>
    <row r="9827" x14ac:dyDescent="0.2"/>
    <row r="9828" x14ac:dyDescent="0.2"/>
    <row r="9829" x14ac:dyDescent="0.2"/>
    <row r="9830" x14ac:dyDescent="0.2"/>
    <row r="9831" x14ac:dyDescent="0.2"/>
    <row r="9832" x14ac:dyDescent="0.2"/>
    <row r="9833" x14ac:dyDescent="0.2"/>
    <row r="9834" x14ac:dyDescent="0.2"/>
    <row r="9835" x14ac:dyDescent="0.2"/>
    <row r="9836" x14ac:dyDescent="0.2"/>
    <row r="9837" x14ac:dyDescent="0.2"/>
    <row r="9838" x14ac:dyDescent="0.2"/>
    <row r="9839" x14ac:dyDescent="0.2"/>
    <row r="9840" x14ac:dyDescent="0.2"/>
    <row r="9841" x14ac:dyDescent="0.2"/>
    <row r="9842" x14ac:dyDescent="0.2"/>
    <row r="9843" x14ac:dyDescent="0.2"/>
    <row r="9844" x14ac:dyDescent="0.2"/>
    <row r="9845" x14ac:dyDescent="0.2"/>
    <row r="9846" x14ac:dyDescent="0.2"/>
    <row r="9847" x14ac:dyDescent="0.2"/>
    <row r="9848" x14ac:dyDescent="0.2"/>
    <row r="9849" x14ac:dyDescent="0.2"/>
    <row r="9850" x14ac:dyDescent="0.2"/>
    <row r="9851" x14ac:dyDescent="0.2"/>
    <row r="9852" x14ac:dyDescent="0.2"/>
    <row r="9853" x14ac:dyDescent="0.2"/>
    <row r="9854" x14ac:dyDescent="0.2"/>
    <row r="9855" x14ac:dyDescent="0.2"/>
    <row r="9856" x14ac:dyDescent="0.2"/>
    <row r="9857" x14ac:dyDescent="0.2"/>
    <row r="9858" x14ac:dyDescent="0.2"/>
    <row r="9859" x14ac:dyDescent="0.2"/>
    <row r="9860" x14ac:dyDescent="0.2"/>
    <row r="9861" x14ac:dyDescent="0.2"/>
    <row r="9862" x14ac:dyDescent="0.2"/>
    <row r="9863" x14ac:dyDescent="0.2"/>
    <row r="9864" x14ac:dyDescent="0.2"/>
    <row r="9865" x14ac:dyDescent="0.2"/>
    <row r="9866" x14ac:dyDescent="0.2"/>
    <row r="9867" x14ac:dyDescent="0.2"/>
    <row r="9868" x14ac:dyDescent="0.2"/>
    <row r="9869" x14ac:dyDescent="0.2"/>
    <row r="9870" x14ac:dyDescent="0.2"/>
    <row r="9871" x14ac:dyDescent="0.2"/>
    <row r="9872" x14ac:dyDescent="0.2"/>
    <row r="9873" x14ac:dyDescent="0.2"/>
    <row r="9874" x14ac:dyDescent="0.2"/>
    <row r="9875" x14ac:dyDescent="0.2"/>
    <row r="9876" x14ac:dyDescent="0.2"/>
    <row r="9877" x14ac:dyDescent="0.2"/>
    <row r="9878" x14ac:dyDescent="0.2"/>
    <row r="9879" x14ac:dyDescent="0.2"/>
    <row r="9880" x14ac:dyDescent="0.2"/>
    <row r="9881" x14ac:dyDescent="0.2"/>
    <row r="9882" x14ac:dyDescent="0.2"/>
    <row r="9883" x14ac:dyDescent="0.2"/>
    <row r="9884" x14ac:dyDescent="0.2"/>
    <row r="9885" x14ac:dyDescent="0.2"/>
    <row r="9886" x14ac:dyDescent="0.2"/>
    <row r="9887" x14ac:dyDescent="0.2"/>
    <row r="9888" x14ac:dyDescent="0.2"/>
    <row r="9889" x14ac:dyDescent="0.2"/>
    <row r="9890" x14ac:dyDescent="0.2"/>
    <row r="9891" x14ac:dyDescent="0.2"/>
    <row r="9892" x14ac:dyDescent="0.2"/>
    <row r="9893" x14ac:dyDescent="0.2"/>
    <row r="9894" x14ac:dyDescent="0.2"/>
    <row r="9895" x14ac:dyDescent="0.2"/>
    <row r="9896" x14ac:dyDescent="0.2"/>
    <row r="9897" x14ac:dyDescent="0.2"/>
    <row r="9898" x14ac:dyDescent="0.2"/>
    <row r="9899" x14ac:dyDescent="0.2"/>
    <row r="9900" x14ac:dyDescent="0.2"/>
    <row r="9901" x14ac:dyDescent="0.2"/>
    <row r="9902" x14ac:dyDescent="0.2"/>
    <row r="9903" x14ac:dyDescent="0.2"/>
    <row r="9904" x14ac:dyDescent="0.2"/>
    <row r="9905" x14ac:dyDescent="0.2"/>
    <row r="9906" x14ac:dyDescent="0.2"/>
    <row r="9907" x14ac:dyDescent="0.2"/>
    <row r="9908" x14ac:dyDescent="0.2"/>
    <row r="9909" x14ac:dyDescent="0.2"/>
    <row r="9910" x14ac:dyDescent="0.2"/>
    <row r="9911" x14ac:dyDescent="0.2"/>
    <row r="9912" x14ac:dyDescent="0.2"/>
    <row r="9913" x14ac:dyDescent="0.2"/>
    <row r="9914" x14ac:dyDescent="0.2"/>
    <row r="9915" x14ac:dyDescent="0.2"/>
    <row r="9916" x14ac:dyDescent="0.2"/>
    <row r="9917" x14ac:dyDescent="0.2"/>
    <row r="9918" x14ac:dyDescent="0.2"/>
    <row r="9919" x14ac:dyDescent="0.2"/>
    <row r="9920" x14ac:dyDescent="0.2"/>
    <row r="9921" x14ac:dyDescent="0.2"/>
    <row r="9922" x14ac:dyDescent="0.2"/>
    <row r="9923" x14ac:dyDescent="0.2"/>
    <row r="9924" x14ac:dyDescent="0.2"/>
    <row r="9925" x14ac:dyDescent="0.2"/>
    <row r="9926" x14ac:dyDescent="0.2"/>
    <row r="9927" x14ac:dyDescent="0.2"/>
    <row r="9928" x14ac:dyDescent="0.2"/>
    <row r="9929" x14ac:dyDescent="0.2"/>
    <row r="9930" x14ac:dyDescent="0.2"/>
    <row r="9931" x14ac:dyDescent="0.2"/>
    <row r="9932" x14ac:dyDescent="0.2"/>
    <row r="9933" x14ac:dyDescent="0.2"/>
    <row r="9934" x14ac:dyDescent="0.2"/>
    <row r="9935" x14ac:dyDescent="0.2"/>
    <row r="9936" x14ac:dyDescent="0.2"/>
    <row r="9937" x14ac:dyDescent="0.2"/>
    <row r="9938" x14ac:dyDescent="0.2"/>
    <row r="9939" x14ac:dyDescent="0.2"/>
    <row r="9940" x14ac:dyDescent="0.2"/>
    <row r="9941" x14ac:dyDescent="0.2"/>
    <row r="9942" x14ac:dyDescent="0.2"/>
    <row r="9943" x14ac:dyDescent="0.2"/>
    <row r="9944" x14ac:dyDescent="0.2"/>
    <row r="9945" x14ac:dyDescent="0.2"/>
    <row r="9946" x14ac:dyDescent="0.2"/>
    <row r="9947" x14ac:dyDescent="0.2"/>
    <row r="9948" x14ac:dyDescent="0.2"/>
    <row r="9949" x14ac:dyDescent="0.2"/>
    <row r="9950" x14ac:dyDescent="0.2"/>
    <row r="9951" x14ac:dyDescent="0.2"/>
    <row r="9952" x14ac:dyDescent="0.2"/>
    <row r="9953" x14ac:dyDescent="0.2"/>
    <row r="9954" x14ac:dyDescent="0.2"/>
    <row r="9955" x14ac:dyDescent="0.2"/>
    <row r="9956" x14ac:dyDescent="0.2"/>
    <row r="9957" x14ac:dyDescent="0.2"/>
    <row r="9958" x14ac:dyDescent="0.2"/>
    <row r="9959" x14ac:dyDescent="0.2"/>
    <row r="9960" x14ac:dyDescent="0.2"/>
    <row r="9961" x14ac:dyDescent="0.2"/>
    <row r="9962" x14ac:dyDescent="0.2"/>
    <row r="9963" x14ac:dyDescent="0.2"/>
    <row r="9964" x14ac:dyDescent="0.2"/>
    <row r="9965" x14ac:dyDescent="0.2"/>
    <row r="9966" x14ac:dyDescent="0.2"/>
    <row r="9967" x14ac:dyDescent="0.2"/>
    <row r="9968" x14ac:dyDescent="0.2"/>
    <row r="9969" x14ac:dyDescent="0.2"/>
    <row r="9970" x14ac:dyDescent="0.2"/>
    <row r="9971" x14ac:dyDescent="0.2"/>
    <row r="9972" x14ac:dyDescent="0.2"/>
    <row r="9973" x14ac:dyDescent="0.2"/>
    <row r="9974" x14ac:dyDescent="0.2"/>
    <row r="9975" x14ac:dyDescent="0.2"/>
    <row r="9976" x14ac:dyDescent="0.2"/>
    <row r="9977" x14ac:dyDescent="0.2"/>
    <row r="9978" x14ac:dyDescent="0.2"/>
    <row r="9979" x14ac:dyDescent="0.2"/>
    <row r="9980" x14ac:dyDescent="0.2"/>
    <row r="9981" x14ac:dyDescent="0.2"/>
    <row r="9982" x14ac:dyDescent="0.2"/>
    <row r="9983" x14ac:dyDescent="0.2"/>
    <row r="9984" x14ac:dyDescent="0.2"/>
    <row r="9985" x14ac:dyDescent="0.2"/>
    <row r="9986" x14ac:dyDescent="0.2"/>
    <row r="9987" x14ac:dyDescent="0.2"/>
    <row r="9988" x14ac:dyDescent="0.2"/>
    <row r="9989" x14ac:dyDescent="0.2"/>
    <row r="9990" x14ac:dyDescent="0.2"/>
    <row r="9991" x14ac:dyDescent="0.2"/>
    <row r="9992" x14ac:dyDescent="0.2"/>
    <row r="9993" x14ac:dyDescent="0.2"/>
    <row r="9994" x14ac:dyDescent="0.2"/>
    <row r="9995" x14ac:dyDescent="0.2"/>
    <row r="9996" x14ac:dyDescent="0.2"/>
    <row r="9997" x14ac:dyDescent="0.2"/>
    <row r="9998" x14ac:dyDescent="0.2"/>
    <row r="9999" x14ac:dyDescent="0.2"/>
    <row r="10000" x14ac:dyDescent="0.2"/>
  </sheetData>
  <autoFilter ref="A1:F2000"/>
  <sortState ref="Z2:AC10000">
    <sortCondition ref="AC2:AC10000"/>
    <sortCondition ref="Z2:Z10000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831"/>
  <sheetViews>
    <sheetView workbookViewId="0"/>
  </sheetViews>
  <sheetFormatPr defaultRowHeight="12.75" x14ac:dyDescent="0.2"/>
  <cols>
    <col min="1" max="1" width="157.42578125" style="1" customWidth="1"/>
    <col min="2" max="16384" width="9.140625" style="1"/>
  </cols>
  <sheetData>
    <row r="1" spans="1:1" ht="409.5" x14ac:dyDescent="0.2">
      <c r="A1" s="44" t="s">
        <v>66</v>
      </c>
    </row>
    <row r="2" spans="1:1" x14ac:dyDescent="0.2">
      <c r="A2" s="1" t="s">
        <v>48</v>
      </c>
    </row>
    <row r="3" spans="1:1" x14ac:dyDescent="0.2">
      <c r="A3" s="1" t="s">
        <v>49</v>
      </c>
    </row>
    <row r="4" spans="1:1" x14ac:dyDescent="0.2">
      <c r="A4" s="1" t="s">
        <v>50</v>
      </c>
    </row>
    <row r="5" spans="1:1" x14ac:dyDescent="0.2">
      <c r="A5" s="1" t="s">
        <v>48</v>
      </c>
    </row>
    <row r="6" spans="1:1" x14ac:dyDescent="0.2">
      <c r="A6" s="1" t="s">
        <v>51</v>
      </c>
    </row>
    <row r="7" spans="1:1" x14ac:dyDescent="0.2">
      <c r="A7" s="1" t="s">
        <v>52</v>
      </c>
    </row>
    <row r="8" spans="1:1" x14ac:dyDescent="0.2">
      <c r="A8" s="1" t="s">
        <v>53</v>
      </c>
    </row>
    <row r="9" spans="1:1" x14ac:dyDescent="0.2">
      <c r="A9" s="1" t="s">
        <v>52</v>
      </c>
    </row>
    <row r="10" spans="1:1" x14ac:dyDescent="0.2">
      <c r="A10" s="1" t="s">
        <v>53</v>
      </c>
    </row>
    <row r="11" spans="1:1" x14ac:dyDescent="0.2">
      <c r="A11" s="1" t="s">
        <v>54</v>
      </c>
    </row>
    <row r="12" spans="1:1" x14ac:dyDescent="0.2">
      <c r="A12" s="1" t="s">
        <v>55</v>
      </c>
    </row>
    <row r="13" spans="1:1" x14ac:dyDescent="0.2">
      <c r="A13" s="1" t="s">
        <v>56</v>
      </c>
    </row>
    <row r="14" spans="1:1" x14ac:dyDescent="0.2">
      <c r="A14" s="1" t="s">
        <v>55</v>
      </c>
    </row>
    <row r="15" spans="1:1" x14ac:dyDescent="0.2">
      <c r="A15" s="1" t="s">
        <v>56</v>
      </c>
    </row>
    <row r="16" spans="1:1" x14ac:dyDescent="0.2">
      <c r="A16" s="1" t="s">
        <v>57</v>
      </c>
    </row>
    <row r="17" spans="1:1" x14ac:dyDescent="0.2">
      <c r="A17" s="1" t="s">
        <v>58</v>
      </c>
    </row>
    <row r="18" spans="1:1" x14ac:dyDescent="0.2">
      <c r="A18" s="1" t="s">
        <v>59</v>
      </c>
    </row>
    <row r="19" spans="1:1" x14ac:dyDescent="0.2">
      <c r="A19" s="1" t="s">
        <v>60</v>
      </c>
    </row>
    <row r="20" spans="1:1" x14ac:dyDescent="0.2">
      <c r="A20" s="1" t="s">
        <v>61</v>
      </c>
    </row>
    <row r="21" spans="1:1" x14ac:dyDescent="0.2">
      <c r="A21" s="1" t="s">
        <v>62</v>
      </c>
    </row>
    <row r="22" spans="1:1" x14ac:dyDescent="0.2">
      <c r="A22" s="1" t="s">
        <v>63</v>
      </c>
    </row>
    <row r="23" spans="1:1" x14ac:dyDescent="0.2">
      <c r="A23" s="1" t="s">
        <v>64</v>
      </c>
    </row>
    <row r="24" spans="1:1" x14ac:dyDescent="0.2">
      <c r="A24" s="1" t="s">
        <v>55</v>
      </c>
    </row>
    <row r="25" spans="1:1" x14ac:dyDescent="0.2">
      <c r="A25" s="1" t="s">
        <v>56</v>
      </c>
    </row>
    <row r="26" spans="1:1" x14ac:dyDescent="0.2">
      <c r="A26" s="1" t="s">
        <v>55</v>
      </c>
    </row>
    <row r="27" spans="1:1" x14ac:dyDescent="0.2">
      <c r="A27" s="1" t="s">
        <v>56</v>
      </c>
    </row>
    <row r="28" spans="1:1" x14ac:dyDescent="0.2">
      <c r="A28" s="1" t="s">
        <v>55</v>
      </c>
    </row>
    <row r="29" spans="1:1" x14ac:dyDescent="0.2">
      <c r="A29" s="1" t="s">
        <v>56</v>
      </c>
    </row>
    <row r="30" spans="1:1" x14ac:dyDescent="0.2">
      <c r="A30" s="1" t="s">
        <v>57</v>
      </c>
    </row>
    <row r="31" spans="1:1" x14ac:dyDescent="0.2">
      <c r="A31" s="1" t="s">
        <v>58</v>
      </c>
    </row>
    <row r="32" spans="1:1" x14ac:dyDescent="0.2">
      <c r="A32" s="1" t="s">
        <v>59</v>
      </c>
    </row>
    <row r="33" spans="1:1" x14ac:dyDescent="0.2">
      <c r="A33" s="1" t="s">
        <v>60</v>
      </c>
    </row>
    <row r="34" spans="1:1" x14ac:dyDescent="0.2">
      <c r="A34" s="1" t="s">
        <v>61</v>
      </c>
    </row>
    <row r="35" spans="1:1" x14ac:dyDescent="0.2">
      <c r="A35" s="1" t="s">
        <v>62</v>
      </c>
    </row>
    <row r="36" spans="1:1" x14ac:dyDescent="0.2">
      <c r="A36" s="1" t="s">
        <v>63</v>
      </c>
    </row>
    <row r="37" spans="1:1" x14ac:dyDescent="0.2">
      <c r="A37" s="1" t="s">
        <v>64</v>
      </c>
    </row>
    <row r="38" spans="1:1" x14ac:dyDescent="0.2">
      <c r="A38" s="1" t="s">
        <v>55</v>
      </c>
    </row>
    <row r="39" spans="1:1" x14ac:dyDescent="0.2">
      <c r="A39" s="1" t="s">
        <v>56</v>
      </c>
    </row>
    <row r="40" spans="1:1" x14ac:dyDescent="0.2">
      <c r="A40" s="1" t="s">
        <v>55</v>
      </c>
    </row>
    <row r="41" spans="1:1" x14ac:dyDescent="0.2">
      <c r="A41" s="1" t="s">
        <v>56</v>
      </c>
    </row>
    <row r="42" spans="1:1" x14ac:dyDescent="0.2">
      <c r="A42" s="1" t="s">
        <v>55</v>
      </c>
    </row>
    <row r="43" spans="1:1" x14ac:dyDescent="0.2">
      <c r="A43" s="1" t="s">
        <v>56</v>
      </c>
    </row>
    <row r="44" spans="1:1" x14ac:dyDescent="0.2">
      <c r="A44" s="1" t="s">
        <v>57</v>
      </c>
    </row>
    <row r="45" spans="1:1" x14ac:dyDescent="0.2">
      <c r="A45" s="1" t="s">
        <v>58</v>
      </c>
    </row>
    <row r="46" spans="1:1" x14ac:dyDescent="0.2">
      <c r="A46" s="1" t="s">
        <v>59</v>
      </c>
    </row>
    <row r="47" spans="1:1" x14ac:dyDescent="0.2">
      <c r="A47" s="1" t="s">
        <v>60</v>
      </c>
    </row>
    <row r="48" spans="1:1" x14ac:dyDescent="0.2">
      <c r="A48" s="1" t="s">
        <v>61</v>
      </c>
    </row>
    <row r="49" spans="1:1" x14ac:dyDescent="0.2">
      <c r="A49" s="1" t="s">
        <v>62</v>
      </c>
    </row>
    <row r="50" spans="1:1" x14ac:dyDescent="0.2">
      <c r="A50" s="1" t="s">
        <v>63</v>
      </c>
    </row>
    <row r="51" spans="1:1" x14ac:dyDescent="0.2">
      <c r="A51" s="1" t="s">
        <v>64</v>
      </c>
    </row>
    <row r="52" spans="1:1" x14ac:dyDescent="0.2">
      <c r="A52" s="1" t="s">
        <v>55</v>
      </c>
    </row>
    <row r="53" spans="1:1" x14ac:dyDescent="0.2">
      <c r="A53" s="1" t="s">
        <v>56</v>
      </c>
    </row>
    <row r="54" spans="1:1" x14ac:dyDescent="0.2">
      <c r="A54" s="1" t="s">
        <v>55</v>
      </c>
    </row>
    <row r="55" spans="1:1" x14ac:dyDescent="0.2">
      <c r="A55" s="1" t="s">
        <v>56</v>
      </c>
    </row>
    <row r="56" spans="1:1" x14ac:dyDescent="0.2">
      <c r="A56" s="1" t="s">
        <v>55</v>
      </c>
    </row>
    <row r="57" spans="1:1" x14ac:dyDescent="0.2">
      <c r="A57" s="1" t="s">
        <v>56</v>
      </c>
    </row>
    <row r="58" spans="1:1" x14ac:dyDescent="0.2">
      <c r="A58" s="1" t="s">
        <v>57</v>
      </c>
    </row>
    <row r="59" spans="1:1" x14ac:dyDescent="0.2">
      <c r="A59" s="1" t="s">
        <v>58</v>
      </c>
    </row>
    <row r="60" spans="1:1" x14ac:dyDescent="0.2">
      <c r="A60" s="1" t="s">
        <v>59</v>
      </c>
    </row>
    <row r="61" spans="1:1" x14ac:dyDescent="0.2">
      <c r="A61" s="1" t="s">
        <v>60</v>
      </c>
    </row>
    <row r="62" spans="1:1" x14ac:dyDescent="0.2">
      <c r="A62" s="1" t="s">
        <v>61</v>
      </c>
    </row>
    <row r="63" spans="1:1" x14ac:dyDescent="0.2">
      <c r="A63" s="1" t="s">
        <v>62</v>
      </c>
    </row>
    <row r="64" spans="1:1" x14ac:dyDescent="0.2">
      <c r="A64" s="1" t="s">
        <v>63</v>
      </c>
    </row>
    <row r="65" spans="1:1" x14ac:dyDescent="0.2">
      <c r="A65" s="1" t="s">
        <v>64</v>
      </c>
    </row>
    <row r="66" spans="1:1" x14ac:dyDescent="0.2">
      <c r="A66" s="1" t="s">
        <v>55</v>
      </c>
    </row>
    <row r="67" spans="1:1" x14ac:dyDescent="0.2">
      <c r="A67" s="1" t="s">
        <v>56</v>
      </c>
    </row>
    <row r="68" spans="1:1" x14ac:dyDescent="0.2">
      <c r="A68" s="1" t="s">
        <v>55</v>
      </c>
    </row>
    <row r="69" spans="1:1" x14ac:dyDescent="0.2">
      <c r="A69" s="1" t="s">
        <v>56</v>
      </c>
    </row>
    <row r="70" spans="1:1" x14ac:dyDescent="0.2">
      <c r="A70" s="1" t="s">
        <v>55</v>
      </c>
    </row>
    <row r="71" spans="1:1" x14ac:dyDescent="0.2">
      <c r="A71" s="1" t="s">
        <v>56</v>
      </c>
    </row>
    <row r="72" spans="1:1" x14ac:dyDescent="0.2">
      <c r="A72" s="1" t="s">
        <v>57</v>
      </c>
    </row>
    <row r="73" spans="1:1" x14ac:dyDescent="0.2">
      <c r="A73" s="1" t="s">
        <v>58</v>
      </c>
    </row>
    <row r="74" spans="1:1" x14ac:dyDescent="0.2">
      <c r="A74" s="1" t="s">
        <v>59</v>
      </c>
    </row>
    <row r="75" spans="1:1" x14ac:dyDescent="0.2">
      <c r="A75" s="1" t="s">
        <v>60</v>
      </c>
    </row>
    <row r="76" spans="1:1" x14ac:dyDescent="0.2">
      <c r="A76" s="1" t="s">
        <v>61</v>
      </c>
    </row>
    <row r="77" spans="1:1" x14ac:dyDescent="0.2">
      <c r="A77" s="1" t="s">
        <v>62</v>
      </c>
    </row>
    <row r="78" spans="1:1" x14ac:dyDescent="0.2">
      <c r="A78" s="1" t="s">
        <v>63</v>
      </c>
    </row>
    <row r="79" spans="1:1" x14ac:dyDescent="0.2">
      <c r="A79" s="1" t="s">
        <v>64</v>
      </c>
    </row>
    <row r="80" spans="1:1" x14ac:dyDescent="0.2">
      <c r="A80" s="1" t="s">
        <v>55</v>
      </c>
    </row>
    <row r="81" spans="1:1" x14ac:dyDescent="0.2">
      <c r="A81" s="1" t="s">
        <v>56</v>
      </c>
    </row>
    <row r="82" spans="1:1" x14ac:dyDescent="0.2">
      <c r="A82" s="1" t="s">
        <v>55</v>
      </c>
    </row>
    <row r="83" spans="1:1" x14ac:dyDescent="0.2">
      <c r="A83" s="1" t="s">
        <v>56</v>
      </c>
    </row>
    <row r="84" spans="1:1" x14ac:dyDescent="0.2">
      <c r="A84" s="1" t="s">
        <v>55</v>
      </c>
    </row>
    <row r="85" spans="1:1" x14ac:dyDescent="0.2">
      <c r="A85" s="1" t="s">
        <v>56</v>
      </c>
    </row>
    <row r="86" spans="1:1" x14ac:dyDescent="0.2">
      <c r="A86" s="1" t="s">
        <v>57</v>
      </c>
    </row>
    <row r="87" spans="1:1" x14ac:dyDescent="0.2">
      <c r="A87" s="1" t="s">
        <v>58</v>
      </c>
    </row>
    <row r="88" spans="1:1" x14ac:dyDescent="0.2">
      <c r="A88" s="1" t="s">
        <v>59</v>
      </c>
    </row>
    <row r="89" spans="1:1" x14ac:dyDescent="0.2">
      <c r="A89" s="1" t="s">
        <v>60</v>
      </c>
    </row>
    <row r="90" spans="1:1" x14ac:dyDescent="0.2">
      <c r="A90" s="1" t="s">
        <v>61</v>
      </c>
    </row>
    <row r="91" spans="1:1" x14ac:dyDescent="0.2">
      <c r="A91" s="1" t="s">
        <v>62</v>
      </c>
    </row>
    <row r="92" spans="1:1" x14ac:dyDescent="0.2">
      <c r="A92" s="1" t="s">
        <v>63</v>
      </c>
    </row>
    <row r="93" spans="1:1" x14ac:dyDescent="0.2">
      <c r="A93" s="1" t="s">
        <v>64</v>
      </c>
    </row>
    <row r="94" spans="1:1" x14ac:dyDescent="0.2">
      <c r="A94" s="1" t="s">
        <v>55</v>
      </c>
    </row>
    <row r="95" spans="1:1" x14ac:dyDescent="0.2">
      <c r="A95" s="1" t="s">
        <v>56</v>
      </c>
    </row>
    <row r="96" spans="1:1" x14ac:dyDescent="0.2">
      <c r="A96" s="1" t="s">
        <v>55</v>
      </c>
    </row>
    <row r="97" spans="1:1" x14ac:dyDescent="0.2">
      <c r="A97" s="1" t="s">
        <v>56</v>
      </c>
    </row>
    <row r="98" spans="1:1" x14ac:dyDescent="0.2">
      <c r="A98" s="1" t="s">
        <v>55</v>
      </c>
    </row>
    <row r="99" spans="1:1" x14ac:dyDescent="0.2">
      <c r="A99" s="1" t="s">
        <v>56</v>
      </c>
    </row>
    <row r="100" spans="1:1" x14ac:dyDescent="0.2">
      <c r="A100" s="1" t="s">
        <v>57</v>
      </c>
    </row>
    <row r="101" spans="1:1" x14ac:dyDescent="0.2">
      <c r="A101" s="1" t="s">
        <v>58</v>
      </c>
    </row>
    <row r="102" spans="1:1" x14ac:dyDescent="0.2">
      <c r="A102" s="1" t="s">
        <v>59</v>
      </c>
    </row>
    <row r="103" spans="1:1" x14ac:dyDescent="0.2">
      <c r="A103" s="1" t="s">
        <v>60</v>
      </c>
    </row>
    <row r="104" spans="1:1" x14ac:dyDescent="0.2">
      <c r="A104" s="1" t="s">
        <v>61</v>
      </c>
    </row>
    <row r="105" spans="1:1" x14ac:dyDescent="0.2">
      <c r="A105" s="1" t="s">
        <v>62</v>
      </c>
    </row>
    <row r="106" spans="1:1" x14ac:dyDescent="0.2">
      <c r="A106" s="1" t="s">
        <v>63</v>
      </c>
    </row>
    <row r="107" spans="1:1" x14ac:dyDescent="0.2">
      <c r="A107" s="1" t="s">
        <v>64</v>
      </c>
    </row>
    <row r="108" spans="1:1" x14ac:dyDescent="0.2">
      <c r="A108" s="1" t="s">
        <v>55</v>
      </c>
    </row>
    <row r="109" spans="1:1" x14ac:dyDescent="0.2">
      <c r="A109" s="1" t="s">
        <v>56</v>
      </c>
    </row>
    <row r="110" spans="1:1" x14ac:dyDescent="0.2">
      <c r="A110" s="1" t="s">
        <v>55</v>
      </c>
    </row>
    <row r="111" spans="1:1" x14ac:dyDescent="0.2">
      <c r="A111" s="1" t="s">
        <v>56</v>
      </c>
    </row>
    <row r="112" spans="1:1" x14ac:dyDescent="0.2">
      <c r="A112" s="1" t="s">
        <v>55</v>
      </c>
    </row>
    <row r="113" spans="1:1" x14ac:dyDescent="0.2">
      <c r="A113" s="1" t="s">
        <v>56</v>
      </c>
    </row>
    <row r="114" spans="1:1" x14ac:dyDescent="0.2">
      <c r="A114" s="1" t="s">
        <v>57</v>
      </c>
    </row>
    <row r="115" spans="1:1" x14ac:dyDescent="0.2">
      <c r="A115" s="1" t="s">
        <v>58</v>
      </c>
    </row>
    <row r="116" spans="1:1" x14ac:dyDescent="0.2">
      <c r="A116" s="1" t="s">
        <v>59</v>
      </c>
    </row>
    <row r="117" spans="1:1" x14ac:dyDescent="0.2">
      <c r="A117" s="1" t="s">
        <v>60</v>
      </c>
    </row>
    <row r="118" spans="1:1" x14ac:dyDescent="0.2">
      <c r="A118" s="1" t="s">
        <v>61</v>
      </c>
    </row>
    <row r="119" spans="1:1" x14ac:dyDescent="0.2">
      <c r="A119" s="1" t="s">
        <v>62</v>
      </c>
    </row>
    <row r="120" spans="1:1" x14ac:dyDescent="0.2">
      <c r="A120" s="1" t="s">
        <v>63</v>
      </c>
    </row>
    <row r="121" spans="1:1" x14ac:dyDescent="0.2">
      <c r="A121" s="1" t="s">
        <v>64</v>
      </c>
    </row>
    <row r="122" spans="1:1" x14ac:dyDescent="0.2">
      <c r="A122" s="1" t="s">
        <v>55</v>
      </c>
    </row>
    <row r="123" spans="1:1" x14ac:dyDescent="0.2">
      <c r="A123" s="1" t="s">
        <v>56</v>
      </c>
    </row>
    <row r="124" spans="1:1" x14ac:dyDescent="0.2">
      <c r="A124" s="1" t="s">
        <v>85</v>
      </c>
    </row>
    <row r="125" spans="1:1" x14ac:dyDescent="0.2">
      <c r="A125" s="1" t="s">
        <v>86</v>
      </c>
    </row>
    <row r="126" spans="1:1" x14ac:dyDescent="0.2">
      <c r="A126" s="1" t="s">
        <v>85</v>
      </c>
    </row>
    <row r="127" spans="1:1" x14ac:dyDescent="0.2">
      <c r="A127" s="1" t="s">
        <v>86</v>
      </c>
    </row>
    <row r="128" spans="1:1" x14ac:dyDescent="0.2">
      <c r="A128" s="1" t="s">
        <v>87</v>
      </c>
    </row>
    <row r="129" spans="1:1" x14ac:dyDescent="0.2">
      <c r="A129" s="1" t="s">
        <v>88</v>
      </c>
    </row>
    <row r="130" spans="1:1" x14ac:dyDescent="0.2">
      <c r="A130" s="1" t="s">
        <v>89</v>
      </c>
    </row>
    <row r="131" spans="1:1" x14ac:dyDescent="0.2">
      <c r="A131" s="1" t="s">
        <v>90</v>
      </c>
    </row>
    <row r="132" spans="1:1" x14ac:dyDescent="0.2">
      <c r="A132" s="1" t="s">
        <v>91</v>
      </c>
    </row>
    <row r="133" spans="1:1" x14ac:dyDescent="0.2">
      <c r="A133" s="1" t="s">
        <v>92</v>
      </c>
    </row>
    <row r="134" spans="1:1" x14ac:dyDescent="0.2">
      <c r="A134" s="1" t="s">
        <v>93</v>
      </c>
    </row>
    <row r="135" spans="1:1" x14ac:dyDescent="0.2">
      <c r="A135" s="1" t="s">
        <v>94</v>
      </c>
    </row>
    <row r="136" spans="1:1" x14ac:dyDescent="0.2">
      <c r="A136" s="1" t="s">
        <v>85</v>
      </c>
    </row>
    <row r="137" spans="1:1" x14ac:dyDescent="0.2">
      <c r="A137" s="1" t="s">
        <v>86</v>
      </c>
    </row>
    <row r="138" spans="1:1" x14ac:dyDescent="0.2">
      <c r="A138" s="1" t="s">
        <v>85</v>
      </c>
    </row>
    <row r="139" spans="1:1" x14ac:dyDescent="0.2">
      <c r="A139" s="1" t="s">
        <v>86</v>
      </c>
    </row>
    <row r="140" spans="1:1" x14ac:dyDescent="0.2">
      <c r="A140" s="1" t="s">
        <v>85</v>
      </c>
    </row>
    <row r="141" spans="1:1" x14ac:dyDescent="0.2">
      <c r="A141" s="1" t="s">
        <v>86</v>
      </c>
    </row>
    <row r="142" spans="1:1" x14ac:dyDescent="0.2">
      <c r="A142" s="1" t="s">
        <v>87</v>
      </c>
    </row>
    <row r="143" spans="1:1" x14ac:dyDescent="0.2">
      <c r="A143" s="1" t="s">
        <v>88</v>
      </c>
    </row>
    <row r="144" spans="1:1" x14ac:dyDescent="0.2">
      <c r="A144" s="1" t="s">
        <v>89</v>
      </c>
    </row>
    <row r="145" spans="1:1" x14ac:dyDescent="0.2">
      <c r="A145" s="1" t="s">
        <v>90</v>
      </c>
    </row>
    <row r="146" spans="1:1" x14ac:dyDescent="0.2">
      <c r="A146" s="1" t="s">
        <v>91</v>
      </c>
    </row>
    <row r="147" spans="1:1" x14ac:dyDescent="0.2">
      <c r="A147" s="1" t="s">
        <v>92</v>
      </c>
    </row>
    <row r="148" spans="1:1" x14ac:dyDescent="0.2">
      <c r="A148" s="1" t="s">
        <v>93</v>
      </c>
    </row>
    <row r="149" spans="1:1" x14ac:dyDescent="0.2">
      <c r="A149" s="1" t="s">
        <v>94</v>
      </c>
    </row>
    <row r="150" spans="1:1" x14ac:dyDescent="0.2">
      <c r="A150" s="1" t="s">
        <v>85</v>
      </c>
    </row>
    <row r="151" spans="1:1" x14ac:dyDescent="0.2">
      <c r="A151" s="1" t="s">
        <v>86</v>
      </c>
    </row>
    <row r="152" spans="1:1" x14ac:dyDescent="0.2">
      <c r="A152" s="1" t="s">
        <v>85</v>
      </c>
    </row>
    <row r="153" spans="1:1" x14ac:dyDescent="0.2">
      <c r="A153" s="1" t="s">
        <v>86</v>
      </c>
    </row>
    <row r="154" spans="1:1" x14ac:dyDescent="0.2">
      <c r="A154" s="1" t="s">
        <v>85</v>
      </c>
    </row>
    <row r="155" spans="1:1" x14ac:dyDescent="0.2">
      <c r="A155" s="1" t="s">
        <v>86</v>
      </c>
    </row>
    <row r="156" spans="1:1" x14ac:dyDescent="0.2">
      <c r="A156" s="1" t="s">
        <v>87</v>
      </c>
    </row>
    <row r="157" spans="1:1" x14ac:dyDescent="0.2">
      <c r="A157" s="1" t="s">
        <v>88</v>
      </c>
    </row>
    <row r="158" spans="1:1" x14ac:dyDescent="0.2">
      <c r="A158" s="1" t="s">
        <v>89</v>
      </c>
    </row>
    <row r="159" spans="1:1" x14ac:dyDescent="0.2">
      <c r="A159" s="1" t="s">
        <v>90</v>
      </c>
    </row>
    <row r="160" spans="1:1" x14ac:dyDescent="0.2">
      <c r="A160" s="1" t="s">
        <v>91</v>
      </c>
    </row>
    <row r="161" spans="1:1" x14ac:dyDescent="0.2">
      <c r="A161" s="1" t="s">
        <v>92</v>
      </c>
    </row>
    <row r="162" spans="1:1" x14ac:dyDescent="0.2">
      <c r="A162" s="1" t="s">
        <v>93</v>
      </c>
    </row>
    <row r="163" spans="1:1" x14ac:dyDescent="0.2">
      <c r="A163" s="1" t="s">
        <v>94</v>
      </c>
    </row>
    <row r="164" spans="1:1" x14ac:dyDescent="0.2">
      <c r="A164" s="1" t="s">
        <v>85</v>
      </c>
    </row>
    <row r="165" spans="1:1" x14ac:dyDescent="0.2">
      <c r="A165" s="1" t="s">
        <v>86</v>
      </c>
    </row>
    <row r="166" spans="1:1" x14ac:dyDescent="0.2">
      <c r="A166" s="1" t="s">
        <v>85</v>
      </c>
    </row>
    <row r="167" spans="1:1" x14ac:dyDescent="0.2">
      <c r="A167" s="1" t="s">
        <v>86</v>
      </c>
    </row>
    <row r="168" spans="1:1" x14ac:dyDescent="0.2">
      <c r="A168" s="1" t="s">
        <v>85</v>
      </c>
    </row>
    <row r="169" spans="1:1" x14ac:dyDescent="0.2">
      <c r="A169" s="1" t="s">
        <v>86</v>
      </c>
    </row>
    <row r="170" spans="1:1" x14ac:dyDescent="0.2">
      <c r="A170" s="1" t="s">
        <v>87</v>
      </c>
    </row>
    <row r="171" spans="1:1" x14ac:dyDescent="0.2">
      <c r="A171" s="1" t="s">
        <v>88</v>
      </c>
    </row>
    <row r="172" spans="1:1" x14ac:dyDescent="0.2">
      <c r="A172" s="1" t="s">
        <v>89</v>
      </c>
    </row>
    <row r="173" spans="1:1" x14ac:dyDescent="0.2">
      <c r="A173" s="1" t="s">
        <v>90</v>
      </c>
    </row>
    <row r="174" spans="1:1" x14ac:dyDescent="0.2">
      <c r="A174" s="1" t="s">
        <v>91</v>
      </c>
    </row>
    <row r="175" spans="1:1" x14ac:dyDescent="0.2">
      <c r="A175" s="1" t="s">
        <v>92</v>
      </c>
    </row>
    <row r="176" spans="1:1" x14ac:dyDescent="0.2">
      <c r="A176" s="1" t="s">
        <v>93</v>
      </c>
    </row>
    <row r="177" spans="1:1" x14ac:dyDescent="0.2">
      <c r="A177" s="1" t="s">
        <v>94</v>
      </c>
    </row>
    <row r="178" spans="1:1" x14ac:dyDescent="0.2">
      <c r="A178" s="1" t="s">
        <v>85</v>
      </c>
    </row>
    <row r="179" spans="1:1" x14ac:dyDescent="0.2">
      <c r="A179" s="1" t="s">
        <v>86</v>
      </c>
    </row>
    <row r="180" spans="1:1" x14ac:dyDescent="0.2">
      <c r="A180" s="1" t="s">
        <v>85</v>
      </c>
    </row>
    <row r="181" spans="1:1" x14ac:dyDescent="0.2">
      <c r="A181" s="1" t="s">
        <v>86</v>
      </c>
    </row>
    <row r="182" spans="1:1" x14ac:dyDescent="0.2">
      <c r="A182" s="1" t="s">
        <v>85</v>
      </c>
    </row>
    <row r="183" spans="1:1" x14ac:dyDescent="0.2">
      <c r="A183" s="1" t="s">
        <v>86</v>
      </c>
    </row>
    <row r="184" spans="1:1" x14ac:dyDescent="0.2">
      <c r="A184" s="1" t="s">
        <v>87</v>
      </c>
    </row>
    <row r="185" spans="1:1" x14ac:dyDescent="0.2">
      <c r="A185" s="1" t="s">
        <v>88</v>
      </c>
    </row>
    <row r="186" spans="1:1" x14ac:dyDescent="0.2">
      <c r="A186" s="1" t="s">
        <v>89</v>
      </c>
    </row>
    <row r="187" spans="1:1" x14ac:dyDescent="0.2">
      <c r="A187" s="1" t="s">
        <v>90</v>
      </c>
    </row>
    <row r="188" spans="1:1" x14ac:dyDescent="0.2">
      <c r="A188" s="1" t="s">
        <v>91</v>
      </c>
    </row>
    <row r="189" spans="1:1" x14ac:dyDescent="0.2">
      <c r="A189" s="1" t="s">
        <v>92</v>
      </c>
    </row>
    <row r="190" spans="1:1" x14ac:dyDescent="0.2">
      <c r="A190" s="1" t="s">
        <v>93</v>
      </c>
    </row>
    <row r="191" spans="1:1" x14ac:dyDescent="0.2">
      <c r="A191" s="1" t="s">
        <v>94</v>
      </c>
    </row>
    <row r="192" spans="1:1" x14ac:dyDescent="0.2">
      <c r="A192" s="1" t="s">
        <v>85</v>
      </c>
    </row>
    <row r="193" spans="1:1" x14ac:dyDescent="0.2">
      <c r="A193" s="1" t="s">
        <v>86</v>
      </c>
    </row>
    <row r="194" spans="1:1" x14ac:dyDescent="0.2">
      <c r="A194" s="1" t="s">
        <v>85</v>
      </c>
    </row>
    <row r="195" spans="1:1" x14ac:dyDescent="0.2">
      <c r="A195" s="1" t="s">
        <v>86</v>
      </c>
    </row>
    <row r="196" spans="1:1" x14ac:dyDescent="0.2">
      <c r="A196" s="1" t="s">
        <v>85</v>
      </c>
    </row>
    <row r="197" spans="1:1" x14ac:dyDescent="0.2">
      <c r="A197" s="1" t="s">
        <v>86</v>
      </c>
    </row>
    <row r="198" spans="1:1" x14ac:dyDescent="0.2">
      <c r="A198" s="1" t="s">
        <v>87</v>
      </c>
    </row>
    <row r="199" spans="1:1" x14ac:dyDescent="0.2">
      <c r="A199" s="1" t="s">
        <v>88</v>
      </c>
    </row>
    <row r="200" spans="1:1" x14ac:dyDescent="0.2">
      <c r="A200" s="1" t="s">
        <v>89</v>
      </c>
    </row>
    <row r="201" spans="1:1" x14ac:dyDescent="0.2">
      <c r="A201" s="1" t="s">
        <v>90</v>
      </c>
    </row>
    <row r="202" spans="1:1" x14ac:dyDescent="0.2">
      <c r="A202" s="1" t="s">
        <v>91</v>
      </c>
    </row>
    <row r="203" spans="1:1" x14ac:dyDescent="0.2">
      <c r="A203" s="1" t="s">
        <v>92</v>
      </c>
    </row>
    <row r="204" spans="1:1" x14ac:dyDescent="0.2">
      <c r="A204" s="1" t="s">
        <v>93</v>
      </c>
    </row>
    <row r="205" spans="1:1" x14ac:dyDescent="0.2">
      <c r="A205" s="1" t="s">
        <v>94</v>
      </c>
    </row>
    <row r="206" spans="1:1" x14ac:dyDescent="0.2">
      <c r="A206" s="1" t="s">
        <v>85</v>
      </c>
    </row>
    <row r="207" spans="1:1" x14ac:dyDescent="0.2">
      <c r="A207" s="1" t="s">
        <v>86</v>
      </c>
    </row>
    <row r="208" spans="1:1" x14ac:dyDescent="0.2">
      <c r="A208" s="1" t="s">
        <v>85</v>
      </c>
    </row>
    <row r="209" spans="1:1" x14ac:dyDescent="0.2">
      <c r="A209" s="1" t="s">
        <v>86</v>
      </c>
    </row>
    <row r="210" spans="1:1" x14ac:dyDescent="0.2">
      <c r="A210" s="1" t="s">
        <v>85</v>
      </c>
    </row>
    <row r="211" spans="1:1" x14ac:dyDescent="0.2">
      <c r="A211" s="1" t="s">
        <v>86</v>
      </c>
    </row>
    <row r="212" spans="1:1" x14ac:dyDescent="0.2">
      <c r="A212" s="1" t="s">
        <v>87</v>
      </c>
    </row>
    <row r="213" spans="1:1" x14ac:dyDescent="0.2">
      <c r="A213" s="1" t="s">
        <v>88</v>
      </c>
    </row>
    <row r="214" spans="1:1" x14ac:dyDescent="0.2">
      <c r="A214" s="1" t="s">
        <v>89</v>
      </c>
    </row>
    <row r="215" spans="1:1" x14ac:dyDescent="0.2">
      <c r="A215" s="1" t="s">
        <v>90</v>
      </c>
    </row>
    <row r="216" spans="1:1" x14ac:dyDescent="0.2">
      <c r="A216" s="1" t="s">
        <v>91</v>
      </c>
    </row>
    <row r="217" spans="1:1" x14ac:dyDescent="0.2">
      <c r="A217" s="1" t="s">
        <v>92</v>
      </c>
    </row>
    <row r="218" spans="1:1" x14ac:dyDescent="0.2">
      <c r="A218" s="1" t="s">
        <v>93</v>
      </c>
    </row>
    <row r="219" spans="1:1" x14ac:dyDescent="0.2">
      <c r="A219" s="1" t="s">
        <v>95</v>
      </c>
    </row>
    <row r="220" spans="1:1" x14ac:dyDescent="0.2">
      <c r="A220" s="1" t="s">
        <v>96</v>
      </c>
    </row>
    <row r="221" spans="1:1" x14ac:dyDescent="0.2">
      <c r="A221" s="1" t="s">
        <v>95</v>
      </c>
    </row>
    <row r="222" spans="1:1" x14ac:dyDescent="0.2">
      <c r="A222" s="1" t="s">
        <v>96</v>
      </c>
    </row>
    <row r="223" spans="1:1" x14ac:dyDescent="0.2">
      <c r="A223" s="1" t="s">
        <v>97</v>
      </c>
    </row>
    <row r="224" spans="1:1" x14ac:dyDescent="0.2">
      <c r="A224" s="1" t="s">
        <v>98</v>
      </c>
    </row>
    <row r="225" spans="1:1" x14ac:dyDescent="0.2">
      <c r="A225" s="1" t="s">
        <v>99</v>
      </c>
    </row>
    <row r="226" spans="1:1" x14ac:dyDescent="0.2">
      <c r="A226" s="1" t="s">
        <v>100</v>
      </c>
    </row>
    <row r="227" spans="1:1" x14ac:dyDescent="0.2">
      <c r="A227" s="1" t="s">
        <v>101</v>
      </c>
    </row>
    <row r="228" spans="1:1" x14ac:dyDescent="0.2">
      <c r="A228" s="1" t="s">
        <v>102</v>
      </c>
    </row>
    <row r="229" spans="1:1" x14ac:dyDescent="0.2">
      <c r="A229" s="1" t="s">
        <v>103</v>
      </c>
    </row>
    <row r="230" spans="1:1" x14ac:dyDescent="0.2">
      <c r="A230" s="1" t="s">
        <v>104</v>
      </c>
    </row>
    <row r="231" spans="1:1" x14ac:dyDescent="0.2">
      <c r="A231" s="1" t="s">
        <v>95</v>
      </c>
    </row>
    <row r="232" spans="1:1" x14ac:dyDescent="0.2">
      <c r="A232" s="1" t="s">
        <v>96</v>
      </c>
    </row>
    <row r="233" spans="1:1" x14ac:dyDescent="0.2">
      <c r="A233" s="1" t="s">
        <v>95</v>
      </c>
    </row>
    <row r="234" spans="1:1" x14ac:dyDescent="0.2">
      <c r="A234" s="1" t="s">
        <v>96</v>
      </c>
    </row>
    <row r="235" spans="1:1" x14ac:dyDescent="0.2">
      <c r="A235" s="1" t="s">
        <v>95</v>
      </c>
    </row>
    <row r="236" spans="1:1" x14ac:dyDescent="0.2">
      <c r="A236" s="1" t="s">
        <v>96</v>
      </c>
    </row>
    <row r="237" spans="1:1" x14ac:dyDescent="0.2">
      <c r="A237" s="1" t="s">
        <v>97</v>
      </c>
    </row>
    <row r="238" spans="1:1" x14ac:dyDescent="0.2">
      <c r="A238" s="1" t="s">
        <v>98</v>
      </c>
    </row>
    <row r="239" spans="1:1" x14ac:dyDescent="0.2">
      <c r="A239" s="1" t="s">
        <v>99</v>
      </c>
    </row>
    <row r="240" spans="1:1" x14ac:dyDescent="0.2">
      <c r="A240" s="1" t="s">
        <v>100</v>
      </c>
    </row>
    <row r="241" spans="1:1" x14ac:dyDescent="0.2">
      <c r="A241" s="1" t="s">
        <v>101</v>
      </c>
    </row>
    <row r="242" spans="1:1" x14ac:dyDescent="0.2">
      <c r="A242" s="1" t="s">
        <v>102</v>
      </c>
    </row>
    <row r="243" spans="1:1" x14ac:dyDescent="0.2">
      <c r="A243" s="1" t="s">
        <v>103</v>
      </c>
    </row>
    <row r="244" spans="1:1" x14ac:dyDescent="0.2">
      <c r="A244" s="1" t="s">
        <v>104</v>
      </c>
    </row>
    <row r="245" spans="1:1" x14ac:dyDescent="0.2">
      <c r="A245" s="1" t="s">
        <v>95</v>
      </c>
    </row>
    <row r="246" spans="1:1" x14ac:dyDescent="0.2">
      <c r="A246" s="1" t="s">
        <v>96</v>
      </c>
    </row>
    <row r="247" spans="1:1" x14ac:dyDescent="0.2">
      <c r="A247" s="1" t="s">
        <v>95</v>
      </c>
    </row>
    <row r="248" spans="1:1" x14ac:dyDescent="0.2">
      <c r="A248" s="1" t="s">
        <v>96</v>
      </c>
    </row>
    <row r="249" spans="1:1" x14ac:dyDescent="0.2">
      <c r="A249" s="1" t="s">
        <v>95</v>
      </c>
    </row>
    <row r="250" spans="1:1" x14ac:dyDescent="0.2">
      <c r="A250" s="1" t="s">
        <v>96</v>
      </c>
    </row>
    <row r="251" spans="1:1" x14ac:dyDescent="0.2">
      <c r="A251" s="1" t="s">
        <v>97</v>
      </c>
    </row>
    <row r="252" spans="1:1" x14ac:dyDescent="0.2">
      <c r="A252" s="1" t="s">
        <v>98</v>
      </c>
    </row>
    <row r="253" spans="1:1" x14ac:dyDescent="0.2">
      <c r="A253" s="1" t="s">
        <v>99</v>
      </c>
    </row>
    <row r="254" spans="1:1" x14ac:dyDescent="0.2">
      <c r="A254" s="1" t="s">
        <v>100</v>
      </c>
    </row>
    <row r="255" spans="1:1" x14ac:dyDescent="0.2">
      <c r="A255" s="1" t="s">
        <v>101</v>
      </c>
    </row>
    <row r="256" spans="1:1" x14ac:dyDescent="0.2">
      <c r="A256" s="1" t="s">
        <v>102</v>
      </c>
    </row>
    <row r="257" spans="1:1" x14ac:dyDescent="0.2">
      <c r="A257" s="1" t="s">
        <v>103</v>
      </c>
    </row>
    <row r="258" spans="1:1" x14ac:dyDescent="0.2">
      <c r="A258" s="1" t="s">
        <v>104</v>
      </c>
    </row>
    <row r="259" spans="1:1" x14ac:dyDescent="0.2">
      <c r="A259" s="1" t="s">
        <v>95</v>
      </c>
    </row>
    <row r="260" spans="1:1" x14ac:dyDescent="0.2">
      <c r="A260" s="1" t="s">
        <v>96</v>
      </c>
    </row>
    <row r="261" spans="1:1" x14ac:dyDescent="0.2">
      <c r="A261" s="1" t="s">
        <v>95</v>
      </c>
    </row>
    <row r="262" spans="1:1" x14ac:dyDescent="0.2">
      <c r="A262" s="1" t="s">
        <v>96</v>
      </c>
    </row>
    <row r="263" spans="1:1" x14ac:dyDescent="0.2">
      <c r="A263" s="1" t="s">
        <v>95</v>
      </c>
    </row>
    <row r="264" spans="1:1" x14ac:dyDescent="0.2">
      <c r="A264" s="1" t="s">
        <v>96</v>
      </c>
    </row>
    <row r="265" spans="1:1" x14ac:dyDescent="0.2">
      <c r="A265" s="1" t="s">
        <v>97</v>
      </c>
    </row>
    <row r="266" spans="1:1" x14ac:dyDescent="0.2">
      <c r="A266" s="1" t="s">
        <v>98</v>
      </c>
    </row>
    <row r="267" spans="1:1" x14ac:dyDescent="0.2">
      <c r="A267" s="1" t="s">
        <v>99</v>
      </c>
    </row>
    <row r="268" spans="1:1" x14ac:dyDescent="0.2">
      <c r="A268" s="1" t="s">
        <v>100</v>
      </c>
    </row>
    <row r="269" spans="1:1" x14ac:dyDescent="0.2">
      <c r="A269" s="1" t="s">
        <v>101</v>
      </c>
    </row>
    <row r="270" spans="1:1" x14ac:dyDescent="0.2">
      <c r="A270" s="1" t="s">
        <v>102</v>
      </c>
    </row>
    <row r="271" spans="1:1" x14ac:dyDescent="0.2">
      <c r="A271" s="1" t="s">
        <v>103</v>
      </c>
    </row>
    <row r="272" spans="1:1" x14ac:dyDescent="0.2">
      <c r="A272" s="1" t="s">
        <v>104</v>
      </c>
    </row>
    <row r="273" spans="1:1" x14ac:dyDescent="0.2">
      <c r="A273" s="1" t="s">
        <v>95</v>
      </c>
    </row>
    <row r="274" spans="1:1" x14ac:dyDescent="0.2">
      <c r="A274" s="1" t="s">
        <v>96</v>
      </c>
    </row>
    <row r="275" spans="1:1" x14ac:dyDescent="0.2">
      <c r="A275" s="1" t="s">
        <v>95</v>
      </c>
    </row>
    <row r="276" spans="1:1" x14ac:dyDescent="0.2">
      <c r="A276" s="1" t="s">
        <v>96</v>
      </c>
    </row>
    <row r="277" spans="1:1" x14ac:dyDescent="0.2">
      <c r="A277" s="1" t="s">
        <v>95</v>
      </c>
    </row>
    <row r="278" spans="1:1" x14ac:dyDescent="0.2">
      <c r="A278" s="1" t="s">
        <v>96</v>
      </c>
    </row>
    <row r="279" spans="1:1" x14ac:dyDescent="0.2">
      <c r="A279" s="1" t="s">
        <v>97</v>
      </c>
    </row>
    <row r="280" spans="1:1" x14ac:dyDescent="0.2">
      <c r="A280" s="1" t="s">
        <v>98</v>
      </c>
    </row>
    <row r="281" spans="1:1" x14ac:dyDescent="0.2">
      <c r="A281" s="1" t="s">
        <v>99</v>
      </c>
    </row>
    <row r="282" spans="1:1" x14ac:dyDescent="0.2">
      <c r="A282" s="1" t="s">
        <v>100</v>
      </c>
    </row>
    <row r="283" spans="1:1" x14ac:dyDescent="0.2">
      <c r="A283" s="1" t="s">
        <v>101</v>
      </c>
    </row>
    <row r="284" spans="1:1" x14ac:dyDescent="0.2">
      <c r="A284" s="1" t="s">
        <v>102</v>
      </c>
    </row>
    <row r="285" spans="1:1" x14ac:dyDescent="0.2">
      <c r="A285" s="1" t="s">
        <v>103</v>
      </c>
    </row>
    <row r="286" spans="1:1" x14ac:dyDescent="0.2">
      <c r="A286" s="1" t="s">
        <v>104</v>
      </c>
    </row>
    <row r="287" spans="1:1" x14ac:dyDescent="0.2">
      <c r="A287" s="1" t="s">
        <v>95</v>
      </c>
    </row>
    <row r="288" spans="1:1" x14ac:dyDescent="0.2">
      <c r="A288" s="1" t="s">
        <v>96</v>
      </c>
    </row>
    <row r="289" spans="1:1" x14ac:dyDescent="0.2">
      <c r="A289" s="1" t="s">
        <v>95</v>
      </c>
    </row>
    <row r="290" spans="1:1" x14ac:dyDescent="0.2">
      <c r="A290" s="1" t="s">
        <v>96</v>
      </c>
    </row>
    <row r="291" spans="1:1" x14ac:dyDescent="0.2">
      <c r="A291" s="1" t="s">
        <v>95</v>
      </c>
    </row>
    <row r="292" spans="1:1" x14ac:dyDescent="0.2">
      <c r="A292" s="1" t="s">
        <v>96</v>
      </c>
    </row>
    <row r="293" spans="1:1" x14ac:dyDescent="0.2">
      <c r="A293" s="1" t="s">
        <v>97</v>
      </c>
    </row>
    <row r="294" spans="1:1" x14ac:dyDescent="0.2">
      <c r="A294" s="1" t="s">
        <v>98</v>
      </c>
    </row>
    <row r="295" spans="1:1" x14ac:dyDescent="0.2">
      <c r="A295" s="1" t="s">
        <v>99</v>
      </c>
    </row>
    <row r="296" spans="1:1" x14ac:dyDescent="0.2">
      <c r="A296" s="1" t="s">
        <v>100</v>
      </c>
    </row>
    <row r="297" spans="1:1" x14ac:dyDescent="0.2">
      <c r="A297" s="1" t="s">
        <v>101</v>
      </c>
    </row>
    <row r="298" spans="1:1" x14ac:dyDescent="0.2">
      <c r="A298" s="1" t="s">
        <v>102</v>
      </c>
    </row>
    <row r="299" spans="1:1" x14ac:dyDescent="0.2">
      <c r="A299" s="1" t="s">
        <v>103</v>
      </c>
    </row>
    <row r="300" spans="1:1" x14ac:dyDescent="0.2">
      <c r="A300" s="1" t="s">
        <v>104</v>
      </c>
    </row>
    <row r="301" spans="1:1" x14ac:dyDescent="0.2">
      <c r="A301" s="1" t="s">
        <v>95</v>
      </c>
    </row>
    <row r="302" spans="1:1" x14ac:dyDescent="0.2">
      <c r="A302" s="1" t="s">
        <v>96</v>
      </c>
    </row>
    <row r="303" spans="1:1" x14ac:dyDescent="0.2">
      <c r="A303" s="1" t="s">
        <v>95</v>
      </c>
    </row>
    <row r="304" spans="1:1" x14ac:dyDescent="0.2">
      <c r="A304" s="1" t="s">
        <v>96</v>
      </c>
    </row>
    <row r="305" spans="1:1" x14ac:dyDescent="0.2">
      <c r="A305" s="1" t="s">
        <v>95</v>
      </c>
    </row>
    <row r="306" spans="1:1" x14ac:dyDescent="0.2">
      <c r="A306" s="1" t="s">
        <v>96</v>
      </c>
    </row>
    <row r="307" spans="1:1" x14ac:dyDescent="0.2">
      <c r="A307" s="1" t="s">
        <v>97</v>
      </c>
    </row>
    <row r="308" spans="1:1" x14ac:dyDescent="0.2">
      <c r="A308" s="1" t="s">
        <v>98</v>
      </c>
    </row>
    <row r="309" spans="1:1" x14ac:dyDescent="0.2">
      <c r="A309" s="1" t="s">
        <v>99</v>
      </c>
    </row>
    <row r="310" spans="1:1" x14ac:dyDescent="0.2">
      <c r="A310" s="1" t="s">
        <v>100</v>
      </c>
    </row>
    <row r="311" spans="1:1" x14ac:dyDescent="0.2">
      <c r="A311" s="1" t="s">
        <v>101</v>
      </c>
    </row>
    <row r="312" spans="1:1" x14ac:dyDescent="0.2">
      <c r="A312" s="1" t="s">
        <v>102</v>
      </c>
    </row>
    <row r="313" spans="1:1" x14ac:dyDescent="0.2">
      <c r="A313" s="1" t="s">
        <v>103</v>
      </c>
    </row>
    <row r="314" spans="1:1" x14ac:dyDescent="0.2">
      <c r="A314" s="1" t="s">
        <v>105</v>
      </c>
    </row>
    <row r="315" spans="1:1" x14ac:dyDescent="0.2">
      <c r="A315" s="1" t="s">
        <v>106</v>
      </c>
    </row>
    <row r="316" spans="1:1" x14ac:dyDescent="0.2">
      <c r="A316" s="1" t="s">
        <v>107</v>
      </c>
    </row>
    <row r="317" spans="1:1" x14ac:dyDescent="0.2">
      <c r="A317" s="1" t="s">
        <v>106</v>
      </c>
    </row>
    <row r="318" spans="1:1" x14ac:dyDescent="0.2">
      <c r="A318" s="1" t="s">
        <v>107</v>
      </c>
    </row>
    <row r="319" spans="1:1" x14ac:dyDescent="0.2">
      <c r="A319" s="1" t="s">
        <v>106</v>
      </c>
    </row>
    <row r="320" spans="1:1" x14ac:dyDescent="0.2">
      <c r="A320" s="1" t="s">
        <v>107</v>
      </c>
    </row>
    <row r="321" spans="1:1" x14ac:dyDescent="0.2">
      <c r="A321" s="1" t="s">
        <v>108</v>
      </c>
    </row>
    <row r="322" spans="1:1" x14ac:dyDescent="0.2">
      <c r="A322" s="1" t="s">
        <v>109</v>
      </c>
    </row>
    <row r="323" spans="1:1" x14ac:dyDescent="0.2">
      <c r="A323" s="1" t="s">
        <v>110</v>
      </c>
    </row>
    <row r="324" spans="1:1" x14ac:dyDescent="0.2">
      <c r="A324" s="1" t="s">
        <v>111</v>
      </c>
    </row>
    <row r="325" spans="1:1" x14ac:dyDescent="0.2">
      <c r="A325" s="1" t="s">
        <v>112</v>
      </c>
    </row>
    <row r="326" spans="1:1" x14ac:dyDescent="0.2">
      <c r="A326" s="1" t="s">
        <v>113</v>
      </c>
    </row>
    <row r="327" spans="1:1" x14ac:dyDescent="0.2">
      <c r="A327" s="1" t="s">
        <v>114</v>
      </c>
    </row>
    <row r="328" spans="1:1" x14ac:dyDescent="0.2">
      <c r="A328" s="1" t="s">
        <v>105</v>
      </c>
    </row>
    <row r="329" spans="1:1" x14ac:dyDescent="0.2">
      <c r="A329" s="1" t="s">
        <v>106</v>
      </c>
    </row>
    <row r="330" spans="1:1" x14ac:dyDescent="0.2">
      <c r="A330" s="1" t="s">
        <v>107</v>
      </c>
    </row>
    <row r="331" spans="1:1" x14ac:dyDescent="0.2">
      <c r="A331" s="1" t="s">
        <v>116</v>
      </c>
    </row>
    <row r="332" spans="1:1" x14ac:dyDescent="0.2">
      <c r="A332" s="1" t="s">
        <v>117</v>
      </c>
    </row>
    <row r="333" spans="1:1" x14ac:dyDescent="0.2">
      <c r="A333" s="1" t="s">
        <v>118</v>
      </c>
    </row>
    <row r="334" spans="1:1" x14ac:dyDescent="0.2">
      <c r="A334" s="1" t="s">
        <v>116</v>
      </c>
    </row>
    <row r="335" spans="1:1" x14ac:dyDescent="0.2">
      <c r="A335" s="1" t="s">
        <v>119</v>
      </c>
    </row>
    <row r="336" spans="1:1" x14ac:dyDescent="0.2">
      <c r="A336" s="1" t="s">
        <v>118</v>
      </c>
    </row>
    <row r="337" spans="1:1" x14ac:dyDescent="0.2">
      <c r="A337" s="1" t="s">
        <v>120</v>
      </c>
    </row>
    <row r="338" spans="1:1" x14ac:dyDescent="0.2">
      <c r="A338" s="1" t="s">
        <v>121</v>
      </c>
    </row>
    <row r="339" spans="1:1" x14ac:dyDescent="0.2">
      <c r="A339" s="1" t="s">
        <v>122</v>
      </c>
    </row>
    <row r="340" spans="1:1" x14ac:dyDescent="0.2">
      <c r="A340" s="1" t="s">
        <v>123</v>
      </c>
    </row>
    <row r="341" spans="1:1" x14ac:dyDescent="0.2">
      <c r="A341" s="1" t="s">
        <v>124</v>
      </c>
    </row>
    <row r="342" spans="1:1" x14ac:dyDescent="0.2">
      <c r="A342" s="1" t="s">
        <v>125</v>
      </c>
    </row>
    <row r="343" spans="1:1" x14ac:dyDescent="0.2">
      <c r="A343" s="1" t="s">
        <v>126</v>
      </c>
    </row>
    <row r="344" spans="1:1" x14ac:dyDescent="0.2">
      <c r="A344" s="1" t="s">
        <v>127</v>
      </c>
    </row>
    <row r="345" spans="1:1" x14ac:dyDescent="0.2">
      <c r="A345" s="1" t="s">
        <v>128</v>
      </c>
    </row>
    <row r="346" spans="1:1" x14ac:dyDescent="0.2">
      <c r="A346" s="1" t="s">
        <v>129</v>
      </c>
    </row>
    <row r="347" spans="1:1" x14ac:dyDescent="0.2">
      <c r="A347" s="1" t="s">
        <v>130</v>
      </c>
    </row>
    <row r="348" spans="1:1" x14ac:dyDescent="0.2">
      <c r="A348" s="1" t="s">
        <v>131</v>
      </c>
    </row>
    <row r="349" spans="1:1" x14ac:dyDescent="0.2">
      <c r="A349" s="1" t="s">
        <v>132</v>
      </c>
    </row>
    <row r="350" spans="1:1" x14ac:dyDescent="0.2">
      <c r="A350" s="1" t="s">
        <v>133</v>
      </c>
    </row>
    <row r="351" spans="1:1" x14ac:dyDescent="0.2">
      <c r="A351" s="1" t="s">
        <v>134</v>
      </c>
    </row>
    <row r="352" spans="1:1" x14ac:dyDescent="0.2">
      <c r="A352" s="1" t="s">
        <v>135</v>
      </c>
    </row>
    <row r="353" spans="1:1" x14ac:dyDescent="0.2">
      <c r="A353" s="1" t="s">
        <v>136</v>
      </c>
    </row>
    <row r="354" spans="1:1" x14ac:dyDescent="0.2">
      <c r="A354" s="1" t="s">
        <v>137</v>
      </c>
    </row>
    <row r="355" spans="1:1" x14ac:dyDescent="0.2">
      <c r="A355" s="1" t="s">
        <v>138</v>
      </c>
    </row>
    <row r="356" spans="1:1" x14ac:dyDescent="0.2">
      <c r="A356" s="1" t="s">
        <v>139</v>
      </c>
    </row>
    <row r="357" spans="1:1" x14ac:dyDescent="0.2">
      <c r="A357" s="1" t="s">
        <v>140</v>
      </c>
    </row>
    <row r="358" spans="1:1" x14ac:dyDescent="0.2">
      <c r="A358" s="1" t="s">
        <v>141</v>
      </c>
    </row>
    <row r="359" spans="1:1" x14ac:dyDescent="0.2">
      <c r="A359" s="1" t="s">
        <v>142</v>
      </c>
    </row>
    <row r="360" spans="1:1" x14ac:dyDescent="0.2">
      <c r="A360" s="1" t="s">
        <v>143</v>
      </c>
    </row>
    <row r="361" spans="1:1" x14ac:dyDescent="0.2">
      <c r="A361" s="1" t="s">
        <v>144</v>
      </c>
    </row>
    <row r="362" spans="1:1" x14ac:dyDescent="0.2">
      <c r="A362" s="1" t="s">
        <v>145</v>
      </c>
    </row>
    <row r="363" spans="1:1" x14ac:dyDescent="0.2">
      <c r="A363" s="1" t="s">
        <v>146</v>
      </c>
    </row>
    <row r="364" spans="1:1" x14ac:dyDescent="0.2">
      <c r="A364" s="1" t="s">
        <v>147</v>
      </c>
    </row>
    <row r="365" spans="1:1" x14ac:dyDescent="0.2">
      <c r="A365" s="1" t="s">
        <v>148</v>
      </c>
    </row>
    <row r="366" spans="1:1" x14ac:dyDescent="0.2">
      <c r="A366" s="1" t="s">
        <v>149</v>
      </c>
    </row>
    <row r="367" spans="1:1" x14ac:dyDescent="0.2">
      <c r="A367" s="1" t="s">
        <v>150</v>
      </c>
    </row>
    <row r="368" spans="1:1" x14ac:dyDescent="0.2">
      <c r="A368" s="1" t="s">
        <v>151</v>
      </c>
    </row>
    <row r="369" spans="1:1" x14ac:dyDescent="0.2">
      <c r="A369" s="1" t="s">
        <v>152</v>
      </c>
    </row>
    <row r="370" spans="1:1" x14ac:dyDescent="0.2">
      <c r="A370" s="1" t="s">
        <v>153</v>
      </c>
    </row>
    <row r="371" spans="1:1" x14ac:dyDescent="0.2">
      <c r="A371" s="1" t="s">
        <v>154</v>
      </c>
    </row>
    <row r="372" spans="1:1" x14ac:dyDescent="0.2">
      <c r="A372" s="1" t="s">
        <v>155</v>
      </c>
    </row>
    <row r="373" spans="1:1" x14ac:dyDescent="0.2">
      <c r="A373" s="1" t="s">
        <v>144</v>
      </c>
    </row>
    <row r="374" spans="1:1" x14ac:dyDescent="0.2">
      <c r="A374" s="1" t="s">
        <v>156</v>
      </c>
    </row>
    <row r="375" spans="1:1" x14ac:dyDescent="0.2">
      <c r="A375" s="1" t="s">
        <v>146</v>
      </c>
    </row>
    <row r="376" spans="1:1" x14ac:dyDescent="0.2">
      <c r="A376" s="1" t="s">
        <v>147</v>
      </c>
    </row>
    <row r="377" spans="1:1" x14ac:dyDescent="0.2">
      <c r="A377" s="1" t="s">
        <v>148</v>
      </c>
    </row>
    <row r="378" spans="1:1" x14ac:dyDescent="0.2">
      <c r="A378" s="1" t="s">
        <v>149</v>
      </c>
    </row>
    <row r="379" spans="1:1" x14ac:dyDescent="0.2">
      <c r="A379" s="1" t="s">
        <v>157</v>
      </c>
    </row>
    <row r="380" spans="1:1" x14ac:dyDescent="0.2">
      <c r="A380" s="1" t="s">
        <v>151</v>
      </c>
    </row>
    <row r="381" spans="1:1" x14ac:dyDescent="0.2">
      <c r="A381" s="1" t="s">
        <v>152</v>
      </c>
    </row>
    <row r="382" spans="1:1" x14ac:dyDescent="0.2">
      <c r="A382" s="1" t="s">
        <v>153</v>
      </c>
    </row>
    <row r="383" spans="1:1" x14ac:dyDescent="0.2">
      <c r="A383" s="1" t="s">
        <v>154</v>
      </c>
    </row>
    <row r="384" spans="1:1" x14ac:dyDescent="0.2">
      <c r="A384" s="1" t="s">
        <v>155</v>
      </c>
    </row>
    <row r="385" spans="1:1" x14ac:dyDescent="0.2">
      <c r="A385" s="1" t="s">
        <v>158</v>
      </c>
    </row>
    <row r="386" spans="1:1" x14ac:dyDescent="0.2">
      <c r="A386" s="1" t="s">
        <v>159</v>
      </c>
    </row>
    <row r="387" spans="1:1" x14ac:dyDescent="0.2">
      <c r="A387" s="1" t="s">
        <v>158</v>
      </c>
    </row>
    <row r="388" spans="1:1" x14ac:dyDescent="0.2">
      <c r="A388" s="1" t="s">
        <v>159</v>
      </c>
    </row>
    <row r="389" spans="1:1" x14ac:dyDescent="0.2">
      <c r="A389" s="1" t="s">
        <v>160</v>
      </c>
    </row>
    <row r="390" spans="1:1" x14ac:dyDescent="0.2">
      <c r="A390" s="1" t="s">
        <v>161</v>
      </c>
    </row>
    <row r="391" spans="1:1" x14ac:dyDescent="0.2">
      <c r="A391" s="1" t="s">
        <v>162</v>
      </c>
    </row>
    <row r="392" spans="1:1" x14ac:dyDescent="0.2">
      <c r="A392" s="1" t="s">
        <v>163</v>
      </c>
    </row>
    <row r="393" spans="1:1" x14ac:dyDescent="0.2">
      <c r="A393" s="1" t="s">
        <v>164</v>
      </c>
    </row>
    <row r="394" spans="1:1" x14ac:dyDescent="0.2">
      <c r="A394" s="1" t="s">
        <v>165</v>
      </c>
    </row>
    <row r="395" spans="1:1" x14ac:dyDescent="0.2">
      <c r="A395" s="1" t="s">
        <v>166</v>
      </c>
    </row>
    <row r="396" spans="1:1" x14ac:dyDescent="0.2">
      <c r="A396" s="1" t="s">
        <v>167</v>
      </c>
    </row>
    <row r="397" spans="1:1" x14ac:dyDescent="0.2">
      <c r="A397" s="1" t="s">
        <v>158</v>
      </c>
    </row>
    <row r="398" spans="1:1" x14ac:dyDescent="0.2">
      <c r="A398" s="1" t="s">
        <v>159</v>
      </c>
    </row>
    <row r="399" spans="1:1" x14ac:dyDescent="0.2">
      <c r="A399" s="1" t="s">
        <v>158</v>
      </c>
    </row>
    <row r="400" spans="1:1" x14ac:dyDescent="0.2">
      <c r="A400" s="1" t="s">
        <v>159</v>
      </c>
    </row>
    <row r="401" spans="1:1" x14ac:dyDescent="0.2">
      <c r="A401" s="1" t="s">
        <v>158</v>
      </c>
    </row>
    <row r="402" spans="1:1" x14ac:dyDescent="0.2">
      <c r="A402" s="1" t="s">
        <v>159</v>
      </c>
    </row>
    <row r="403" spans="1:1" x14ac:dyDescent="0.2">
      <c r="A403" s="1" t="s">
        <v>160</v>
      </c>
    </row>
    <row r="404" spans="1:1" x14ac:dyDescent="0.2">
      <c r="A404" s="1" t="s">
        <v>161</v>
      </c>
    </row>
    <row r="405" spans="1:1" x14ac:dyDescent="0.2">
      <c r="A405" s="1" t="s">
        <v>162</v>
      </c>
    </row>
    <row r="406" spans="1:1" x14ac:dyDescent="0.2">
      <c r="A406" s="1" t="s">
        <v>163</v>
      </c>
    </row>
    <row r="407" spans="1:1" x14ac:dyDescent="0.2">
      <c r="A407" s="1" t="s">
        <v>164</v>
      </c>
    </row>
    <row r="408" spans="1:1" x14ac:dyDescent="0.2">
      <c r="A408" s="1" t="s">
        <v>165</v>
      </c>
    </row>
    <row r="409" spans="1:1" x14ac:dyDescent="0.2">
      <c r="A409" s="1" t="s">
        <v>166</v>
      </c>
    </row>
    <row r="410" spans="1:1" x14ac:dyDescent="0.2">
      <c r="A410" s="1" t="s">
        <v>167</v>
      </c>
    </row>
    <row r="411" spans="1:1" x14ac:dyDescent="0.2">
      <c r="A411" s="1" t="s">
        <v>158</v>
      </c>
    </row>
    <row r="412" spans="1:1" x14ac:dyDescent="0.2">
      <c r="A412" s="1" t="s">
        <v>159</v>
      </c>
    </row>
    <row r="413" spans="1:1" x14ac:dyDescent="0.2">
      <c r="A413" s="1" t="s">
        <v>158</v>
      </c>
    </row>
    <row r="414" spans="1:1" x14ac:dyDescent="0.2">
      <c r="A414" s="1" t="s">
        <v>159</v>
      </c>
    </row>
    <row r="415" spans="1:1" x14ac:dyDescent="0.2">
      <c r="A415" s="1" t="s">
        <v>158</v>
      </c>
    </row>
    <row r="416" spans="1:1" x14ac:dyDescent="0.2">
      <c r="A416" s="1" t="s">
        <v>159</v>
      </c>
    </row>
    <row r="417" spans="1:1" x14ac:dyDescent="0.2">
      <c r="A417" s="1" t="s">
        <v>160</v>
      </c>
    </row>
    <row r="418" spans="1:1" x14ac:dyDescent="0.2">
      <c r="A418" s="1" t="s">
        <v>161</v>
      </c>
    </row>
    <row r="419" spans="1:1" x14ac:dyDescent="0.2">
      <c r="A419" s="1" t="s">
        <v>162</v>
      </c>
    </row>
    <row r="420" spans="1:1" x14ac:dyDescent="0.2">
      <c r="A420" s="1" t="s">
        <v>163</v>
      </c>
    </row>
    <row r="421" spans="1:1" x14ac:dyDescent="0.2">
      <c r="A421" s="1" t="s">
        <v>164</v>
      </c>
    </row>
    <row r="422" spans="1:1" x14ac:dyDescent="0.2">
      <c r="A422" s="1" t="s">
        <v>165</v>
      </c>
    </row>
    <row r="423" spans="1:1" x14ac:dyDescent="0.2">
      <c r="A423" s="1" t="s">
        <v>166</v>
      </c>
    </row>
    <row r="424" spans="1:1" x14ac:dyDescent="0.2">
      <c r="A424" s="1" t="s">
        <v>167</v>
      </c>
    </row>
    <row r="425" spans="1:1" x14ac:dyDescent="0.2">
      <c r="A425" s="1" t="s">
        <v>158</v>
      </c>
    </row>
    <row r="426" spans="1:1" x14ac:dyDescent="0.2">
      <c r="A426" s="1" t="s">
        <v>159</v>
      </c>
    </row>
    <row r="427" spans="1:1" x14ac:dyDescent="0.2">
      <c r="A427" s="1" t="s">
        <v>158</v>
      </c>
    </row>
    <row r="428" spans="1:1" x14ac:dyDescent="0.2">
      <c r="A428" s="1" t="s">
        <v>159</v>
      </c>
    </row>
    <row r="429" spans="1:1" x14ac:dyDescent="0.2">
      <c r="A429" s="1" t="s">
        <v>158</v>
      </c>
    </row>
    <row r="430" spans="1:1" x14ac:dyDescent="0.2">
      <c r="A430" s="1" t="s">
        <v>159</v>
      </c>
    </row>
    <row r="431" spans="1:1" x14ac:dyDescent="0.2">
      <c r="A431" s="1" t="s">
        <v>160</v>
      </c>
    </row>
    <row r="432" spans="1:1" x14ac:dyDescent="0.2">
      <c r="A432" s="1" t="s">
        <v>161</v>
      </c>
    </row>
    <row r="433" spans="1:1" x14ac:dyDescent="0.2">
      <c r="A433" s="1" t="s">
        <v>162</v>
      </c>
    </row>
    <row r="434" spans="1:1" x14ac:dyDescent="0.2">
      <c r="A434" s="1" t="s">
        <v>163</v>
      </c>
    </row>
    <row r="435" spans="1:1" x14ac:dyDescent="0.2">
      <c r="A435" s="1" t="s">
        <v>164</v>
      </c>
    </row>
    <row r="436" spans="1:1" x14ac:dyDescent="0.2">
      <c r="A436" s="1" t="s">
        <v>165</v>
      </c>
    </row>
    <row r="437" spans="1:1" x14ac:dyDescent="0.2">
      <c r="A437" s="1" t="s">
        <v>166</v>
      </c>
    </row>
    <row r="438" spans="1:1" x14ac:dyDescent="0.2">
      <c r="A438" s="1" t="s">
        <v>167</v>
      </c>
    </row>
    <row r="439" spans="1:1" x14ac:dyDescent="0.2">
      <c r="A439" s="1" t="s">
        <v>158</v>
      </c>
    </row>
    <row r="440" spans="1:1" x14ac:dyDescent="0.2">
      <c r="A440" s="1" t="s">
        <v>159</v>
      </c>
    </row>
    <row r="441" spans="1:1" x14ac:dyDescent="0.2">
      <c r="A441" s="1" t="s">
        <v>158</v>
      </c>
    </row>
    <row r="442" spans="1:1" x14ac:dyDescent="0.2">
      <c r="A442" s="1" t="s">
        <v>159</v>
      </c>
    </row>
    <row r="443" spans="1:1" x14ac:dyDescent="0.2">
      <c r="A443" s="1" t="s">
        <v>158</v>
      </c>
    </row>
    <row r="444" spans="1:1" x14ac:dyDescent="0.2">
      <c r="A444" s="1" t="s">
        <v>159</v>
      </c>
    </row>
    <row r="445" spans="1:1" x14ac:dyDescent="0.2">
      <c r="A445" s="1" t="s">
        <v>160</v>
      </c>
    </row>
    <row r="446" spans="1:1" x14ac:dyDescent="0.2">
      <c r="A446" s="1" t="s">
        <v>161</v>
      </c>
    </row>
    <row r="447" spans="1:1" x14ac:dyDescent="0.2">
      <c r="A447" s="1" t="s">
        <v>162</v>
      </c>
    </row>
    <row r="448" spans="1:1" x14ac:dyDescent="0.2">
      <c r="A448" s="1" t="s">
        <v>163</v>
      </c>
    </row>
    <row r="449" spans="1:1" x14ac:dyDescent="0.2">
      <c r="A449" s="1" t="s">
        <v>164</v>
      </c>
    </row>
    <row r="450" spans="1:1" x14ac:dyDescent="0.2">
      <c r="A450" s="1" t="s">
        <v>165</v>
      </c>
    </row>
    <row r="451" spans="1:1" x14ac:dyDescent="0.2">
      <c r="A451" s="1" t="s">
        <v>166</v>
      </c>
    </row>
    <row r="452" spans="1:1" x14ac:dyDescent="0.2">
      <c r="A452" s="1" t="s">
        <v>167</v>
      </c>
    </row>
    <row r="453" spans="1:1" x14ac:dyDescent="0.2">
      <c r="A453" s="1" t="s">
        <v>158</v>
      </c>
    </row>
    <row r="454" spans="1:1" x14ac:dyDescent="0.2">
      <c r="A454" s="1" t="s">
        <v>159</v>
      </c>
    </row>
    <row r="455" spans="1:1" x14ac:dyDescent="0.2">
      <c r="A455" s="1" t="s">
        <v>158</v>
      </c>
    </row>
    <row r="456" spans="1:1" x14ac:dyDescent="0.2">
      <c r="A456" s="1" t="s">
        <v>159</v>
      </c>
    </row>
    <row r="457" spans="1:1" x14ac:dyDescent="0.2">
      <c r="A457" s="1" t="s">
        <v>158</v>
      </c>
    </row>
    <row r="458" spans="1:1" x14ac:dyDescent="0.2">
      <c r="A458" s="1" t="s">
        <v>159</v>
      </c>
    </row>
    <row r="459" spans="1:1" x14ac:dyDescent="0.2">
      <c r="A459" s="1" t="s">
        <v>160</v>
      </c>
    </row>
    <row r="460" spans="1:1" x14ac:dyDescent="0.2">
      <c r="A460" s="1" t="s">
        <v>161</v>
      </c>
    </row>
    <row r="461" spans="1:1" x14ac:dyDescent="0.2">
      <c r="A461" s="1" t="s">
        <v>162</v>
      </c>
    </row>
    <row r="462" spans="1:1" x14ac:dyDescent="0.2">
      <c r="A462" s="1" t="s">
        <v>163</v>
      </c>
    </row>
    <row r="463" spans="1:1" x14ac:dyDescent="0.2">
      <c r="A463" s="1" t="s">
        <v>164</v>
      </c>
    </row>
    <row r="464" spans="1:1" x14ac:dyDescent="0.2">
      <c r="A464" s="1" t="s">
        <v>165</v>
      </c>
    </row>
    <row r="465" spans="1:1" x14ac:dyDescent="0.2">
      <c r="A465" s="1" t="s">
        <v>166</v>
      </c>
    </row>
    <row r="466" spans="1:1" x14ac:dyDescent="0.2">
      <c r="A466" s="1" t="s">
        <v>167</v>
      </c>
    </row>
    <row r="467" spans="1:1" x14ac:dyDescent="0.2">
      <c r="A467" s="1" t="s">
        <v>158</v>
      </c>
    </row>
    <row r="468" spans="1:1" x14ac:dyDescent="0.2">
      <c r="A468" s="1" t="s">
        <v>159</v>
      </c>
    </row>
    <row r="469" spans="1:1" x14ac:dyDescent="0.2">
      <c r="A469" s="1" t="s">
        <v>158</v>
      </c>
    </row>
    <row r="470" spans="1:1" x14ac:dyDescent="0.2">
      <c r="A470" s="1" t="s">
        <v>159</v>
      </c>
    </row>
    <row r="471" spans="1:1" x14ac:dyDescent="0.2">
      <c r="A471" s="1" t="s">
        <v>158</v>
      </c>
    </row>
    <row r="472" spans="1:1" x14ac:dyDescent="0.2">
      <c r="A472" s="1" t="s">
        <v>159</v>
      </c>
    </row>
    <row r="473" spans="1:1" x14ac:dyDescent="0.2">
      <c r="A473" s="1" t="s">
        <v>160</v>
      </c>
    </row>
    <row r="474" spans="1:1" x14ac:dyDescent="0.2">
      <c r="A474" s="1" t="s">
        <v>161</v>
      </c>
    </row>
    <row r="475" spans="1:1" x14ac:dyDescent="0.2">
      <c r="A475" s="1" t="s">
        <v>162</v>
      </c>
    </row>
    <row r="476" spans="1:1" x14ac:dyDescent="0.2">
      <c r="A476" s="1" t="s">
        <v>163</v>
      </c>
    </row>
    <row r="477" spans="1:1" x14ac:dyDescent="0.2">
      <c r="A477" s="1" t="s">
        <v>164</v>
      </c>
    </row>
    <row r="478" spans="1:1" x14ac:dyDescent="0.2">
      <c r="A478" s="1" t="s">
        <v>165</v>
      </c>
    </row>
    <row r="479" spans="1:1" x14ac:dyDescent="0.2">
      <c r="A479" s="1" t="s">
        <v>166</v>
      </c>
    </row>
    <row r="480" spans="1:1" x14ac:dyDescent="0.2">
      <c r="A480" s="1" t="s">
        <v>167</v>
      </c>
    </row>
    <row r="481" spans="1:1" x14ac:dyDescent="0.2">
      <c r="A481" s="1" t="s">
        <v>158</v>
      </c>
    </row>
    <row r="482" spans="1:1" x14ac:dyDescent="0.2">
      <c r="A482" s="1" t="s">
        <v>159</v>
      </c>
    </row>
    <row r="483" spans="1:1" x14ac:dyDescent="0.2">
      <c r="A483" s="1" t="s">
        <v>158</v>
      </c>
    </row>
    <row r="484" spans="1:1" x14ac:dyDescent="0.2">
      <c r="A484" s="1" t="s">
        <v>159</v>
      </c>
    </row>
    <row r="485" spans="1:1" x14ac:dyDescent="0.2">
      <c r="A485" s="1" t="s">
        <v>158</v>
      </c>
    </row>
    <row r="486" spans="1:1" x14ac:dyDescent="0.2">
      <c r="A486" s="1" t="s">
        <v>159</v>
      </c>
    </row>
    <row r="487" spans="1:1" x14ac:dyDescent="0.2">
      <c r="A487" s="1" t="s">
        <v>160</v>
      </c>
    </row>
    <row r="488" spans="1:1" x14ac:dyDescent="0.2">
      <c r="A488" s="1" t="s">
        <v>161</v>
      </c>
    </row>
    <row r="489" spans="1:1" x14ac:dyDescent="0.2">
      <c r="A489" s="1" t="s">
        <v>162</v>
      </c>
    </row>
    <row r="490" spans="1:1" x14ac:dyDescent="0.2">
      <c r="A490" s="1" t="s">
        <v>163</v>
      </c>
    </row>
    <row r="491" spans="1:1" x14ac:dyDescent="0.2">
      <c r="A491" s="1" t="s">
        <v>164</v>
      </c>
    </row>
    <row r="492" spans="1:1" x14ac:dyDescent="0.2">
      <c r="A492" s="1" t="s">
        <v>165</v>
      </c>
    </row>
    <row r="493" spans="1:1" x14ac:dyDescent="0.2">
      <c r="A493" s="1" t="s">
        <v>166</v>
      </c>
    </row>
    <row r="494" spans="1:1" x14ac:dyDescent="0.2">
      <c r="A494" s="1" t="s">
        <v>167</v>
      </c>
    </row>
    <row r="495" spans="1:1" x14ac:dyDescent="0.2">
      <c r="A495" s="1" t="s">
        <v>168</v>
      </c>
    </row>
    <row r="496" spans="1:1" x14ac:dyDescent="0.2">
      <c r="A496" s="1" t="s">
        <v>169</v>
      </c>
    </row>
    <row r="497" spans="1:1" x14ac:dyDescent="0.2">
      <c r="A497" s="1" t="s">
        <v>170</v>
      </c>
    </row>
    <row r="498" spans="1:1" x14ac:dyDescent="0.2">
      <c r="A498" s="1" t="s">
        <v>171</v>
      </c>
    </row>
    <row r="499" spans="1:1" x14ac:dyDescent="0.2">
      <c r="A499" s="1" t="s">
        <v>172</v>
      </c>
    </row>
    <row r="500" spans="1:1" x14ac:dyDescent="0.2">
      <c r="A500" s="1" t="s">
        <v>173</v>
      </c>
    </row>
    <row r="501" spans="1:1" x14ac:dyDescent="0.2">
      <c r="A501" s="1" t="s">
        <v>174</v>
      </c>
    </row>
    <row r="502" spans="1:1" x14ac:dyDescent="0.2">
      <c r="A502" s="1" t="s">
        <v>175</v>
      </c>
    </row>
    <row r="503" spans="1:1" x14ac:dyDescent="0.2">
      <c r="A503" s="1" t="s">
        <v>176</v>
      </c>
    </row>
    <row r="504" spans="1:1" x14ac:dyDescent="0.2">
      <c r="A504" s="1" t="s">
        <v>177</v>
      </c>
    </row>
    <row r="505" spans="1:1" x14ac:dyDescent="0.2">
      <c r="A505" s="1" t="s">
        <v>178</v>
      </c>
    </row>
    <row r="506" spans="1:1" x14ac:dyDescent="0.2">
      <c r="A506" s="1" t="s">
        <v>179</v>
      </c>
    </row>
    <row r="507" spans="1:1" x14ac:dyDescent="0.2">
      <c r="A507" s="1" t="s">
        <v>180</v>
      </c>
    </row>
    <row r="508" spans="1:1" x14ac:dyDescent="0.2">
      <c r="A508" s="1" t="s">
        <v>181</v>
      </c>
    </row>
    <row r="509" spans="1:1" x14ac:dyDescent="0.2">
      <c r="A509" s="1" t="s">
        <v>170</v>
      </c>
    </row>
    <row r="510" spans="1:1" x14ac:dyDescent="0.2">
      <c r="A510" s="1" t="s">
        <v>182</v>
      </c>
    </row>
    <row r="511" spans="1:1" x14ac:dyDescent="0.2">
      <c r="A511" s="1" t="s">
        <v>172</v>
      </c>
    </row>
    <row r="512" spans="1:1" x14ac:dyDescent="0.2">
      <c r="A512" s="1" t="s">
        <v>173</v>
      </c>
    </row>
    <row r="513" spans="1:1" x14ac:dyDescent="0.2">
      <c r="A513" s="1" t="s">
        <v>174</v>
      </c>
    </row>
    <row r="514" spans="1:1" x14ac:dyDescent="0.2">
      <c r="A514" s="1" t="s">
        <v>175</v>
      </c>
    </row>
    <row r="515" spans="1:1" x14ac:dyDescent="0.2">
      <c r="A515" s="1" t="s">
        <v>183</v>
      </c>
    </row>
    <row r="516" spans="1:1" x14ac:dyDescent="0.2">
      <c r="A516" s="1" t="s">
        <v>177</v>
      </c>
    </row>
    <row r="517" spans="1:1" x14ac:dyDescent="0.2">
      <c r="A517" s="1" t="s">
        <v>178</v>
      </c>
    </row>
    <row r="518" spans="1:1" x14ac:dyDescent="0.2">
      <c r="A518" s="1" t="s">
        <v>179</v>
      </c>
    </row>
    <row r="519" spans="1:1" x14ac:dyDescent="0.2">
      <c r="A519" s="1" t="s">
        <v>180</v>
      </c>
    </row>
    <row r="520" spans="1:1" x14ac:dyDescent="0.2">
      <c r="A520" s="1" t="s">
        <v>181</v>
      </c>
    </row>
    <row r="521" spans="1:1" x14ac:dyDescent="0.2">
      <c r="A521" s="1" t="s">
        <v>185</v>
      </c>
    </row>
    <row r="522" spans="1:1" x14ac:dyDescent="0.2">
      <c r="A522" s="1" t="s">
        <v>186</v>
      </c>
    </row>
    <row r="523" spans="1:1" x14ac:dyDescent="0.2">
      <c r="A523" s="1" t="s">
        <v>185</v>
      </c>
    </row>
    <row r="524" spans="1:1" x14ac:dyDescent="0.2">
      <c r="A524" s="1" t="s">
        <v>186</v>
      </c>
    </row>
    <row r="525" spans="1:1" x14ac:dyDescent="0.2">
      <c r="A525" s="1" t="s">
        <v>187</v>
      </c>
    </row>
    <row r="526" spans="1:1" x14ac:dyDescent="0.2">
      <c r="A526" s="1" t="s">
        <v>188</v>
      </c>
    </row>
    <row r="527" spans="1:1" x14ac:dyDescent="0.2">
      <c r="A527" s="1" t="s">
        <v>189</v>
      </c>
    </row>
    <row r="528" spans="1:1" x14ac:dyDescent="0.2">
      <c r="A528" s="1" t="s">
        <v>190</v>
      </c>
    </row>
    <row r="529" spans="1:1" x14ac:dyDescent="0.2">
      <c r="A529" s="1" t="s">
        <v>191</v>
      </c>
    </row>
    <row r="530" spans="1:1" x14ac:dyDescent="0.2">
      <c r="A530" s="1" t="s">
        <v>192</v>
      </c>
    </row>
    <row r="531" spans="1:1" x14ac:dyDescent="0.2">
      <c r="A531" s="1" t="s">
        <v>193</v>
      </c>
    </row>
    <row r="532" spans="1:1" x14ac:dyDescent="0.2">
      <c r="A532" s="1" t="s">
        <v>194</v>
      </c>
    </row>
    <row r="533" spans="1:1" x14ac:dyDescent="0.2">
      <c r="A533" s="1" t="s">
        <v>185</v>
      </c>
    </row>
    <row r="534" spans="1:1" x14ac:dyDescent="0.2">
      <c r="A534" s="1" t="s">
        <v>186</v>
      </c>
    </row>
    <row r="535" spans="1:1" x14ac:dyDescent="0.2">
      <c r="A535" s="1" t="s">
        <v>185</v>
      </c>
    </row>
    <row r="536" spans="1:1" x14ac:dyDescent="0.2">
      <c r="A536" s="1" t="s">
        <v>186</v>
      </c>
    </row>
    <row r="537" spans="1:1" x14ac:dyDescent="0.2">
      <c r="A537" s="1" t="s">
        <v>185</v>
      </c>
    </row>
    <row r="538" spans="1:1" x14ac:dyDescent="0.2">
      <c r="A538" s="1" t="s">
        <v>186</v>
      </c>
    </row>
    <row r="539" spans="1:1" x14ac:dyDescent="0.2">
      <c r="A539" s="1" t="s">
        <v>187</v>
      </c>
    </row>
    <row r="540" spans="1:1" x14ac:dyDescent="0.2">
      <c r="A540" s="1" t="s">
        <v>188</v>
      </c>
    </row>
    <row r="541" spans="1:1" x14ac:dyDescent="0.2">
      <c r="A541" s="1" t="s">
        <v>189</v>
      </c>
    </row>
    <row r="542" spans="1:1" x14ac:dyDescent="0.2">
      <c r="A542" s="1" t="s">
        <v>190</v>
      </c>
    </row>
    <row r="543" spans="1:1" x14ac:dyDescent="0.2">
      <c r="A543" s="1" t="s">
        <v>191</v>
      </c>
    </row>
    <row r="544" spans="1:1" x14ac:dyDescent="0.2">
      <c r="A544" s="1" t="s">
        <v>192</v>
      </c>
    </row>
    <row r="545" spans="1:1" x14ac:dyDescent="0.2">
      <c r="A545" s="1" t="s">
        <v>193</v>
      </c>
    </row>
    <row r="546" spans="1:1" x14ac:dyDescent="0.2">
      <c r="A546" s="1" t="s">
        <v>194</v>
      </c>
    </row>
    <row r="547" spans="1:1" x14ac:dyDescent="0.2">
      <c r="A547" s="1" t="s">
        <v>185</v>
      </c>
    </row>
    <row r="548" spans="1:1" x14ac:dyDescent="0.2">
      <c r="A548" s="1" t="s">
        <v>186</v>
      </c>
    </row>
    <row r="549" spans="1:1" x14ac:dyDescent="0.2">
      <c r="A549" s="1" t="s">
        <v>185</v>
      </c>
    </row>
    <row r="550" spans="1:1" x14ac:dyDescent="0.2">
      <c r="A550" s="1" t="s">
        <v>186</v>
      </c>
    </row>
    <row r="551" spans="1:1" x14ac:dyDescent="0.2">
      <c r="A551" s="1" t="s">
        <v>185</v>
      </c>
    </row>
    <row r="552" spans="1:1" x14ac:dyDescent="0.2">
      <c r="A552" s="1" t="s">
        <v>186</v>
      </c>
    </row>
    <row r="553" spans="1:1" x14ac:dyDescent="0.2">
      <c r="A553" s="1" t="s">
        <v>187</v>
      </c>
    </row>
    <row r="554" spans="1:1" x14ac:dyDescent="0.2">
      <c r="A554" s="1" t="s">
        <v>188</v>
      </c>
    </row>
    <row r="555" spans="1:1" x14ac:dyDescent="0.2">
      <c r="A555" s="1" t="s">
        <v>189</v>
      </c>
    </row>
    <row r="556" spans="1:1" x14ac:dyDescent="0.2">
      <c r="A556" s="1" t="s">
        <v>190</v>
      </c>
    </row>
    <row r="557" spans="1:1" x14ac:dyDescent="0.2">
      <c r="A557" s="1" t="s">
        <v>191</v>
      </c>
    </row>
    <row r="558" spans="1:1" x14ac:dyDescent="0.2">
      <c r="A558" s="1" t="s">
        <v>192</v>
      </c>
    </row>
    <row r="559" spans="1:1" x14ac:dyDescent="0.2">
      <c r="A559" s="1" t="s">
        <v>193</v>
      </c>
    </row>
    <row r="560" spans="1:1" x14ac:dyDescent="0.2">
      <c r="A560" s="1" t="s">
        <v>194</v>
      </c>
    </row>
    <row r="561" spans="1:1" x14ac:dyDescent="0.2">
      <c r="A561" s="1" t="s">
        <v>185</v>
      </c>
    </row>
    <row r="562" spans="1:1" x14ac:dyDescent="0.2">
      <c r="A562" s="1" t="s">
        <v>186</v>
      </c>
    </row>
    <row r="563" spans="1:1" x14ac:dyDescent="0.2">
      <c r="A563" s="1" t="s">
        <v>185</v>
      </c>
    </row>
    <row r="564" spans="1:1" x14ac:dyDescent="0.2">
      <c r="A564" s="1" t="s">
        <v>186</v>
      </c>
    </row>
    <row r="565" spans="1:1" x14ac:dyDescent="0.2">
      <c r="A565" s="1" t="s">
        <v>185</v>
      </c>
    </row>
    <row r="566" spans="1:1" x14ac:dyDescent="0.2">
      <c r="A566" s="1" t="s">
        <v>186</v>
      </c>
    </row>
    <row r="567" spans="1:1" x14ac:dyDescent="0.2">
      <c r="A567" s="1" t="s">
        <v>187</v>
      </c>
    </row>
    <row r="568" spans="1:1" x14ac:dyDescent="0.2">
      <c r="A568" s="1" t="s">
        <v>188</v>
      </c>
    </row>
    <row r="569" spans="1:1" x14ac:dyDescent="0.2">
      <c r="A569" s="1" t="s">
        <v>189</v>
      </c>
    </row>
    <row r="570" spans="1:1" x14ac:dyDescent="0.2">
      <c r="A570" s="1" t="s">
        <v>190</v>
      </c>
    </row>
    <row r="571" spans="1:1" x14ac:dyDescent="0.2">
      <c r="A571" s="1" t="s">
        <v>191</v>
      </c>
    </row>
    <row r="572" spans="1:1" x14ac:dyDescent="0.2">
      <c r="A572" s="1" t="s">
        <v>192</v>
      </c>
    </row>
    <row r="573" spans="1:1" x14ac:dyDescent="0.2">
      <c r="A573" s="1" t="s">
        <v>193</v>
      </c>
    </row>
    <row r="574" spans="1:1" x14ac:dyDescent="0.2">
      <c r="A574" s="1" t="s">
        <v>194</v>
      </c>
    </row>
    <row r="575" spans="1:1" x14ac:dyDescent="0.2">
      <c r="A575" s="1" t="s">
        <v>185</v>
      </c>
    </row>
    <row r="576" spans="1:1" x14ac:dyDescent="0.2">
      <c r="A576" s="1" t="s">
        <v>186</v>
      </c>
    </row>
    <row r="577" spans="1:1" x14ac:dyDescent="0.2">
      <c r="A577" s="1" t="s">
        <v>185</v>
      </c>
    </row>
    <row r="578" spans="1:1" x14ac:dyDescent="0.2">
      <c r="A578" s="1" t="s">
        <v>186</v>
      </c>
    </row>
    <row r="579" spans="1:1" x14ac:dyDescent="0.2">
      <c r="A579" s="1" t="s">
        <v>185</v>
      </c>
    </row>
    <row r="580" spans="1:1" x14ac:dyDescent="0.2">
      <c r="A580" s="1" t="s">
        <v>186</v>
      </c>
    </row>
    <row r="581" spans="1:1" x14ac:dyDescent="0.2">
      <c r="A581" s="1" t="s">
        <v>187</v>
      </c>
    </row>
    <row r="582" spans="1:1" x14ac:dyDescent="0.2">
      <c r="A582" s="1" t="s">
        <v>188</v>
      </c>
    </row>
    <row r="583" spans="1:1" x14ac:dyDescent="0.2">
      <c r="A583" s="1" t="s">
        <v>189</v>
      </c>
    </row>
    <row r="584" spans="1:1" x14ac:dyDescent="0.2">
      <c r="A584" s="1" t="s">
        <v>190</v>
      </c>
    </row>
    <row r="585" spans="1:1" x14ac:dyDescent="0.2">
      <c r="A585" s="1" t="s">
        <v>191</v>
      </c>
    </row>
    <row r="586" spans="1:1" x14ac:dyDescent="0.2">
      <c r="A586" s="1" t="s">
        <v>192</v>
      </c>
    </row>
    <row r="587" spans="1:1" x14ac:dyDescent="0.2">
      <c r="A587" s="1" t="s">
        <v>193</v>
      </c>
    </row>
    <row r="588" spans="1:1" x14ac:dyDescent="0.2">
      <c r="A588" s="1" t="s">
        <v>194</v>
      </c>
    </row>
    <row r="589" spans="1:1" x14ac:dyDescent="0.2">
      <c r="A589" s="1" t="s">
        <v>185</v>
      </c>
    </row>
    <row r="590" spans="1:1" x14ac:dyDescent="0.2">
      <c r="A590" s="1" t="s">
        <v>186</v>
      </c>
    </row>
    <row r="591" spans="1:1" x14ac:dyDescent="0.2">
      <c r="A591" s="1" t="s">
        <v>185</v>
      </c>
    </row>
    <row r="592" spans="1:1" x14ac:dyDescent="0.2">
      <c r="A592" s="1" t="s">
        <v>186</v>
      </c>
    </row>
    <row r="593" spans="1:1" x14ac:dyDescent="0.2">
      <c r="A593" s="1" t="s">
        <v>185</v>
      </c>
    </row>
    <row r="594" spans="1:1" x14ac:dyDescent="0.2">
      <c r="A594" s="1" t="s">
        <v>186</v>
      </c>
    </row>
    <row r="595" spans="1:1" x14ac:dyDescent="0.2">
      <c r="A595" s="1" t="s">
        <v>187</v>
      </c>
    </row>
    <row r="596" spans="1:1" x14ac:dyDescent="0.2">
      <c r="A596" s="1" t="s">
        <v>188</v>
      </c>
    </row>
    <row r="597" spans="1:1" x14ac:dyDescent="0.2">
      <c r="A597" s="1" t="s">
        <v>189</v>
      </c>
    </row>
    <row r="598" spans="1:1" x14ac:dyDescent="0.2">
      <c r="A598" s="1" t="s">
        <v>190</v>
      </c>
    </row>
    <row r="599" spans="1:1" x14ac:dyDescent="0.2">
      <c r="A599" s="1" t="s">
        <v>191</v>
      </c>
    </row>
    <row r="600" spans="1:1" x14ac:dyDescent="0.2">
      <c r="A600" s="1" t="s">
        <v>192</v>
      </c>
    </row>
    <row r="601" spans="1:1" x14ac:dyDescent="0.2">
      <c r="A601" s="1" t="s">
        <v>193</v>
      </c>
    </row>
    <row r="602" spans="1:1" x14ac:dyDescent="0.2">
      <c r="A602" s="1" t="s">
        <v>194</v>
      </c>
    </row>
    <row r="603" spans="1:1" x14ac:dyDescent="0.2">
      <c r="A603" s="1" t="s">
        <v>185</v>
      </c>
    </row>
    <row r="604" spans="1:1" x14ac:dyDescent="0.2">
      <c r="A604" s="1" t="s">
        <v>186</v>
      </c>
    </row>
    <row r="605" spans="1:1" x14ac:dyDescent="0.2">
      <c r="A605" s="1" t="s">
        <v>185</v>
      </c>
    </row>
    <row r="606" spans="1:1" x14ac:dyDescent="0.2">
      <c r="A606" s="1" t="s">
        <v>186</v>
      </c>
    </row>
    <row r="607" spans="1:1" x14ac:dyDescent="0.2">
      <c r="A607" s="1" t="s">
        <v>185</v>
      </c>
    </row>
    <row r="608" spans="1:1" x14ac:dyDescent="0.2">
      <c r="A608" s="1" t="s">
        <v>186</v>
      </c>
    </row>
    <row r="609" spans="1:1" x14ac:dyDescent="0.2">
      <c r="A609" s="1" t="s">
        <v>187</v>
      </c>
    </row>
    <row r="610" spans="1:1" x14ac:dyDescent="0.2">
      <c r="A610" s="1" t="s">
        <v>188</v>
      </c>
    </row>
    <row r="611" spans="1:1" x14ac:dyDescent="0.2">
      <c r="A611" s="1" t="s">
        <v>189</v>
      </c>
    </row>
    <row r="612" spans="1:1" x14ac:dyDescent="0.2">
      <c r="A612" s="1" t="s">
        <v>190</v>
      </c>
    </row>
    <row r="613" spans="1:1" x14ac:dyDescent="0.2">
      <c r="A613" s="1" t="s">
        <v>191</v>
      </c>
    </row>
    <row r="614" spans="1:1" x14ac:dyDescent="0.2">
      <c r="A614" s="1" t="s">
        <v>192</v>
      </c>
    </row>
    <row r="615" spans="1:1" x14ac:dyDescent="0.2">
      <c r="A615" s="1" t="s">
        <v>193</v>
      </c>
    </row>
    <row r="616" spans="1:1" x14ac:dyDescent="0.2">
      <c r="A616" s="1" t="s">
        <v>194</v>
      </c>
    </row>
    <row r="617" spans="1:1" x14ac:dyDescent="0.2">
      <c r="A617" s="1" t="s">
        <v>185</v>
      </c>
    </row>
    <row r="618" spans="1:1" x14ac:dyDescent="0.2">
      <c r="A618" s="1" t="s">
        <v>186</v>
      </c>
    </row>
    <row r="619" spans="1:1" x14ac:dyDescent="0.2">
      <c r="A619" s="1" t="s">
        <v>185</v>
      </c>
    </row>
    <row r="620" spans="1:1" x14ac:dyDescent="0.2">
      <c r="A620" s="1" t="s">
        <v>186</v>
      </c>
    </row>
    <row r="621" spans="1:1" x14ac:dyDescent="0.2">
      <c r="A621" s="1" t="s">
        <v>185</v>
      </c>
    </row>
    <row r="622" spans="1:1" x14ac:dyDescent="0.2">
      <c r="A622" s="1" t="s">
        <v>186</v>
      </c>
    </row>
    <row r="623" spans="1:1" x14ac:dyDescent="0.2">
      <c r="A623" s="1" t="s">
        <v>187</v>
      </c>
    </row>
    <row r="624" spans="1:1" x14ac:dyDescent="0.2">
      <c r="A624" s="1" t="s">
        <v>188</v>
      </c>
    </row>
    <row r="625" spans="1:1" x14ac:dyDescent="0.2">
      <c r="A625" s="1" t="s">
        <v>189</v>
      </c>
    </row>
    <row r="626" spans="1:1" x14ac:dyDescent="0.2">
      <c r="A626" s="1" t="s">
        <v>190</v>
      </c>
    </row>
    <row r="627" spans="1:1" x14ac:dyDescent="0.2">
      <c r="A627" s="1" t="s">
        <v>191</v>
      </c>
    </row>
    <row r="628" spans="1:1" x14ac:dyDescent="0.2">
      <c r="A628" s="1" t="s">
        <v>192</v>
      </c>
    </row>
    <row r="629" spans="1:1" x14ac:dyDescent="0.2">
      <c r="A629" s="1" t="s">
        <v>193</v>
      </c>
    </row>
    <row r="630" spans="1:1" x14ac:dyDescent="0.2">
      <c r="A630" s="1" t="s">
        <v>194</v>
      </c>
    </row>
    <row r="631" spans="1:1" x14ac:dyDescent="0.2">
      <c r="A631" s="1" t="s">
        <v>185</v>
      </c>
    </row>
    <row r="632" spans="1:1" x14ac:dyDescent="0.2">
      <c r="A632" s="1" t="s">
        <v>186</v>
      </c>
    </row>
    <row r="633" spans="1:1" x14ac:dyDescent="0.2">
      <c r="A633" s="1" t="s">
        <v>195</v>
      </c>
    </row>
    <row r="634" spans="1:1" x14ac:dyDescent="0.2">
      <c r="A634" s="1" t="s">
        <v>196</v>
      </c>
    </row>
    <row r="635" spans="1:1" x14ac:dyDescent="0.2">
      <c r="A635" s="1" t="s">
        <v>195</v>
      </c>
    </row>
    <row r="636" spans="1:1" x14ac:dyDescent="0.2">
      <c r="A636" s="1" t="s">
        <v>196</v>
      </c>
    </row>
    <row r="637" spans="1:1" x14ac:dyDescent="0.2">
      <c r="A637" s="1" t="s">
        <v>197</v>
      </c>
    </row>
    <row r="638" spans="1:1" x14ac:dyDescent="0.2">
      <c r="A638" s="1" t="s">
        <v>198</v>
      </c>
    </row>
    <row r="639" spans="1:1" x14ac:dyDescent="0.2">
      <c r="A639" s="1" t="s">
        <v>200</v>
      </c>
    </row>
    <row r="640" spans="1:1" x14ac:dyDescent="0.2">
      <c r="A640" s="1" t="s">
        <v>201</v>
      </c>
    </row>
    <row r="641" spans="1:1" x14ac:dyDescent="0.2">
      <c r="A641" s="1" t="s">
        <v>200</v>
      </c>
    </row>
    <row r="642" spans="1:1" x14ac:dyDescent="0.2">
      <c r="A642" s="1" t="s">
        <v>201</v>
      </c>
    </row>
    <row r="643" spans="1:1" x14ac:dyDescent="0.2">
      <c r="A643" s="1" t="s">
        <v>202</v>
      </c>
    </row>
    <row r="644" spans="1:1" x14ac:dyDescent="0.2">
      <c r="A644" s="1" t="s">
        <v>203</v>
      </c>
    </row>
    <row r="645" spans="1:1" x14ac:dyDescent="0.2">
      <c r="A645" s="1" t="s">
        <v>204</v>
      </c>
    </row>
    <row r="646" spans="1:1" x14ac:dyDescent="0.2">
      <c r="A646" s="1" t="s">
        <v>205</v>
      </c>
    </row>
    <row r="647" spans="1:1" x14ac:dyDescent="0.2">
      <c r="A647" s="1" t="s">
        <v>206</v>
      </c>
    </row>
    <row r="648" spans="1:1" x14ac:dyDescent="0.2">
      <c r="A648" s="1" t="s">
        <v>207</v>
      </c>
    </row>
    <row r="649" spans="1:1" x14ac:dyDescent="0.2">
      <c r="A649" s="1" t="s">
        <v>208</v>
      </c>
    </row>
    <row r="650" spans="1:1" x14ac:dyDescent="0.2">
      <c r="A650" s="1" t="s">
        <v>209</v>
      </c>
    </row>
    <row r="651" spans="1:1" x14ac:dyDescent="0.2">
      <c r="A651" s="1" t="s">
        <v>200</v>
      </c>
    </row>
    <row r="652" spans="1:1" x14ac:dyDescent="0.2">
      <c r="A652" s="1" t="s">
        <v>201</v>
      </c>
    </row>
    <row r="653" spans="1:1" x14ac:dyDescent="0.2">
      <c r="A653" s="1" t="s">
        <v>200</v>
      </c>
    </row>
    <row r="654" spans="1:1" x14ac:dyDescent="0.2">
      <c r="A654" s="1" t="s">
        <v>201</v>
      </c>
    </row>
    <row r="655" spans="1:1" x14ac:dyDescent="0.2">
      <c r="A655" s="1" t="s">
        <v>200</v>
      </c>
    </row>
    <row r="656" spans="1:1" x14ac:dyDescent="0.2">
      <c r="A656" s="1" t="s">
        <v>201</v>
      </c>
    </row>
    <row r="657" spans="1:1" x14ac:dyDescent="0.2">
      <c r="A657" s="1" t="s">
        <v>202</v>
      </c>
    </row>
    <row r="658" spans="1:1" x14ac:dyDescent="0.2">
      <c r="A658" s="1" t="s">
        <v>203</v>
      </c>
    </row>
    <row r="659" spans="1:1" x14ac:dyDescent="0.2">
      <c r="A659" s="1" t="s">
        <v>204</v>
      </c>
    </row>
    <row r="660" spans="1:1" x14ac:dyDescent="0.2">
      <c r="A660" s="1" t="s">
        <v>205</v>
      </c>
    </row>
    <row r="661" spans="1:1" x14ac:dyDescent="0.2">
      <c r="A661" s="1" t="s">
        <v>206</v>
      </c>
    </row>
    <row r="662" spans="1:1" x14ac:dyDescent="0.2">
      <c r="A662" s="1" t="s">
        <v>207</v>
      </c>
    </row>
    <row r="663" spans="1:1" x14ac:dyDescent="0.2">
      <c r="A663" s="1" t="s">
        <v>208</v>
      </c>
    </row>
    <row r="664" spans="1:1" x14ac:dyDescent="0.2">
      <c r="A664" s="1" t="s">
        <v>209</v>
      </c>
    </row>
    <row r="665" spans="1:1" x14ac:dyDescent="0.2">
      <c r="A665" s="1" t="s">
        <v>200</v>
      </c>
    </row>
    <row r="666" spans="1:1" x14ac:dyDescent="0.2">
      <c r="A666" s="1" t="s">
        <v>201</v>
      </c>
    </row>
    <row r="667" spans="1:1" x14ac:dyDescent="0.2">
      <c r="A667" s="1" t="s">
        <v>200</v>
      </c>
    </row>
    <row r="668" spans="1:1" x14ac:dyDescent="0.2">
      <c r="A668" s="1" t="s">
        <v>201</v>
      </c>
    </row>
    <row r="669" spans="1:1" x14ac:dyDescent="0.2">
      <c r="A669" s="1" t="s">
        <v>200</v>
      </c>
    </row>
    <row r="670" spans="1:1" x14ac:dyDescent="0.2">
      <c r="A670" s="1" t="s">
        <v>201</v>
      </c>
    </row>
    <row r="671" spans="1:1" x14ac:dyDescent="0.2">
      <c r="A671" s="1" t="s">
        <v>202</v>
      </c>
    </row>
    <row r="672" spans="1:1" x14ac:dyDescent="0.2">
      <c r="A672" s="1" t="s">
        <v>203</v>
      </c>
    </row>
    <row r="673" spans="1:1" x14ac:dyDescent="0.2">
      <c r="A673" s="1" t="s">
        <v>204</v>
      </c>
    </row>
    <row r="674" spans="1:1" x14ac:dyDescent="0.2">
      <c r="A674" s="1" t="s">
        <v>205</v>
      </c>
    </row>
    <row r="675" spans="1:1" x14ac:dyDescent="0.2">
      <c r="A675" s="1" t="s">
        <v>206</v>
      </c>
    </row>
    <row r="676" spans="1:1" x14ac:dyDescent="0.2">
      <c r="A676" s="1" t="s">
        <v>207</v>
      </c>
    </row>
    <row r="677" spans="1:1" x14ac:dyDescent="0.2">
      <c r="A677" s="1" t="s">
        <v>208</v>
      </c>
    </row>
    <row r="678" spans="1:1" x14ac:dyDescent="0.2">
      <c r="A678" s="1" t="s">
        <v>209</v>
      </c>
    </row>
    <row r="679" spans="1:1" x14ac:dyDescent="0.2">
      <c r="A679" s="1" t="s">
        <v>200</v>
      </c>
    </row>
    <row r="680" spans="1:1" x14ac:dyDescent="0.2">
      <c r="A680" s="1" t="s">
        <v>201</v>
      </c>
    </row>
    <row r="681" spans="1:1" x14ac:dyDescent="0.2">
      <c r="A681" s="1" t="s">
        <v>200</v>
      </c>
    </row>
    <row r="682" spans="1:1" x14ac:dyDescent="0.2">
      <c r="A682" s="1" t="s">
        <v>201</v>
      </c>
    </row>
    <row r="683" spans="1:1" x14ac:dyDescent="0.2">
      <c r="A683" s="1" t="s">
        <v>200</v>
      </c>
    </row>
    <row r="684" spans="1:1" x14ac:dyDescent="0.2">
      <c r="A684" s="1" t="s">
        <v>201</v>
      </c>
    </row>
    <row r="685" spans="1:1" x14ac:dyDescent="0.2">
      <c r="A685" s="1" t="s">
        <v>202</v>
      </c>
    </row>
    <row r="686" spans="1:1" x14ac:dyDescent="0.2">
      <c r="A686" s="1" t="s">
        <v>203</v>
      </c>
    </row>
    <row r="687" spans="1:1" x14ac:dyDescent="0.2">
      <c r="A687" s="1" t="s">
        <v>204</v>
      </c>
    </row>
    <row r="688" spans="1:1" x14ac:dyDescent="0.2">
      <c r="A688" s="1" t="s">
        <v>205</v>
      </c>
    </row>
    <row r="689" spans="1:1" x14ac:dyDescent="0.2">
      <c r="A689" s="1" t="s">
        <v>206</v>
      </c>
    </row>
    <row r="690" spans="1:1" x14ac:dyDescent="0.2">
      <c r="A690" s="1" t="s">
        <v>207</v>
      </c>
    </row>
    <row r="691" spans="1:1" x14ac:dyDescent="0.2">
      <c r="A691" s="1" t="s">
        <v>208</v>
      </c>
    </row>
    <row r="692" spans="1:1" x14ac:dyDescent="0.2">
      <c r="A692" s="1" t="s">
        <v>209</v>
      </c>
    </row>
    <row r="693" spans="1:1" x14ac:dyDescent="0.2">
      <c r="A693" s="1" t="s">
        <v>200</v>
      </c>
    </row>
    <row r="694" spans="1:1" x14ac:dyDescent="0.2">
      <c r="A694" s="1" t="s">
        <v>201</v>
      </c>
    </row>
    <row r="695" spans="1:1" x14ac:dyDescent="0.2">
      <c r="A695" s="1" t="s">
        <v>200</v>
      </c>
    </row>
    <row r="696" spans="1:1" x14ac:dyDescent="0.2">
      <c r="A696" s="1" t="s">
        <v>201</v>
      </c>
    </row>
    <row r="697" spans="1:1" x14ac:dyDescent="0.2">
      <c r="A697" s="1" t="s">
        <v>200</v>
      </c>
    </row>
    <row r="698" spans="1:1" x14ac:dyDescent="0.2">
      <c r="A698" s="1" t="s">
        <v>201</v>
      </c>
    </row>
    <row r="699" spans="1:1" x14ac:dyDescent="0.2">
      <c r="A699" s="1" t="s">
        <v>210</v>
      </c>
    </row>
    <row r="700" spans="1:1" x14ac:dyDescent="0.2">
      <c r="A700" s="1" t="s">
        <v>211</v>
      </c>
    </row>
    <row r="701" spans="1:1" x14ac:dyDescent="0.2">
      <c r="A701" s="1" t="s">
        <v>212</v>
      </c>
    </row>
    <row r="702" spans="1:1" x14ac:dyDescent="0.2">
      <c r="A702" s="1" t="s">
        <v>213</v>
      </c>
    </row>
    <row r="703" spans="1:1" x14ac:dyDescent="0.2">
      <c r="A703" s="1" t="s">
        <v>214</v>
      </c>
    </row>
    <row r="704" spans="1:1" x14ac:dyDescent="0.2">
      <c r="A704" s="1" t="s">
        <v>215</v>
      </c>
    </row>
    <row r="705" spans="1:1" x14ac:dyDescent="0.2">
      <c r="A705" s="1" t="s">
        <v>216</v>
      </c>
    </row>
    <row r="706" spans="1:1" x14ac:dyDescent="0.2">
      <c r="A706" s="1" t="s">
        <v>217</v>
      </c>
    </row>
    <row r="707" spans="1:1" x14ac:dyDescent="0.2">
      <c r="A707" s="1" t="s">
        <v>218</v>
      </c>
    </row>
    <row r="708" spans="1:1" x14ac:dyDescent="0.2">
      <c r="A708" s="1" t="s">
        <v>219</v>
      </c>
    </row>
    <row r="709" spans="1:1" x14ac:dyDescent="0.2">
      <c r="A709" s="1" t="s">
        <v>218</v>
      </c>
    </row>
    <row r="710" spans="1:1" x14ac:dyDescent="0.2">
      <c r="A710" s="1" t="s">
        <v>219</v>
      </c>
    </row>
    <row r="711" spans="1:1" x14ac:dyDescent="0.2">
      <c r="A711" s="1" t="s">
        <v>218</v>
      </c>
    </row>
    <row r="712" spans="1:1" x14ac:dyDescent="0.2">
      <c r="A712" s="1" t="s">
        <v>219</v>
      </c>
    </row>
    <row r="713" spans="1:1" x14ac:dyDescent="0.2">
      <c r="A713" s="1" t="s">
        <v>210</v>
      </c>
    </row>
    <row r="714" spans="1:1" x14ac:dyDescent="0.2">
      <c r="A714" s="1" t="s">
        <v>211</v>
      </c>
    </row>
    <row r="715" spans="1:1" x14ac:dyDescent="0.2">
      <c r="A715" s="1" t="s">
        <v>212</v>
      </c>
    </row>
    <row r="716" spans="1:1" x14ac:dyDescent="0.2">
      <c r="A716" s="1" t="s">
        <v>213</v>
      </c>
    </row>
    <row r="717" spans="1:1" x14ac:dyDescent="0.2">
      <c r="A717" s="1" t="s">
        <v>214</v>
      </c>
    </row>
    <row r="718" spans="1:1" x14ac:dyDescent="0.2">
      <c r="A718" s="1" t="s">
        <v>215</v>
      </c>
    </row>
    <row r="719" spans="1:1" x14ac:dyDescent="0.2">
      <c r="A719" s="1" t="s">
        <v>216</v>
      </c>
    </row>
    <row r="720" spans="1:1" x14ac:dyDescent="0.2">
      <c r="A720" s="1" t="s">
        <v>217</v>
      </c>
    </row>
    <row r="721" spans="1:1" x14ac:dyDescent="0.2">
      <c r="A721" s="1" t="s">
        <v>218</v>
      </c>
    </row>
    <row r="722" spans="1:1" x14ac:dyDescent="0.2">
      <c r="A722" s="1" t="s">
        <v>219</v>
      </c>
    </row>
    <row r="723" spans="1:1" x14ac:dyDescent="0.2">
      <c r="A723" s="1" t="s">
        <v>218</v>
      </c>
    </row>
    <row r="724" spans="1:1" x14ac:dyDescent="0.2">
      <c r="A724" s="1" t="s">
        <v>219</v>
      </c>
    </row>
    <row r="725" spans="1:1" x14ac:dyDescent="0.2">
      <c r="A725" s="1" t="s">
        <v>218</v>
      </c>
    </row>
    <row r="726" spans="1:1" x14ac:dyDescent="0.2">
      <c r="A726" s="1" t="s">
        <v>219</v>
      </c>
    </row>
    <row r="727" spans="1:1" x14ac:dyDescent="0.2">
      <c r="A727" s="1" t="s">
        <v>210</v>
      </c>
    </row>
    <row r="728" spans="1:1" x14ac:dyDescent="0.2">
      <c r="A728" s="1" t="s">
        <v>211</v>
      </c>
    </row>
    <row r="729" spans="1:1" x14ac:dyDescent="0.2">
      <c r="A729" s="1" t="s">
        <v>212</v>
      </c>
    </row>
    <row r="730" spans="1:1" x14ac:dyDescent="0.2">
      <c r="A730" s="1" t="s">
        <v>213</v>
      </c>
    </row>
    <row r="731" spans="1:1" x14ac:dyDescent="0.2">
      <c r="A731" s="1" t="s">
        <v>214</v>
      </c>
    </row>
    <row r="732" spans="1:1" x14ac:dyDescent="0.2">
      <c r="A732" s="1" t="s">
        <v>215</v>
      </c>
    </row>
    <row r="733" spans="1:1" x14ac:dyDescent="0.2">
      <c r="A733" s="1" t="s">
        <v>216</v>
      </c>
    </row>
    <row r="734" spans="1:1" x14ac:dyDescent="0.2">
      <c r="A734" s="1" t="s">
        <v>217</v>
      </c>
    </row>
    <row r="735" spans="1:1" x14ac:dyDescent="0.2">
      <c r="A735" s="1" t="s">
        <v>218</v>
      </c>
    </row>
    <row r="736" spans="1:1" x14ac:dyDescent="0.2">
      <c r="A736" s="1" t="s">
        <v>219</v>
      </c>
    </row>
    <row r="737" spans="1:1" x14ac:dyDescent="0.2">
      <c r="A737" s="1" t="s">
        <v>218</v>
      </c>
    </row>
    <row r="738" spans="1:1" x14ac:dyDescent="0.2">
      <c r="A738" s="1" t="s">
        <v>219</v>
      </c>
    </row>
    <row r="739" spans="1:1" x14ac:dyDescent="0.2">
      <c r="A739" s="1" t="s">
        <v>218</v>
      </c>
    </row>
    <row r="740" spans="1:1" x14ac:dyDescent="0.2">
      <c r="A740" s="1" t="s">
        <v>219</v>
      </c>
    </row>
    <row r="741" spans="1:1" x14ac:dyDescent="0.2">
      <c r="A741" s="1" t="s">
        <v>210</v>
      </c>
    </row>
    <row r="742" spans="1:1" x14ac:dyDescent="0.2">
      <c r="A742" s="1" t="s">
        <v>211</v>
      </c>
    </row>
    <row r="743" spans="1:1" x14ac:dyDescent="0.2">
      <c r="A743" s="1" t="s">
        <v>212</v>
      </c>
    </row>
    <row r="744" spans="1:1" x14ac:dyDescent="0.2">
      <c r="A744" s="1" t="s">
        <v>213</v>
      </c>
    </row>
    <row r="745" spans="1:1" x14ac:dyDescent="0.2">
      <c r="A745" s="1" t="s">
        <v>214</v>
      </c>
    </row>
    <row r="746" spans="1:1" x14ac:dyDescent="0.2">
      <c r="A746" s="1" t="s">
        <v>215</v>
      </c>
    </row>
    <row r="747" spans="1:1" x14ac:dyDescent="0.2">
      <c r="A747" s="1" t="s">
        <v>216</v>
      </c>
    </row>
    <row r="748" spans="1:1" x14ac:dyDescent="0.2">
      <c r="A748" s="1" t="s">
        <v>217</v>
      </c>
    </row>
    <row r="749" spans="1:1" x14ac:dyDescent="0.2">
      <c r="A749" s="1" t="s">
        <v>218</v>
      </c>
    </row>
    <row r="750" spans="1:1" x14ac:dyDescent="0.2">
      <c r="A750" s="1" t="s">
        <v>219</v>
      </c>
    </row>
    <row r="751" spans="1:1" x14ac:dyDescent="0.2">
      <c r="A751" s="1" t="s">
        <v>220</v>
      </c>
    </row>
    <row r="752" spans="1:1" x14ac:dyDescent="0.2">
      <c r="A752" s="1" t="s">
        <v>221</v>
      </c>
    </row>
    <row r="753" spans="1:1" x14ac:dyDescent="0.2">
      <c r="A753" s="1" t="s">
        <v>220</v>
      </c>
    </row>
    <row r="754" spans="1:1" x14ac:dyDescent="0.2">
      <c r="A754" s="1" t="s">
        <v>221</v>
      </c>
    </row>
    <row r="755" spans="1:1" x14ac:dyDescent="0.2">
      <c r="A755" s="1" t="s">
        <v>222</v>
      </c>
    </row>
    <row r="756" spans="1:1" x14ac:dyDescent="0.2">
      <c r="A756" s="1" t="s">
        <v>223</v>
      </c>
    </row>
    <row r="757" spans="1:1" x14ac:dyDescent="0.2">
      <c r="A757" s="1" t="s">
        <v>224</v>
      </c>
    </row>
    <row r="758" spans="1:1" x14ac:dyDescent="0.2">
      <c r="A758" s="1" t="s">
        <v>225</v>
      </c>
    </row>
    <row r="759" spans="1:1" x14ac:dyDescent="0.2">
      <c r="A759" s="1" t="s">
        <v>226</v>
      </c>
    </row>
    <row r="760" spans="1:1" x14ac:dyDescent="0.2">
      <c r="A760" s="1" t="s">
        <v>227</v>
      </c>
    </row>
    <row r="761" spans="1:1" x14ac:dyDescent="0.2">
      <c r="A761" s="1" t="s">
        <v>228</v>
      </c>
    </row>
    <row r="762" spans="1:1" x14ac:dyDescent="0.2">
      <c r="A762" s="1" t="s">
        <v>229</v>
      </c>
    </row>
    <row r="763" spans="1:1" x14ac:dyDescent="0.2">
      <c r="A763" s="1" t="s">
        <v>220</v>
      </c>
    </row>
    <row r="764" spans="1:1" x14ac:dyDescent="0.2">
      <c r="A764" s="1" t="s">
        <v>221</v>
      </c>
    </row>
    <row r="765" spans="1:1" x14ac:dyDescent="0.2">
      <c r="A765" s="1" t="s">
        <v>220</v>
      </c>
    </row>
    <row r="766" spans="1:1" x14ac:dyDescent="0.2">
      <c r="A766" s="1" t="s">
        <v>221</v>
      </c>
    </row>
    <row r="767" spans="1:1" x14ac:dyDescent="0.2">
      <c r="A767" s="1" t="s">
        <v>220</v>
      </c>
    </row>
    <row r="768" spans="1:1" x14ac:dyDescent="0.2">
      <c r="A768" s="1" t="s">
        <v>221</v>
      </c>
    </row>
    <row r="769" spans="1:1" x14ac:dyDescent="0.2">
      <c r="A769" s="1" t="s">
        <v>222</v>
      </c>
    </row>
    <row r="770" spans="1:1" x14ac:dyDescent="0.2">
      <c r="A770" s="1" t="s">
        <v>223</v>
      </c>
    </row>
    <row r="771" spans="1:1" x14ac:dyDescent="0.2">
      <c r="A771" s="1" t="s">
        <v>224</v>
      </c>
    </row>
    <row r="772" spans="1:1" x14ac:dyDescent="0.2">
      <c r="A772" s="1" t="s">
        <v>225</v>
      </c>
    </row>
    <row r="773" spans="1:1" x14ac:dyDescent="0.2">
      <c r="A773" s="1" t="s">
        <v>226</v>
      </c>
    </row>
    <row r="774" spans="1:1" x14ac:dyDescent="0.2">
      <c r="A774" s="1" t="s">
        <v>227</v>
      </c>
    </row>
    <row r="775" spans="1:1" x14ac:dyDescent="0.2">
      <c r="A775" s="1" t="s">
        <v>228</v>
      </c>
    </row>
    <row r="776" spans="1:1" x14ac:dyDescent="0.2">
      <c r="A776" s="1" t="s">
        <v>229</v>
      </c>
    </row>
    <row r="777" spans="1:1" x14ac:dyDescent="0.2">
      <c r="A777" s="1" t="s">
        <v>220</v>
      </c>
    </row>
    <row r="778" spans="1:1" x14ac:dyDescent="0.2">
      <c r="A778" s="1" t="s">
        <v>221</v>
      </c>
    </row>
    <row r="779" spans="1:1" x14ac:dyDescent="0.2">
      <c r="A779" s="1" t="s">
        <v>220</v>
      </c>
    </row>
    <row r="780" spans="1:1" x14ac:dyDescent="0.2">
      <c r="A780" s="1" t="s">
        <v>221</v>
      </c>
    </row>
    <row r="781" spans="1:1" x14ac:dyDescent="0.2">
      <c r="A781" s="1" t="s">
        <v>220</v>
      </c>
    </row>
    <row r="782" spans="1:1" x14ac:dyDescent="0.2">
      <c r="A782" s="1" t="s">
        <v>221</v>
      </c>
    </row>
    <row r="783" spans="1:1" x14ac:dyDescent="0.2">
      <c r="A783" s="1" t="s">
        <v>222</v>
      </c>
    </row>
    <row r="784" spans="1:1" x14ac:dyDescent="0.2">
      <c r="A784" s="1" t="s">
        <v>223</v>
      </c>
    </row>
    <row r="785" spans="1:1" x14ac:dyDescent="0.2">
      <c r="A785" s="1" t="s">
        <v>224</v>
      </c>
    </row>
    <row r="786" spans="1:1" x14ac:dyDescent="0.2">
      <c r="A786" s="1" t="s">
        <v>225</v>
      </c>
    </row>
    <row r="787" spans="1:1" x14ac:dyDescent="0.2">
      <c r="A787" s="1" t="s">
        <v>226</v>
      </c>
    </row>
    <row r="788" spans="1:1" x14ac:dyDescent="0.2">
      <c r="A788" s="1" t="s">
        <v>227</v>
      </c>
    </row>
    <row r="789" spans="1:1" x14ac:dyDescent="0.2">
      <c r="A789" s="1" t="s">
        <v>228</v>
      </c>
    </row>
    <row r="790" spans="1:1" x14ac:dyDescent="0.2">
      <c r="A790" s="1" t="s">
        <v>229</v>
      </c>
    </row>
    <row r="791" spans="1:1" x14ac:dyDescent="0.2">
      <c r="A791" s="1" t="s">
        <v>220</v>
      </c>
    </row>
    <row r="792" spans="1:1" x14ac:dyDescent="0.2">
      <c r="A792" s="1" t="s">
        <v>221</v>
      </c>
    </row>
    <row r="793" spans="1:1" x14ac:dyDescent="0.2">
      <c r="A793" s="1" t="s">
        <v>220</v>
      </c>
    </row>
    <row r="794" spans="1:1" x14ac:dyDescent="0.2">
      <c r="A794" s="1" t="s">
        <v>221</v>
      </c>
    </row>
    <row r="795" spans="1:1" x14ac:dyDescent="0.2">
      <c r="A795" s="1" t="s">
        <v>220</v>
      </c>
    </row>
    <row r="796" spans="1:1" x14ac:dyDescent="0.2">
      <c r="A796" s="1" t="s">
        <v>221</v>
      </c>
    </row>
    <row r="797" spans="1:1" x14ac:dyDescent="0.2">
      <c r="A797" s="1" t="s">
        <v>222</v>
      </c>
    </row>
    <row r="798" spans="1:1" x14ac:dyDescent="0.2">
      <c r="A798" s="1" t="s">
        <v>223</v>
      </c>
    </row>
    <row r="799" spans="1:1" x14ac:dyDescent="0.2">
      <c r="A799" s="1" t="s">
        <v>224</v>
      </c>
    </row>
    <row r="800" spans="1:1" x14ac:dyDescent="0.2">
      <c r="A800" s="1" t="s">
        <v>225</v>
      </c>
    </row>
    <row r="801" spans="1:1" x14ac:dyDescent="0.2">
      <c r="A801" s="1" t="s">
        <v>226</v>
      </c>
    </row>
    <row r="802" spans="1:1" x14ac:dyDescent="0.2">
      <c r="A802" s="1" t="s">
        <v>227</v>
      </c>
    </row>
    <row r="803" spans="1:1" x14ac:dyDescent="0.2">
      <c r="A803" s="1" t="s">
        <v>228</v>
      </c>
    </row>
    <row r="804" spans="1:1" x14ac:dyDescent="0.2">
      <c r="A804" s="1" t="s">
        <v>229</v>
      </c>
    </row>
    <row r="805" spans="1:1" x14ac:dyDescent="0.2">
      <c r="A805" s="1" t="s">
        <v>220</v>
      </c>
    </row>
    <row r="806" spans="1:1" x14ac:dyDescent="0.2">
      <c r="A806" s="1" t="s">
        <v>221</v>
      </c>
    </row>
    <row r="807" spans="1:1" x14ac:dyDescent="0.2">
      <c r="A807" s="1" t="s">
        <v>220</v>
      </c>
    </row>
    <row r="808" spans="1:1" x14ac:dyDescent="0.2">
      <c r="A808" s="1" t="s">
        <v>221</v>
      </c>
    </row>
    <row r="809" spans="1:1" x14ac:dyDescent="0.2">
      <c r="A809" s="1" t="s">
        <v>220</v>
      </c>
    </row>
    <row r="810" spans="1:1" x14ac:dyDescent="0.2">
      <c r="A810" s="1" t="s">
        <v>221</v>
      </c>
    </row>
    <row r="811" spans="1:1" x14ac:dyDescent="0.2">
      <c r="A811" s="1" t="s">
        <v>222</v>
      </c>
    </row>
    <row r="812" spans="1:1" x14ac:dyDescent="0.2">
      <c r="A812" s="1" t="s">
        <v>223</v>
      </c>
    </row>
    <row r="813" spans="1:1" x14ac:dyDescent="0.2">
      <c r="A813" s="1" t="s">
        <v>224</v>
      </c>
    </row>
    <row r="814" spans="1:1" x14ac:dyDescent="0.2">
      <c r="A814" s="1" t="s">
        <v>225</v>
      </c>
    </row>
    <row r="815" spans="1:1" x14ac:dyDescent="0.2">
      <c r="A815" s="1" t="s">
        <v>226</v>
      </c>
    </row>
    <row r="816" spans="1:1" x14ac:dyDescent="0.2">
      <c r="A816" s="1" t="s">
        <v>227</v>
      </c>
    </row>
    <row r="817" spans="1:1" x14ac:dyDescent="0.2">
      <c r="A817" s="1" t="s">
        <v>228</v>
      </c>
    </row>
    <row r="818" spans="1:1" x14ac:dyDescent="0.2">
      <c r="A818" s="1" t="s">
        <v>229</v>
      </c>
    </row>
    <row r="819" spans="1:1" x14ac:dyDescent="0.2">
      <c r="A819" s="1" t="s">
        <v>220</v>
      </c>
    </row>
    <row r="820" spans="1:1" x14ac:dyDescent="0.2">
      <c r="A820" s="1" t="s">
        <v>221</v>
      </c>
    </row>
    <row r="821" spans="1:1" x14ac:dyDescent="0.2">
      <c r="A821" s="1" t="s">
        <v>220</v>
      </c>
    </row>
    <row r="822" spans="1:1" x14ac:dyDescent="0.2">
      <c r="A822" s="1" t="s">
        <v>221</v>
      </c>
    </row>
    <row r="823" spans="1:1" x14ac:dyDescent="0.2">
      <c r="A823" s="1" t="s">
        <v>220</v>
      </c>
    </row>
    <row r="824" spans="1:1" x14ac:dyDescent="0.2">
      <c r="A824" s="1" t="s">
        <v>221</v>
      </c>
    </row>
    <row r="825" spans="1:1" x14ac:dyDescent="0.2">
      <c r="A825" s="1" t="s">
        <v>222</v>
      </c>
    </row>
    <row r="826" spans="1:1" x14ac:dyDescent="0.2">
      <c r="A826" s="1" t="s">
        <v>223</v>
      </c>
    </row>
    <row r="827" spans="1:1" x14ac:dyDescent="0.2">
      <c r="A827" s="1" t="s">
        <v>224</v>
      </c>
    </row>
    <row r="828" spans="1:1" x14ac:dyDescent="0.2">
      <c r="A828" s="1" t="s">
        <v>225</v>
      </c>
    </row>
    <row r="829" spans="1:1" x14ac:dyDescent="0.2">
      <c r="A829" s="1" t="s">
        <v>226</v>
      </c>
    </row>
    <row r="830" spans="1:1" x14ac:dyDescent="0.2">
      <c r="A830" s="1" t="s">
        <v>227</v>
      </c>
    </row>
    <row r="831" spans="1:1" x14ac:dyDescent="0.2">
      <c r="A831" s="1" t="s">
        <v>228</v>
      </c>
    </row>
    <row r="832" spans="1:1" x14ac:dyDescent="0.2">
      <c r="A832" s="1" t="s">
        <v>229</v>
      </c>
    </row>
    <row r="833" spans="1:1" x14ac:dyDescent="0.2">
      <c r="A833" s="1" t="s">
        <v>220</v>
      </c>
    </row>
    <row r="834" spans="1:1" x14ac:dyDescent="0.2">
      <c r="A834" s="1" t="s">
        <v>221</v>
      </c>
    </row>
    <row r="835" spans="1:1" x14ac:dyDescent="0.2">
      <c r="A835" s="1" t="s">
        <v>220</v>
      </c>
    </row>
    <row r="836" spans="1:1" x14ac:dyDescent="0.2">
      <c r="A836" s="1" t="s">
        <v>221</v>
      </c>
    </row>
    <row r="837" spans="1:1" x14ac:dyDescent="0.2">
      <c r="A837" s="1" t="s">
        <v>220</v>
      </c>
    </row>
    <row r="838" spans="1:1" x14ac:dyDescent="0.2">
      <c r="A838" s="1" t="s">
        <v>221</v>
      </c>
    </row>
    <row r="839" spans="1:1" x14ac:dyDescent="0.2">
      <c r="A839" s="1" t="s">
        <v>222</v>
      </c>
    </row>
    <row r="840" spans="1:1" x14ac:dyDescent="0.2">
      <c r="A840" s="1" t="s">
        <v>223</v>
      </c>
    </row>
    <row r="841" spans="1:1" x14ac:dyDescent="0.2">
      <c r="A841" s="1" t="s">
        <v>224</v>
      </c>
    </row>
    <row r="842" spans="1:1" x14ac:dyDescent="0.2">
      <c r="A842" s="1" t="s">
        <v>225</v>
      </c>
    </row>
    <row r="843" spans="1:1" x14ac:dyDescent="0.2">
      <c r="A843" s="1" t="s">
        <v>226</v>
      </c>
    </row>
    <row r="844" spans="1:1" x14ac:dyDescent="0.2">
      <c r="A844" s="1" t="s">
        <v>227</v>
      </c>
    </row>
    <row r="845" spans="1:1" x14ac:dyDescent="0.2">
      <c r="A845" s="1" t="s">
        <v>228</v>
      </c>
    </row>
    <row r="846" spans="1:1" x14ac:dyDescent="0.2">
      <c r="A846" s="1" t="s">
        <v>229</v>
      </c>
    </row>
    <row r="847" spans="1:1" x14ac:dyDescent="0.2">
      <c r="A847" s="1" t="s">
        <v>220</v>
      </c>
    </row>
    <row r="848" spans="1:1" x14ac:dyDescent="0.2">
      <c r="A848" s="1" t="s">
        <v>221</v>
      </c>
    </row>
    <row r="849" spans="1:1" x14ac:dyDescent="0.2">
      <c r="A849" s="1" t="s">
        <v>220</v>
      </c>
    </row>
    <row r="850" spans="1:1" x14ac:dyDescent="0.2">
      <c r="A850" s="1" t="s">
        <v>221</v>
      </c>
    </row>
    <row r="851" spans="1:1" x14ac:dyDescent="0.2">
      <c r="A851" s="1" t="s">
        <v>220</v>
      </c>
    </row>
    <row r="852" spans="1:1" x14ac:dyDescent="0.2">
      <c r="A852" s="1" t="s">
        <v>221</v>
      </c>
    </row>
    <row r="853" spans="1:1" x14ac:dyDescent="0.2">
      <c r="A853" s="1" t="s">
        <v>222</v>
      </c>
    </row>
    <row r="854" spans="1:1" x14ac:dyDescent="0.2">
      <c r="A854" s="1" t="s">
        <v>223</v>
      </c>
    </row>
    <row r="855" spans="1:1" x14ac:dyDescent="0.2">
      <c r="A855" s="1" t="s">
        <v>224</v>
      </c>
    </row>
    <row r="856" spans="1:1" x14ac:dyDescent="0.2">
      <c r="A856" s="1" t="s">
        <v>225</v>
      </c>
    </row>
    <row r="857" spans="1:1" x14ac:dyDescent="0.2">
      <c r="A857" s="1" t="s">
        <v>226</v>
      </c>
    </row>
    <row r="858" spans="1:1" x14ac:dyDescent="0.2">
      <c r="A858" s="1" t="s">
        <v>227</v>
      </c>
    </row>
    <row r="859" spans="1:1" x14ac:dyDescent="0.2">
      <c r="A859" s="1" t="s">
        <v>228</v>
      </c>
    </row>
    <row r="860" spans="1:1" x14ac:dyDescent="0.2">
      <c r="A860" s="1" t="s">
        <v>229</v>
      </c>
    </row>
    <row r="861" spans="1:1" x14ac:dyDescent="0.2">
      <c r="A861" s="1" t="s">
        <v>220</v>
      </c>
    </row>
    <row r="862" spans="1:1" x14ac:dyDescent="0.2">
      <c r="A862" s="1" t="s">
        <v>221</v>
      </c>
    </row>
    <row r="863" spans="1:1" x14ac:dyDescent="0.2">
      <c r="A863" s="1" t="s">
        <v>230</v>
      </c>
    </row>
    <row r="864" spans="1:1" x14ac:dyDescent="0.2">
      <c r="A864" s="1" t="s">
        <v>231</v>
      </c>
    </row>
    <row r="865" spans="1:1" x14ac:dyDescent="0.2">
      <c r="A865" s="1" t="s">
        <v>230</v>
      </c>
    </row>
    <row r="866" spans="1:1" x14ac:dyDescent="0.2">
      <c r="A866" s="1" t="s">
        <v>231</v>
      </c>
    </row>
    <row r="867" spans="1:1" x14ac:dyDescent="0.2">
      <c r="A867" s="1" t="s">
        <v>232</v>
      </c>
    </row>
    <row r="868" spans="1:1" x14ac:dyDescent="0.2">
      <c r="A868" s="1" t="s">
        <v>233</v>
      </c>
    </row>
    <row r="869" spans="1:1" x14ac:dyDescent="0.2">
      <c r="A869" s="1" t="s">
        <v>234</v>
      </c>
    </row>
    <row r="870" spans="1:1" x14ac:dyDescent="0.2">
      <c r="A870" s="1" t="s">
        <v>235</v>
      </c>
    </row>
    <row r="871" spans="1:1" x14ac:dyDescent="0.2">
      <c r="A871" s="1" t="s">
        <v>236</v>
      </c>
    </row>
    <row r="872" spans="1:1" x14ac:dyDescent="0.2">
      <c r="A872" s="1" t="s">
        <v>237</v>
      </c>
    </row>
    <row r="873" spans="1:1" x14ac:dyDescent="0.2">
      <c r="A873" s="1" t="s">
        <v>238</v>
      </c>
    </row>
    <row r="874" spans="1:1" x14ac:dyDescent="0.2">
      <c r="A874" s="1" t="s">
        <v>239</v>
      </c>
    </row>
    <row r="875" spans="1:1" x14ac:dyDescent="0.2">
      <c r="A875" s="1" t="s">
        <v>230</v>
      </c>
    </row>
    <row r="876" spans="1:1" x14ac:dyDescent="0.2">
      <c r="A876" s="1" t="s">
        <v>231</v>
      </c>
    </row>
    <row r="877" spans="1:1" x14ac:dyDescent="0.2">
      <c r="A877" s="1" t="s">
        <v>230</v>
      </c>
    </row>
    <row r="878" spans="1:1" x14ac:dyDescent="0.2">
      <c r="A878" s="1" t="s">
        <v>231</v>
      </c>
    </row>
    <row r="879" spans="1:1" x14ac:dyDescent="0.2">
      <c r="A879" s="1" t="s">
        <v>230</v>
      </c>
    </row>
    <row r="880" spans="1:1" x14ac:dyDescent="0.2">
      <c r="A880" s="1" t="s">
        <v>231</v>
      </c>
    </row>
    <row r="881" spans="1:1" x14ac:dyDescent="0.2">
      <c r="A881" s="1" t="s">
        <v>232</v>
      </c>
    </row>
    <row r="882" spans="1:1" x14ac:dyDescent="0.2">
      <c r="A882" s="1" t="s">
        <v>233</v>
      </c>
    </row>
    <row r="883" spans="1:1" x14ac:dyDescent="0.2">
      <c r="A883" s="1" t="s">
        <v>234</v>
      </c>
    </row>
    <row r="884" spans="1:1" x14ac:dyDescent="0.2">
      <c r="A884" s="1" t="s">
        <v>235</v>
      </c>
    </row>
    <row r="885" spans="1:1" x14ac:dyDescent="0.2">
      <c r="A885" s="1" t="s">
        <v>236</v>
      </c>
    </row>
    <row r="886" spans="1:1" x14ac:dyDescent="0.2">
      <c r="A886" s="1" t="s">
        <v>237</v>
      </c>
    </row>
    <row r="887" spans="1:1" x14ac:dyDescent="0.2">
      <c r="A887" s="1" t="s">
        <v>238</v>
      </c>
    </row>
    <row r="888" spans="1:1" x14ac:dyDescent="0.2">
      <c r="A888" s="1" t="s">
        <v>239</v>
      </c>
    </row>
    <row r="889" spans="1:1" x14ac:dyDescent="0.2">
      <c r="A889" s="1" t="s">
        <v>230</v>
      </c>
    </row>
    <row r="890" spans="1:1" x14ac:dyDescent="0.2">
      <c r="A890" s="1" t="s">
        <v>231</v>
      </c>
    </row>
    <row r="891" spans="1:1" x14ac:dyDescent="0.2">
      <c r="A891" s="1" t="s">
        <v>230</v>
      </c>
    </row>
    <row r="892" spans="1:1" x14ac:dyDescent="0.2">
      <c r="A892" s="1" t="s">
        <v>231</v>
      </c>
    </row>
    <row r="893" spans="1:1" x14ac:dyDescent="0.2">
      <c r="A893" s="1" t="s">
        <v>230</v>
      </c>
    </row>
    <row r="894" spans="1:1" x14ac:dyDescent="0.2">
      <c r="A894" s="1" t="s">
        <v>231</v>
      </c>
    </row>
    <row r="895" spans="1:1" x14ac:dyDescent="0.2">
      <c r="A895" s="1" t="s">
        <v>232</v>
      </c>
    </row>
    <row r="896" spans="1:1" x14ac:dyDescent="0.2">
      <c r="A896" s="1" t="s">
        <v>233</v>
      </c>
    </row>
    <row r="897" spans="1:1" x14ac:dyDescent="0.2">
      <c r="A897" s="1" t="s">
        <v>234</v>
      </c>
    </row>
    <row r="898" spans="1:1" x14ac:dyDescent="0.2">
      <c r="A898" s="1" t="s">
        <v>235</v>
      </c>
    </row>
    <row r="899" spans="1:1" x14ac:dyDescent="0.2">
      <c r="A899" s="1" t="s">
        <v>236</v>
      </c>
    </row>
    <row r="900" spans="1:1" x14ac:dyDescent="0.2">
      <c r="A900" s="1" t="s">
        <v>237</v>
      </c>
    </row>
    <row r="901" spans="1:1" x14ac:dyDescent="0.2">
      <c r="A901" s="1" t="s">
        <v>238</v>
      </c>
    </row>
    <row r="902" spans="1:1" x14ac:dyDescent="0.2">
      <c r="A902" s="1" t="s">
        <v>239</v>
      </c>
    </row>
    <row r="903" spans="1:1" x14ac:dyDescent="0.2">
      <c r="A903" s="1" t="s">
        <v>230</v>
      </c>
    </row>
    <row r="904" spans="1:1" x14ac:dyDescent="0.2">
      <c r="A904" s="1" t="s">
        <v>231</v>
      </c>
    </row>
    <row r="905" spans="1:1" x14ac:dyDescent="0.2">
      <c r="A905" s="1" t="s">
        <v>230</v>
      </c>
    </row>
    <row r="906" spans="1:1" x14ac:dyDescent="0.2">
      <c r="A906" s="1" t="s">
        <v>231</v>
      </c>
    </row>
    <row r="907" spans="1:1" x14ac:dyDescent="0.2">
      <c r="A907" s="1" t="s">
        <v>230</v>
      </c>
    </row>
    <row r="908" spans="1:1" x14ac:dyDescent="0.2">
      <c r="A908" s="1" t="s">
        <v>231</v>
      </c>
    </row>
    <row r="909" spans="1:1" x14ac:dyDescent="0.2">
      <c r="A909" s="1" t="s">
        <v>232</v>
      </c>
    </row>
    <row r="910" spans="1:1" x14ac:dyDescent="0.2">
      <c r="A910" s="1" t="s">
        <v>233</v>
      </c>
    </row>
    <row r="911" spans="1:1" x14ac:dyDescent="0.2">
      <c r="A911" s="1" t="s">
        <v>234</v>
      </c>
    </row>
    <row r="912" spans="1:1" x14ac:dyDescent="0.2">
      <c r="A912" s="1" t="s">
        <v>235</v>
      </c>
    </row>
    <row r="913" spans="1:1" x14ac:dyDescent="0.2">
      <c r="A913" s="1" t="s">
        <v>236</v>
      </c>
    </row>
    <row r="914" spans="1:1" x14ac:dyDescent="0.2">
      <c r="A914" s="1" t="s">
        <v>237</v>
      </c>
    </row>
    <row r="915" spans="1:1" x14ac:dyDescent="0.2">
      <c r="A915" s="1" t="s">
        <v>238</v>
      </c>
    </row>
    <row r="916" spans="1:1" x14ac:dyDescent="0.2">
      <c r="A916" s="1" t="s">
        <v>239</v>
      </c>
    </row>
    <row r="917" spans="1:1" x14ac:dyDescent="0.2">
      <c r="A917" s="1" t="s">
        <v>230</v>
      </c>
    </row>
    <row r="918" spans="1:1" x14ac:dyDescent="0.2">
      <c r="A918" s="1" t="s">
        <v>231</v>
      </c>
    </row>
    <row r="919" spans="1:1" x14ac:dyDescent="0.2">
      <c r="A919" s="1" t="s">
        <v>230</v>
      </c>
    </row>
    <row r="920" spans="1:1" x14ac:dyDescent="0.2">
      <c r="A920" s="1" t="s">
        <v>231</v>
      </c>
    </row>
    <row r="921" spans="1:1" x14ac:dyDescent="0.2">
      <c r="A921" s="1" t="s">
        <v>230</v>
      </c>
    </row>
    <row r="922" spans="1:1" x14ac:dyDescent="0.2">
      <c r="A922" s="1" t="s">
        <v>231</v>
      </c>
    </row>
    <row r="923" spans="1:1" x14ac:dyDescent="0.2">
      <c r="A923" s="1" t="s">
        <v>232</v>
      </c>
    </row>
    <row r="924" spans="1:1" x14ac:dyDescent="0.2">
      <c r="A924" s="1" t="s">
        <v>233</v>
      </c>
    </row>
    <row r="925" spans="1:1" x14ac:dyDescent="0.2">
      <c r="A925" s="1" t="s">
        <v>234</v>
      </c>
    </row>
    <row r="926" spans="1:1" x14ac:dyDescent="0.2">
      <c r="A926" s="1" t="s">
        <v>235</v>
      </c>
    </row>
    <row r="927" spans="1:1" x14ac:dyDescent="0.2">
      <c r="A927" s="1" t="s">
        <v>236</v>
      </c>
    </row>
    <row r="928" spans="1:1" x14ac:dyDescent="0.2">
      <c r="A928" s="1" t="s">
        <v>237</v>
      </c>
    </row>
    <row r="929" spans="1:1" x14ac:dyDescent="0.2">
      <c r="A929" s="1" t="s">
        <v>238</v>
      </c>
    </row>
    <row r="930" spans="1:1" x14ac:dyDescent="0.2">
      <c r="A930" s="1" t="s">
        <v>239</v>
      </c>
    </row>
    <row r="931" spans="1:1" x14ac:dyDescent="0.2">
      <c r="A931" s="1" t="s">
        <v>230</v>
      </c>
    </row>
    <row r="932" spans="1:1" x14ac:dyDescent="0.2">
      <c r="A932" s="1" t="s">
        <v>231</v>
      </c>
    </row>
    <row r="933" spans="1:1" x14ac:dyDescent="0.2">
      <c r="A933" s="1" t="s">
        <v>230</v>
      </c>
    </row>
    <row r="934" spans="1:1" x14ac:dyDescent="0.2">
      <c r="A934" s="1" t="s">
        <v>231</v>
      </c>
    </row>
    <row r="935" spans="1:1" x14ac:dyDescent="0.2">
      <c r="A935" s="1" t="s">
        <v>230</v>
      </c>
    </row>
    <row r="936" spans="1:1" x14ac:dyDescent="0.2">
      <c r="A936" s="1" t="s">
        <v>231</v>
      </c>
    </row>
    <row r="937" spans="1:1" x14ac:dyDescent="0.2">
      <c r="A937" s="1" t="s">
        <v>232</v>
      </c>
    </row>
    <row r="938" spans="1:1" x14ac:dyDescent="0.2">
      <c r="A938" s="1" t="s">
        <v>233</v>
      </c>
    </row>
    <row r="939" spans="1:1" x14ac:dyDescent="0.2">
      <c r="A939" s="1" t="s">
        <v>234</v>
      </c>
    </row>
    <row r="940" spans="1:1" x14ac:dyDescent="0.2">
      <c r="A940" s="1" t="s">
        <v>235</v>
      </c>
    </row>
    <row r="941" spans="1:1" x14ac:dyDescent="0.2">
      <c r="A941" s="1" t="s">
        <v>236</v>
      </c>
    </row>
    <row r="942" spans="1:1" x14ac:dyDescent="0.2">
      <c r="A942" s="1" t="s">
        <v>237</v>
      </c>
    </row>
    <row r="943" spans="1:1" x14ac:dyDescent="0.2">
      <c r="A943" s="1" t="s">
        <v>238</v>
      </c>
    </row>
    <row r="944" spans="1:1" x14ac:dyDescent="0.2">
      <c r="A944" s="1" t="s">
        <v>239</v>
      </c>
    </row>
    <row r="945" spans="1:1" x14ac:dyDescent="0.2">
      <c r="A945" s="1" t="s">
        <v>230</v>
      </c>
    </row>
    <row r="946" spans="1:1" x14ac:dyDescent="0.2">
      <c r="A946" s="1" t="s">
        <v>231</v>
      </c>
    </row>
    <row r="947" spans="1:1" x14ac:dyDescent="0.2">
      <c r="A947" s="1" t="s">
        <v>230</v>
      </c>
    </row>
    <row r="948" spans="1:1" x14ac:dyDescent="0.2">
      <c r="A948" s="1" t="s">
        <v>231</v>
      </c>
    </row>
    <row r="949" spans="1:1" x14ac:dyDescent="0.2">
      <c r="A949" s="1" t="s">
        <v>230</v>
      </c>
    </row>
    <row r="950" spans="1:1" x14ac:dyDescent="0.2">
      <c r="A950" s="1" t="s">
        <v>231</v>
      </c>
    </row>
    <row r="951" spans="1:1" x14ac:dyDescent="0.2">
      <c r="A951" s="1" t="s">
        <v>232</v>
      </c>
    </row>
    <row r="952" spans="1:1" x14ac:dyDescent="0.2">
      <c r="A952" s="1" t="s">
        <v>233</v>
      </c>
    </row>
    <row r="953" spans="1:1" x14ac:dyDescent="0.2">
      <c r="A953" s="1" t="s">
        <v>234</v>
      </c>
    </row>
    <row r="954" spans="1:1" x14ac:dyDescent="0.2">
      <c r="A954" s="1" t="s">
        <v>235</v>
      </c>
    </row>
    <row r="955" spans="1:1" x14ac:dyDescent="0.2">
      <c r="A955" s="1" t="s">
        <v>236</v>
      </c>
    </row>
    <row r="956" spans="1:1" x14ac:dyDescent="0.2">
      <c r="A956" s="1" t="s">
        <v>237</v>
      </c>
    </row>
    <row r="957" spans="1:1" x14ac:dyDescent="0.2">
      <c r="A957" s="1" t="s">
        <v>238</v>
      </c>
    </row>
    <row r="958" spans="1:1" x14ac:dyDescent="0.2">
      <c r="A958" s="1" t="s">
        <v>239</v>
      </c>
    </row>
    <row r="959" spans="1:1" x14ac:dyDescent="0.2">
      <c r="A959" s="1" t="s">
        <v>230</v>
      </c>
    </row>
    <row r="960" spans="1:1" x14ac:dyDescent="0.2">
      <c r="A960" s="1" t="s">
        <v>231</v>
      </c>
    </row>
    <row r="961" spans="1:1" x14ac:dyDescent="0.2">
      <c r="A961" s="1" t="s">
        <v>230</v>
      </c>
    </row>
    <row r="962" spans="1:1" x14ac:dyDescent="0.2">
      <c r="A962" s="1" t="s">
        <v>231</v>
      </c>
    </row>
    <row r="963" spans="1:1" x14ac:dyDescent="0.2">
      <c r="A963" s="1" t="s">
        <v>230</v>
      </c>
    </row>
    <row r="964" spans="1:1" x14ac:dyDescent="0.2">
      <c r="A964" s="1" t="s">
        <v>231</v>
      </c>
    </row>
    <row r="965" spans="1:1" x14ac:dyDescent="0.2">
      <c r="A965" s="1" t="s">
        <v>232</v>
      </c>
    </row>
    <row r="966" spans="1:1" x14ac:dyDescent="0.2">
      <c r="A966" s="1" t="s">
        <v>233</v>
      </c>
    </row>
    <row r="967" spans="1:1" x14ac:dyDescent="0.2">
      <c r="A967" s="1" t="s">
        <v>234</v>
      </c>
    </row>
    <row r="968" spans="1:1" x14ac:dyDescent="0.2">
      <c r="A968" s="1" t="s">
        <v>235</v>
      </c>
    </row>
    <row r="969" spans="1:1" x14ac:dyDescent="0.2">
      <c r="A969" s="1" t="s">
        <v>236</v>
      </c>
    </row>
    <row r="970" spans="1:1" x14ac:dyDescent="0.2">
      <c r="A970" s="1" t="s">
        <v>237</v>
      </c>
    </row>
    <row r="971" spans="1:1" x14ac:dyDescent="0.2">
      <c r="A971" s="1" t="s">
        <v>238</v>
      </c>
    </row>
    <row r="972" spans="1:1" x14ac:dyDescent="0.2">
      <c r="A972" s="1" t="s">
        <v>239</v>
      </c>
    </row>
    <row r="973" spans="1:1" x14ac:dyDescent="0.2">
      <c r="A973" s="1" t="s">
        <v>230</v>
      </c>
    </row>
    <row r="974" spans="1:1" x14ac:dyDescent="0.2">
      <c r="A974" s="1" t="s">
        <v>231</v>
      </c>
    </row>
    <row r="975" spans="1:1" x14ac:dyDescent="0.2">
      <c r="A975" s="1" t="s">
        <v>240</v>
      </c>
    </row>
    <row r="976" spans="1:1" x14ac:dyDescent="0.2">
      <c r="A976" s="1" t="s">
        <v>241</v>
      </c>
    </row>
    <row r="977" spans="1:1" x14ac:dyDescent="0.2">
      <c r="A977" s="1" t="s">
        <v>240</v>
      </c>
    </row>
    <row r="978" spans="1:1" x14ac:dyDescent="0.2">
      <c r="A978" s="1" t="s">
        <v>241</v>
      </c>
    </row>
    <row r="979" spans="1:1" x14ac:dyDescent="0.2">
      <c r="A979" s="1" t="s">
        <v>242</v>
      </c>
    </row>
    <row r="980" spans="1:1" x14ac:dyDescent="0.2">
      <c r="A980" s="1" t="s">
        <v>243</v>
      </c>
    </row>
    <row r="981" spans="1:1" x14ac:dyDescent="0.2">
      <c r="A981" s="1" t="s">
        <v>244</v>
      </c>
    </row>
    <row r="982" spans="1:1" x14ac:dyDescent="0.2">
      <c r="A982" s="1" t="s">
        <v>245</v>
      </c>
    </row>
    <row r="983" spans="1:1" x14ac:dyDescent="0.2">
      <c r="A983" s="1" t="s">
        <v>246</v>
      </c>
    </row>
    <row r="984" spans="1:1" x14ac:dyDescent="0.2">
      <c r="A984" s="1" t="s">
        <v>247</v>
      </c>
    </row>
    <row r="985" spans="1:1" x14ac:dyDescent="0.2">
      <c r="A985" s="1" t="s">
        <v>248</v>
      </c>
    </row>
    <row r="986" spans="1:1" x14ac:dyDescent="0.2">
      <c r="A986" s="1" t="s">
        <v>249</v>
      </c>
    </row>
    <row r="987" spans="1:1" x14ac:dyDescent="0.2">
      <c r="A987" s="1" t="s">
        <v>240</v>
      </c>
    </row>
    <row r="988" spans="1:1" x14ac:dyDescent="0.2">
      <c r="A988" s="1" t="s">
        <v>241</v>
      </c>
    </row>
    <row r="989" spans="1:1" x14ac:dyDescent="0.2">
      <c r="A989" s="1" t="s">
        <v>240</v>
      </c>
    </row>
    <row r="990" spans="1:1" x14ac:dyDescent="0.2">
      <c r="A990" s="1" t="s">
        <v>241</v>
      </c>
    </row>
    <row r="991" spans="1:1" x14ac:dyDescent="0.2">
      <c r="A991" s="1" t="s">
        <v>240</v>
      </c>
    </row>
    <row r="992" spans="1:1" x14ac:dyDescent="0.2">
      <c r="A992" s="1" t="s">
        <v>241</v>
      </c>
    </row>
    <row r="993" spans="1:1" x14ac:dyDescent="0.2">
      <c r="A993" s="1" t="s">
        <v>242</v>
      </c>
    </row>
    <row r="994" spans="1:1" x14ac:dyDescent="0.2">
      <c r="A994" s="1" t="s">
        <v>243</v>
      </c>
    </row>
    <row r="995" spans="1:1" x14ac:dyDescent="0.2">
      <c r="A995" s="1" t="s">
        <v>244</v>
      </c>
    </row>
    <row r="996" spans="1:1" x14ac:dyDescent="0.2">
      <c r="A996" s="1" t="s">
        <v>245</v>
      </c>
    </row>
    <row r="997" spans="1:1" x14ac:dyDescent="0.2">
      <c r="A997" s="1" t="s">
        <v>246</v>
      </c>
    </row>
    <row r="998" spans="1:1" x14ac:dyDescent="0.2">
      <c r="A998" s="1" t="s">
        <v>247</v>
      </c>
    </row>
    <row r="999" spans="1:1" x14ac:dyDescent="0.2">
      <c r="A999" s="1" t="s">
        <v>248</v>
      </c>
    </row>
    <row r="1000" spans="1:1" x14ac:dyDescent="0.2">
      <c r="A1000" s="1" t="s">
        <v>249</v>
      </c>
    </row>
    <row r="1001" spans="1:1" x14ac:dyDescent="0.2">
      <c r="A1001" s="1" t="s">
        <v>240</v>
      </c>
    </row>
    <row r="1002" spans="1:1" x14ac:dyDescent="0.2">
      <c r="A1002" s="1" t="s">
        <v>241</v>
      </c>
    </row>
    <row r="1003" spans="1:1" x14ac:dyDescent="0.2">
      <c r="A1003" s="1" t="s">
        <v>240</v>
      </c>
    </row>
    <row r="1004" spans="1:1" x14ac:dyDescent="0.2">
      <c r="A1004" s="1" t="s">
        <v>241</v>
      </c>
    </row>
    <row r="1005" spans="1:1" x14ac:dyDescent="0.2">
      <c r="A1005" s="1" t="s">
        <v>240</v>
      </c>
    </row>
    <row r="1006" spans="1:1" x14ac:dyDescent="0.2">
      <c r="A1006" s="1" t="s">
        <v>241</v>
      </c>
    </row>
    <row r="1007" spans="1:1" x14ac:dyDescent="0.2">
      <c r="A1007" s="1" t="s">
        <v>242</v>
      </c>
    </row>
    <row r="1008" spans="1:1" x14ac:dyDescent="0.2">
      <c r="A1008" s="1" t="s">
        <v>243</v>
      </c>
    </row>
    <row r="1009" spans="1:1" x14ac:dyDescent="0.2">
      <c r="A1009" s="1" t="s">
        <v>244</v>
      </c>
    </row>
    <row r="1010" spans="1:1" x14ac:dyDescent="0.2">
      <c r="A1010" s="1" t="s">
        <v>245</v>
      </c>
    </row>
    <row r="1011" spans="1:1" x14ac:dyDescent="0.2">
      <c r="A1011" s="1" t="s">
        <v>246</v>
      </c>
    </row>
    <row r="1012" spans="1:1" x14ac:dyDescent="0.2">
      <c r="A1012" s="1" t="s">
        <v>247</v>
      </c>
    </row>
    <row r="1013" spans="1:1" x14ac:dyDescent="0.2">
      <c r="A1013" s="1" t="s">
        <v>248</v>
      </c>
    </row>
    <row r="1014" spans="1:1" x14ac:dyDescent="0.2">
      <c r="A1014" s="1" t="s">
        <v>249</v>
      </c>
    </row>
    <row r="1015" spans="1:1" x14ac:dyDescent="0.2">
      <c r="A1015" s="1" t="s">
        <v>240</v>
      </c>
    </row>
    <row r="1016" spans="1:1" x14ac:dyDescent="0.2">
      <c r="A1016" s="1" t="s">
        <v>241</v>
      </c>
    </row>
    <row r="1017" spans="1:1" x14ac:dyDescent="0.2">
      <c r="A1017" s="1" t="s">
        <v>250</v>
      </c>
    </row>
    <row r="1018" spans="1:1" x14ac:dyDescent="0.2">
      <c r="A1018" s="1" t="s">
        <v>251</v>
      </c>
    </row>
    <row r="1019" spans="1:1" x14ac:dyDescent="0.2">
      <c r="A1019" s="1" t="s">
        <v>250</v>
      </c>
    </row>
    <row r="1020" spans="1:1" x14ac:dyDescent="0.2">
      <c r="A1020" s="1" t="s">
        <v>251</v>
      </c>
    </row>
    <row r="1021" spans="1:1" x14ac:dyDescent="0.2">
      <c r="A1021" s="1" t="s">
        <v>252</v>
      </c>
    </row>
    <row r="1022" spans="1:1" x14ac:dyDescent="0.2">
      <c r="A1022" s="1" t="s">
        <v>253</v>
      </c>
    </row>
    <row r="1023" spans="1:1" x14ac:dyDescent="0.2">
      <c r="A1023" s="1" t="s">
        <v>254</v>
      </c>
    </row>
    <row r="1024" spans="1:1" x14ac:dyDescent="0.2">
      <c r="A1024" s="1" t="s">
        <v>255</v>
      </c>
    </row>
    <row r="1025" spans="1:1" x14ac:dyDescent="0.2">
      <c r="A1025" s="1" t="s">
        <v>256</v>
      </c>
    </row>
    <row r="1026" spans="1:1" x14ac:dyDescent="0.2">
      <c r="A1026" s="1" t="s">
        <v>257</v>
      </c>
    </row>
    <row r="1027" spans="1:1" x14ac:dyDescent="0.2">
      <c r="A1027" s="1" t="s">
        <v>258</v>
      </c>
    </row>
    <row r="1028" spans="1:1" x14ac:dyDescent="0.2">
      <c r="A1028" s="1" t="s">
        <v>259</v>
      </c>
    </row>
    <row r="1029" spans="1:1" x14ac:dyDescent="0.2">
      <c r="A1029" s="1" t="s">
        <v>250</v>
      </c>
    </row>
    <row r="1030" spans="1:1" x14ac:dyDescent="0.2">
      <c r="A1030" s="1" t="s">
        <v>251</v>
      </c>
    </row>
    <row r="1031" spans="1:1" x14ac:dyDescent="0.2">
      <c r="A1031" s="1" t="s">
        <v>250</v>
      </c>
    </row>
    <row r="1032" spans="1:1" x14ac:dyDescent="0.2">
      <c r="A1032" s="1" t="s">
        <v>251</v>
      </c>
    </row>
    <row r="1033" spans="1:1" x14ac:dyDescent="0.2">
      <c r="A1033" s="1" t="s">
        <v>250</v>
      </c>
    </row>
    <row r="1034" spans="1:1" x14ac:dyDescent="0.2">
      <c r="A1034" s="1" t="s">
        <v>251</v>
      </c>
    </row>
    <row r="1035" spans="1:1" x14ac:dyDescent="0.2">
      <c r="A1035" s="1" t="s">
        <v>252</v>
      </c>
    </row>
    <row r="1036" spans="1:1" x14ac:dyDescent="0.2">
      <c r="A1036" s="1" t="s">
        <v>253</v>
      </c>
    </row>
    <row r="1037" spans="1:1" x14ac:dyDescent="0.2">
      <c r="A1037" s="1" t="s">
        <v>254</v>
      </c>
    </row>
    <row r="1038" spans="1:1" x14ac:dyDescent="0.2">
      <c r="A1038" s="1" t="s">
        <v>255</v>
      </c>
    </row>
    <row r="1039" spans="1:1" x14ac:dyDescent="0.2">
      <c r="A1039" s="1" t="s">
        <v>256</v>
      </c>
    </row>
    <row r="1040" spans="1:1" x14ac:dyDescent="0.2">
      <c r="A1040" s="1" t="s">
        <v>257</v>
      </c>
    </row>
    <row r="1041" spans="1:1" x14ac:dyDescent="0.2">
      <c r="A1041" s="1" t="s">
        <v>258</v>
      </c>
    </row>
    <row r="1042" spans="1:1" x14ac:dyDescent="0.2">
      <c r="A1042" s="1" t="s">
        <v>259</v>
      </c>
    </row>
    <row r="1043" spans="1:1" x14ac:dyDescent="0.2">
      <c r="A1043" s="1" t="s">
        <v>250</v>
      </c>
    </row>
    <row r="1044" spans="1:1" x14ac:dyDescent="0.2">
      <c r="A1044" s="1" t="s">
        <v>251</v>
      </c>
    </row>
    <row r="1045" spans="1:1" x14ac:dyDescent="0.2">
      <c r="A1045" s="1" t="s">
        <v>250</v>
      </c>
    </row>
    <row r="1046" spans="1:1" x14ac:dyDescent="0.2">
      <c r="A1046" s="1" t="s">
        <v>251</v>
      </c>
    </row>
    <row r="1047" spans="1:1" x14ac:dyDescent="0.2">
      <c r="A1047" s="1" t="s">
        <v>250</v>
      </c>
    </row>
    <row r="1048" spans="1:1" x14ac:dyDescent="0.2">
      <c r="A1048" s="1" t="s">
        <v>251</v>
      </c>
    </row>
    <row r="1049" spans="1:1" x14ac:dyDescent="0.2">
      <c r="A1049" s="1" t="s">
        <v>252</v>
      </c>
    </row>
    <row r="1050" spans="1:1" x14ac:dyDescent="0.2">
      <c r="A1050" s="1" t="s">
        <v>253</v>
      </c>
    </row>
    <row r="1051" spans="1:1" x14ac:dyDescent="0.2">
      <c r="A1051" s="1" t="s">
        <v>254</v>
      </c>
    </row>
    <row r="1052" spans="1:1" x14ac:dyDescent="0.2">
      <c r="A1052" s="1" t="s">
        <v>255</v>
      </c>
    </row>
    <row r="1053" spans="1:1" x14ac:dyDescent="0.2">
      <c r="A1053" s="1" t="s">
        <v>256</v>
      </c>
    </row>
    <row r="1054" spans="1:1" x14ac:dyDescent="0.2">
      <c r="A1054" s="1" t="s">
        <v>257</v>
      </c>
    </row>
    <row r="1055" spans="1:1" x14ac:dyDescent="0.2">
      <c r="A1055" s="1" t="s">
        <v>258</v>
      </c>
    </row>
    <row r="1056" spans="1:1" x14ac:dyDescent="0.2">
      <c r="A1056" s="1" t="s">
        <v>259</v>
      </c>
    </row>
    <row r="1057" spans="1:1" x14ac:dyDescent="0.2">
      <c r="A1057" s="1" t="s">
        <v>250</v>
      </c>
    </row>
    <row r="1058" spans="1:1" x14ac:dyDescent="0.2">
      <c r="A1058" s="1" t="s">
        <v>251</v>
      </c>
    </row>
    <row r="1059" spans="1:1" x14ac:dyDescent="0.2">
      <c r="A1059" s="1" t="s">
        <v>250</v>
      </c>
    </row>
    <row r="1060" spans="1:1" x14ac:dyDescent="0.2">
      <c r="A1060" s="1" t="s">
        <v>251</v>
      </c>
    </row>
    <row r="1061" spans="1:1" x14ac:dyDescent="0.2">
      <c r="A1061" s="1" t="s">
        <v>250</v>
      </c>
    </row>
    <row r="1062" spans="1:1" x14ac:dyDescent="0.2">
      <c r="A1062" s="1" t="s">
        <v>251</v>
      </c>
    </row>
    <row r="1063" spans="1:1" x14ac:dyDescent="0.2">
      <c r="A1063" s="1" t="s">
        <v>252</v>
      </c>
    </row>
    <row r="1064" spans="1:1" x14ac:dyDescent="0.2">
      <c r="A1064" s="1" t="s">
        <v>253</v>
      </c>
    </row>
    <row r="1065" spans="1:1" x14ac:dyDescent="0.2">
      <c r="A1065" s="1" t="s">
        <v>254</v>
      </c>
    </row>
    <row r="1066" spans="1:1" x14ac:dyDescent="0.2">
      <c r="A1066" s="1" t="s">
        <v>255</v>
      </c>
    </row>
    <row r="1067" spans="1:1" x14ac:dyDescent="0.2">
      <c r="A1067" s="1" t="s">
        <v>256</v>
      </c>
    </row>
    <row r="1068" spans="1:1" x14ac:dyDescent="0.2">
      <c r="A1068" s="1" t="s">
        <v>257</v>
      </c>
    </row>
    <row r="1069" spans="1:1" x14ac:dyDescent="0.2">
      <c r="A1069" s="1" t="s">
        <v>258</v>
      </c>
    </row>
    <row r="1070" spans="1:1" x14ac:dyDescent="0.2">
      <c r="A1070" s="1" t="s">
        <v>259</v>
      </c>
    </row>
    <row r="1071" spans="1:1" x14ac:dyDescent="0.2">
      <c r="A1071" s="1" t="s">
        <v>250</v>
      </c>
    </row>
    <row r="1072" spans="1:1" x14ac:dyDescent="0.2">
      <c r="A1072" s="1" t="s">
        <v>251</v>
      </c>
    </row>
    <row r="1073" spans="1:1" x14ac:dyDescent="0.2">
      <c r="A1073" s="1" t="s">
        <v>250</v>
      </c>
    </row>
    <row r="1074" spans="1:1" x14ac:dyDescent="0.2">
      <c r="A1074" s="1" t="s">
        <v>251</v>
      </c>
    </row>
    <row r="1075" spans="1:1" x14ac:dyDescent="0.2">
      <c r="A1075" s="1" t="s">
        <v>250</v>
      </c>
    </row>
    <row r="1076" spans="1:1" x14ac:dyDescent="0.2">
      <c r="A1076" s="1" t="s">
        <v>251</v>
      </c>
    </row>
    <row r="1077" spans="1:1" x14ac:dyDescent="0.2">
      <c r="A1077" s="1" t="s">
        <v>252</v>
      </c>
    </row>
    <row r="1078" spans="1:1" x14ac:dyDescent="0.2">
      <c r="A1078" s="1" t="s">
        <v>253</v>
      </c>
    </row>
    <row r="1079" spans="1:1" x14ac:dyDescent="0.2">
      <c r="A1079" s="1" t="s">
        <v>254</v>
      </c>
    </row>
    <row r="1080" spans="1:1" x14ac:dyDescent="0.2">
      <c r="A1080" s="1" t="s">
        <v>255</v>
      </c>
    </row>
    <row r="1081" spans="1:1" x14ac:dyDescent="0.2">
      <c r="A1081" s="1" t="s">
        <v>256</v>
      </c>
    </row>
    <row r="1082" spans="1:1" x14ac:dyDescent="0.2">
      <c r="A1082" s="1" t="s">
        <v>257</v>
      </c>
    </row>
    <row r="1083" spans="1:1" x14ac:dyDescent="0.2">
      <c r="A1083" s="1" t="s">
        <v>258</v>
      </c>
    </row>
    <row r="1084" spans="1:1" x14ac:dyDescent="0.2">
      <c r="A1084" s="1" t="s">
        <v>259</v>
      </c>
    </row>
    <row r="1085" spans="1:1" x14ac:dyDescent="0.2">
      <c r="A1085" s="1" t="s">
        <v>250</v>
      </c>
    </row>
    <row r="1086" spans="1:1" x14ac:dyDescent="0.2">
      <c r="A1086" s="1" t="s">
        <v>251</v>
      </c>
    </row>
    <row r="1087" spans="1:1" x14ac:dyDescent="0.2">
      <c r="A1087" s="1" t="s">
        <v>260</v>
      </c>
    </row>
    <row r="1088" spans="1:1" x14ac:dyDescent="0.2">
      <c r="A1088" s="1" t="s">
        <v>261</v>
      </c>
    </row>
    <row r="1089" spans="1:1" x14ac:dyDescent="0.2">
      <c r="A1089" s="1" t="s">
        <v>260</v>
      </c>
    </row>
    <row r="1090" spans="1:1" x14ac:dyDescent="0.2">
      <c r="A1090" s="1" t="s">
        <v>261</v>
      </c>
    </row>
    <row r="1091" spans="1:1" x14ac:dyDescent="0.2">
      <c r="A1091" s="1" t="s">
        <v>262</v>
      </c>
    </row>
    <row r="1092" spans="1:1" x14ac:dyDescent="0.2">
      <c r="A1092" s="1" t="s">
        <v>263</v>
      </c>
    </row>
    <row r="1093" spans="1:1" x14ac:dyDescent="0.2">
      <c r="A1093" s="1" t="s">
        <v>264</v>
      </c>
    </row>
    <row r="1094" spans="1:1" x14ac:dyDescent="0.2">
      <c r="A1094" s="1" t="s">
        <v>265</v>
      </c>
    </row>
    <row r="1095" spans="1:1" x14ac:dyDescent="0.2">
      <c r="A1095" s="1" t="s">
        <v>266</v>
      </c>
    </row>
    <row r="1096" spans="1:1" x14ac:dyDescent="0.2">
      <c r="A1096" s="1" t="s">
        <v>267</v>
      </c>
    </row>
    <row r="1097" spans="1:1" x14ac:dyDescent="0.2">
      <c r="A1097" s="1" t="s">
        <v>268</v>
      </c>
    </row>
    <row r="1098" spans="1:1" x14ac:dyDescent="0.2">
      <c r="A1098" s="1" t="s">
        <v>269</v>
      </c>
    </row>
    <row r="1099" spans="1:1" x14ac:dyDescent="0.2">
      <c r="A1099" s="1" t="s">
        <v>260</v>
      </c>
    </row>
    <row r="1100" spans="1:1" x14ac:dyDescent="0.2">
      <c r="A1100" s="1" t="s">
        <v>261</v>
      </c>
    </row>
    <row r="1101" spans="1:1" x14ac:dyDescent="0.2">
      <c r="A1101" s="1" t="s">
        <v>260</v>
      </c>
    </row>
    <row r="1102" spans="1:1" x14ac:dyDescent="0.2">
      <c r="A1102" s="1" t="s">
        <v>261</v>
      </c>
    </row>
    <row r="1103" spans="1:1" x14ac:dyDescent="0.2">
      <c r="A1103" s="1" t="s">
        <v>260</v>
      </c>
    </row>
    <row r="1104" spans="1:1" x14ac:dyDescent="0.2">
      <c r="A1104" s="1" t="s">
        <v>261</v>
      </c>
    </row>
    <row r="1105" spans="1:1" x14ac:dyDescent="0.2">
      <c r="A1105" s="1" t="s">
        <v>262</v>
      </c>
    </row>
    <row r="1106" spans="1:1" x14ac:dyDescent="0.2">
      <c r="A1106" s="1" t="s">
        <v>263</v>
      </c>
    </row>
    <row r="1107" spans="1:1" x14ac:dyDescent="0.2">
      <c r="A1107" s="1" t="s">
        <v>264</v>
      </c>
    </row>
    <row r="1108" spans="1:1" x14ac:dyDescent="0.2">
      <c r="A1108" s="1" t="s">
        <v>265</v>
      </c>
    </row>
    <row r="1109" spans="1:1" x14ac:dyDescent="0.2">
      <c r="A1109" s="1" t="s">
        <v>266</v>
      </c>
    </row>
    <row r="1110" spans="1:1" x14ac:dyDescent="0.2">
      <c r="A1110" s="1" t="s">
        <v>267</v>
      </c>
    </row>
    <row r="1111" spans="1:1" x14ac:dyDescent="0.2">
      <c r="A1111" s="1" t="s">
        <v>268</v>
      </c>
    </row>
    <row r="1112" spans="1:1" x14ac:dyDescent="0.2">
      <c r="A1112" s="1" t="s">
        <v>269</v>
      </c>
    </row>
    <row r="1113" spans="1:1" x14ac:dyDescent="0.2">
      <c r="A1113" s="1" t="s">
        <v>260</v>
      </c>
    </row>
    <row r="1114" spans="1:1" x14ac:dyDescent="0.2">
      <c r="A1114" s="1" t="s">
        <v>261</v>
      </c>
    </row>
    <row r="1115" spans="1:1" x14ac:dyDescent="0.2">
      <c r="A1115" s="1" t="s">
        <v>260</v>
      </c>
    </row>
    <row r="1116" spans="1:1" x14ac:dyDescent="0.2">
      <c r="A1116" s="1" t="s">
        <v>261</v>
      </c>
    </row>
    <row r="1117" spans="1:1" x14ac:dyDescent="0.2">
      <c r="A1117" s="1" t="s">
        <v>260</v>
      </c>
    </row>
    <row r="1118" spans="1:1" x14ac:dyDescent="0.2">
      <c r="A1118" s="1" t="s">
        <v>261</v>
      </c>
    </row>
    <row r="1119" spans="1:1" x14ac:dyDescent="0.2">
      <c r="A1119" s="1" t="s">
        <v>262</v>
      </c>
    </row>
    <row r="1120" spans="1:1" x14ac:dyDescent="0.2">
      <c r="A1120" s="1" t="s">
        <v>263</v>
      </c>
    </row>
    <row r="1121" spans="1:1" x14ac:dyDescent="0.2">
      <c r="A1121" s="1" t="s">
        <v>264</v>
      </c>
    </row>
    <row r="1122" spans="1:1" x14ac:dyDescent="0.2">
      <c r="A1122" s="1" t="s">
        <v>265</v>
      </c>
    </row>
    <row r="1123" spans="1:1" x14ac:dyDescent="0.2">
      <c r="A1123" s="1" t="s">
        <v>266</v>
      </c>
    </row>
    <row r="1124" spans="1:1" x14ac:dyDescent="0.2">
      <c r="A1124" s="1" t="s">
        <v>267</v>
      </c>
    </row>
    <row r="1125" spans="1:1" x14ac:dyDescent="0.2">
      <c r="A1125" s="1" t="s">
        <v>268</v>
      </c>
    </row>
    <row r="1126" spans="1:1" x14ac:dyDescent="0.2">
      <c r="A1126" s="1" t="s">
        <v>269</v>
      </c>
    </row>
    <row r="1127" spans="1:1" x14ac:dyDescent="0.2">
      <c r="A1127" s="1" t="s">
        <v>260</v>
      </c>
    </row>
    <row r="1128" spans="1:1" x14ac:dyDescent="0.2">
      <c r="A1128" s="1" t="s">
        <v>261</v>
      </c>
    </row>
    <row r="1129" spans="1:1" x14ac:dyDescent="0.2">
      <c r="A1129" s="1" t="s">
        <v>260</v>
      </c>
    </row>
    <row r="1130" spans="1:1" x14ac:dyDescent="0.2">
      <c r="A1130" s="1" t="s">
        <v>261</v>
      </c>
    </row>
    <row r="1131" spans="1:1" x14ac:dyDescent="0.2">
      <c r="A1131" s="1" t="s">
        <v>260</v>
      </c>
    </row>
    <row r="1132" spans="1:1" x14ac:dyDescent="0.2">
      <c r="A1132" s="1" t="s">
        <v>261</v>
      </c>
    </row>
    <row r="1133" spans="1:1" x14ac:dyDescent="0.2">
      <c r="A1133" s="1" t="s">
        <v>262</v>
      </c>
    </row>
    <row r="1134" spans="1:1" x14ac:dyDescent="0.2">
      <c r="A1134" s="1" t="s">
        <v>263</v>
      </c>
    </row>
    <row r="1135" spans="1:1" x14ac:dyDescent="0.2">
      <c r="A1135" s="1" t="s">
        <v>264</v>
      </c>
    </row>
    <row r="1136" spans="1:1" x14ac:dyDescent="0.2">
      <c r="A1136" s="1" t="s">
        <v>265</v>
      </c>
    </row>
    <row r="1137" spans="1:1" x14ac:dyDescent="0.2">
      <c r="A1137" s="1" t="s">
        <v>266</v>
      </c>
    </row>
    <row r="1138" spans="1:1" x14ac:dyDescent="0.2">
      <c r="A1138" s="1" t="s">
        <v>267</v>
      </c>
    </row>
    <row r="1139" spans="1:1" x14ac:dyDescent="0.2">
      <c r="A1139" s="1" t="s">
        <v>268</v>
      </c>
    </row>
    <row r="1140" spans="1:1" x14ac:dyDescent="0.2">
      <c r="A1140" s="1" t="s">
        <v>269</v>
      </c>
    </row>
    <row r="1141" spans="1:1" x14ac:dyDescent="0.2">
      <c r="A1141" s="1" t="s">
        <v>260</v>
      </c>
    </row>
    <row r="1142" spans="1:1" x14ac:dyDescent="0.2">
      <c r="A1142" s="1" t="s">
        <v>261</v>
      </c>
    </row>
    <row r="1143" spans="1:1" x14ac:dyDescent="0.2">
      <c r="A1143" s="1" t="s">
        <v>260</v>
      </c>
    </row>
    <row r="1144" spans="1:1" x14ac:dyDescent="0.2">
      <c r="A1144" s="1" t="s">
        <v>261</v>
      </c>
    </row>
    <row r="1145" spans="1:1" x14ac:dyDescent="0.2">
      <c r="A1145" s="1" t="s">
        <v>260</v>
      </c>
    </row>
    <row r="1146" spans="1:1" x14ac:dyDescent="0.2">
      <c r="A1146" s="1" t="s">
        <v>261</v>
      </c>
    </row>
    <row r="1147" spans="1:1" x14ac:dyDescent="0.2">
      <c r="A1147" s="1" t="s">
        <v>262</v>
      </c>
    </row>
    <row r="1148" spans="1:1" x14ac:dyDescent="0.2">
      <c r="A1148" s="1" t="s">
        <v>263</v>
      </c>
    </row>
    <row r="1149" spans="1:1" x14ac:dyDescent="0.2">
      <c r="A1149" s="1" t="s">
        <v>264</v>
      </c>
    </row>
    <row r="1150" spans="1:1" x14ac:dyDescent="0.2">
      <c r="A1150" s="1" t="s">
        <v>265</v>
      </c>
    </row>
    <row r="1151" spans="1:1" x14ac:dyDescent="0.2">
      <c r="A1151" s="1" t="s">
        <v>266</v>
      </c>
    </row>
    <row r="1152" spans="1:1" x14ac:dyDescent="0.2">
      <c r="A1152" s="1" t="s">
        <v>267</v>
      </c>
    </row>
    <row r="1153" spans="1:1" x14ac:dyDescent="0.2">
      <c r="A1153" s="1" t="s">
        <v>268</v>
      </c>
    </row>
    <row r="1154" spans="1:1" x14ac:dyDescent="0.2">
      <c r="A1154" s="1" t="s">
        <v>269</v>
      </c>
    </row>
    <row r="1155" spans="1:1" x14ac:dyDescent="0.2">
      <c r="A1155" s="1" t="s">
        <v>260</v>
      </c>
    </row>
    <row r="1156" spans="1:1" x14ac:dyDescent="0.2">
      <c r="A1156" s="1" t="s">
        <v>261</v>
      </c>
    </row>
    <row r="1157" spans="1:1" x14ac:dyDescent="0.2">
      <c r="A1157" s="1" t="s">
        <v>260</v>
      </c>
    </row>
    <row r="1158" spans="1:1" x14ac:dyDescent="0.2">
      <c r="A1158" s="1" t="s">
        <v>261</v>
      </c>
    </row>
    <row r="1159" spans="1:1" x14ac:dyDescent="0.2">
      <c r="A1159" s="1" t="s">
        <v>260</v>
      </c>
    </row>
    <row r="1160" spans="1:1" x14ac:dyDescent="0.2">
      <c r="A1160" s="1" t="s">
        <v>261</v>
      </c>
    </row>
    <row r="1161" spans="1:1" x14ac:dyDescent="0.2">
      <c r="A1161" s="1" t="s">
        <v>262</v>
      </c>
    </row>
    <row r="1162" spans="1:1" x14ac:dyDescent="0.2">
      <c r="A1162" s="1" t="s">
        <v>263</v>
      </c>
    </row>
    <row r="1163" spans="1:1" x14ac:dyDescent="0.2">
      <c r="A1163" s="1" t="s">
        <v>264</v>
      </c>
    </row>
    <row r="1164" spans="1:1" x14ac:dyDescent="0.2">
      <c r="A1164" s="1" t="s">
        <v>265</v>
      </c>
    </row>
    <row r="1165" spans="1:1" x14ac:dyDescent="0.2">
      <c r="A1165" s="1" t="s">
        <v>266</v>
      </c>
    </row>
    <row r="1166" spans="1:1" x14ac:dyDescent="0.2">
      <c r="A1166" s="1" t="s">
        <v>267</v>
      </c>
    </row>
    <row r="1167" spans="1:1" x14ac:dyDescent="0.2">
      <c r="A1167" s="1" t="s">
        <v>268</v>
      </c>
    </row>
    <row r="1168" spans="1:1" x14ac:dyDescent="0.2">
      <c r="A1168" s="1" t="s">
        <v>269</v>
      </c>
    </row>
    <row r="1169" spans="1:1" x14ac:dyDescent="0.2">
      <c r="A1169" s="1" t="s">
        <v>260</v>
      </c>
    </row>
    <row r="1170" spans="1:1" x14ac:dyDescent="0.2">
      <c r="A1170" s="1" t="s">
        <v>261</v>
      </c>
    </row>
    <row r="1171" spans="1:1" x14ac:dyDescent="0.2">
      <c r="A1171" s="1" t="s">
        <v>260</v>
      </c>
    </row>
    <row r="1172" spans="1:1" x14ac:dyDescent="0.2">
      <c r="A1172" s="1" t="s">
        <v>261</v>
      </c>
    </row>
    <row r="1173" spans="1:1" x14ac:dyDescent="0.2">
      <c r="A1173" s="1" t="s">
        <v>260</v>
      </c>
    </row>
    <row r="1174" spans="1:1" x14ac:dyDescent="0.2">
      <c r="A1174" s="1" t="s">
        <v>261</v>
      </c>
    </row>
    <row r="1175" spans="1:1" x14ac:dyDescent="0.2">
      <c r="A1175" s="1" t="s">
        <v>262</v>
      </c>
    </row>
    <row r="1176" spans="1:1" x14ac:dyDescent="0.2">
      <c r="A1176" s="1" t="s">
        <v>263</v>
      </c>
    </row>
    <row r="1177" spans="1:1" x14ac:dyDescent="0.2">
      <c r="A1177" s="1" t="s">
        <v>264</v>
      </c>
    </row>
    <row r="1178" spans="1:1" x14ac:dyDescent="0.2">
      <c r="A1178" s="1" t="s">
        <v>265</v>
      </c>
    </row>
    <row r="1179" spans="1:1" x14ac:dyDescent="0.2">
      <c r="A1179" s="1" t="s">
        <v>266</v>
      </c>
    </row>
    <row r="1180" spans="1:1" x14ac:dyDescent="0.2">
      <c r="A1180" s="1" t="s">
        <v>267</v>
      </c>
    </row>
    <row r="1181" spans="1:1" x14ac:dyDescent="0.2">
      <c r="A1181" s="1" t="s">
        <v>268</v>
      </c>
    </row>
    <row r="1182" spans="1:1" x14ac:dyDescent="0.2">
      <c r="A1182" s="1" t="s">
        <v>270</v>
      </c>
    </row>
    <row r="1183" spans="1:1" x14ac:dyDescent="0.2">
      <c r="A1183" s="1" t="s">
        <v>271</v>
      </c>
    </row>
    <row r="1184" spans="1:1" x14ac:dyDescent="0.2">
      <c r="A1184" s="1" t="s">
        <v>272</v>
      </c>
    </row>
    <row r="1185" spans="1:1" x14ac:dyDescent="0.2">
      <c r="A1185" s="1" t="s">
        <v>271</v>
      </c>
    </row>
    <row r="1186" spans="1:1" x14ac:dyDescent="0.2">
      <c r="A1186" s="1" t="s">
        <v>272</v>
      </c>
    </row>
    <row r="1187" spans="1:1" x14ac:dyDescent="0.2">
      <c r="A1187" s="1" t="s">
        <v>271</v>
      </c>
    </row>
    <row r="1188" spans="1:1" x14ac:dyDescent="0.2">
      <c r="A1188" s="1" t="s">
        <v>272</v>
      </c>
    </row>
    <row r="1189" spans="1:1" x14ac:dyDescent="0.2">
      <c r="A1189" s="1" t="s">
        <v>273</v>
      </c>
    </row>
    <row r="1190" spans="1:1" x14ac:dyDescent="0.2">
      <c r="A1190" s="1" t="s">
        <v>274</v>
      </c>
    </row>
    <row r="1191" spans="1:1" x14ac:dyDescent="0.2">
      <c r="A1191" s="1" t="s">
        <v>275</v>
      </c>
    </row>
    <row r="1192" spans="1:1" x14ac:dyDescent="0.2">
      <c r="A1192" s="1" t="s">
        <v>276</v>
      </c>
    </row>
    <row r="1193" spans="1:1" x14ac:dyDescent="0.2">
      <c r="A1193" s="1" t="s">
        <v>277</v>
      </c>
    </row>
    <row r="1194" spans="1:1" x14ac:dyDescent="0.2">
      <c r="A1194" s="1" t="s">
        <v>278</v>
      </c>
    </row>
    <row r="1195" spans="1:1" x14ac:dyDescent="0.2">
      <c r="A1195" s="1" t="s">
        <v>279</v>
      </c>
    </row>
    <row r="1196" spans="1:1" x14ac:dyDescent="0.2">
      <c r="A1196" s="1" t="s">
        <v>270</v>
      </c>
    </row>
    <row r="1197" spans="1:1" x14ac:dyDescent="0.2">
      <c r="A1197" s="1" t="s">
        <v>271</v>
      </c>
    </row>
    <row r="1198" spans="1:1" x14ac:dyDescent="0.2">
      <c r="A1198" s="1" t="s">
        <v>272</v>
      </c>
    </row>
    <row r="1199" spans="1:1" x14ac:dyDescent="0.2">
      <c r="A1199" s="1" t="s">
        <v>280</v>
      </c>
    </row>
    <row r="1200" spans="1:1" x14ac:dyDescent="0.2">
      <c r="A1200" s="1" t="s">
        <v>281</v>
      </c>
    </row>
    <row r="1201" spans="1:1" x14ac:dyDescent="0.2">
      <c r="A1201" s="1" t="s">
        <v>280</v>
      </c>
    </row>
    <row r="1202" spans="1:1" x14ac:dyDescent="0.2">
      <c r="A1202" s="1" t="s">
        <v>281</v>
      </c>
    </row>
    <row r="1203" spans="1:1" x14ac:dyDescent="0.2">
      <c r="A1203" s="1" t="s">
        <v>282</v>
      </c>
    </row>
    <row r="1204" spans="1:1" x14ac:dyDescent="0.2">
      <c r="A1204" s="1" t="s">
        <v>283</v>
      </c>
    </row>
    <row r="1205" spans="1:1" x14ac:dyDescent="0.2">
      <c r="A1205" s="1" t="s">
        <v>284</v>
      </c>
    </row>
    <row r="1206" spans="1:1" x14ac:dyDescent="0.2">
      <c r="A1206" s="1" t="s">
        <v>285</v>
      </c>
    </row>
    <row r="1207" spans="1:1" x14ac:dyDescent="0.2">
      <c r="A1207" s="1" t="s">
        <v>286</v>
      </c>
    </row>
    <row r="1208" spans="1:1" x14ac:dyDescent="0.2">
      <c r="A1208" s="1" t="s">
        <v>287</v>
      </c>
    </row>
    <row r="1209" spans="1:1" x14ac:dyDescent="0.2">
      <c r="A1209" s="1" t="s">
        <v>288</v>
      </c>
    </row>
    <row r="1210" spans="1:1" x14ac:dyDescent="0.2">
      <c r="A1210" s="1" t="s">
        <v>289</v>
      </c>
    </row>
    <row r="1211" spans="1:1" x14ac:dyDescent="0.2">
      <c r="A1211" s="1" t="s">
        <v>280</v>
      </c>
    </row>
    <row r="1212" spans="1:1" x14ac:dyDescent="0.2">
      <c r="A1212" s="1" t="s">
        <v>281</v>
      </c>
    </row>
    <row r="1213" spans="1:1" x14ac:dyDescent="0.2">
      <c r="A1213" s="1" t="s">
        <v>280</v>
      </c>
    </row>
    <row r="1214" spans="1:1" x14ac:dyDescent="0.2">
      <c r="A1214" s="1" t="s">
        <v>281</v>
      </c>
    </row>
    <row r="1215" spans="1:1" x14ac:dyDescent="0.2">
      <c r="A1215" s="1" t="s">
        <v>280</v>
      </c>
    </row>
    <row r="1216" spans="1:1" x14ac:dyDescent="0.2">
      <c r="A1216" s="1" t="s">
        <v>281</v>
      </c>
    </row>
    <row r="1217" spans="1:1" x14ac:dyDescent="0.2">
      <c r="A1217" s="1" t="s">
        <v>282</v>
      </c>
    </row>
    <row r="1218" spans="1:1" x14ac:dyDescent="0.2">
      <c r="A1218" s="1" t="s">
        <v>283</v>
      </c>
    </row>
    <row r="1219" spans="1:1" x14ac:dyDescent="0.2">
      <c r="A1219" s="1" t="s">
        <v>284</v>
      </c>
    </row>
    <row r="1220" spans="1:1" x14ac:dyDescent="0.2">
      <c r="A1220" s="1" t="s">
        <v>285</v>
      </c>
    </row>
    <row r="1221" spans="1:1" x14ac:dyDescent="0.2">
      <c r="A1221" s="1" t="s">
        <v>286</v>
      </c>
    </row>
    <row r="1222" spans="1:1" x14ac:dyDescent="0.2">
      <c r="A1222" s="1" t="s">
        <v>287</v>
      </c>
    </row>
    <row r="1223" spans="1:1" x14ac:dyDescent="0.2">
      <c r="A1223" s="1" t="s">
        <v>288</v>
      </c>
    </row>
    <row r="1224" spans="1:1" x14ac:dyDescent="0.2">
      <c r="A1224" s="1" t="s">
        <v>289</v>
      </c>
    </row>
    <row r="1225" spans="1:1" x14ac:dyDescent="0.2">
      <c r="A1225" s="1" t="s">
        <v>280</v>
      </c>
    </row>
    <row r="1226" spans="1:1" x14ac:dyDescent="0.2">
      <c r="A1226" s="1" t="s">
        <v>281</v>
      </c>
    </row>
    <row r="1227" spans="1:1" x14ac:dyDescent="0.2">
      <c r="A1227" s="1" t="s">
        <v>280</v>
      </c>
    </row>
    <row r="1228" spans="1:1" x14ac:dyDescent="0.2">
      <c r="A1228" s="1" t="s">
        <v>281</v>
      </c>
    </row>
    <row r="1229" spans="1:1" x14ac:dyDescent="0.2">
      <c r="A1229" s="1" t="s">
        <v>280</v>
      </c>
    </row>
    <row r="1230" spans="1:1" x14ac:dyDescent="0.2">
      <c r="A1230" s="1" t="s">
        <v>281</v>
      </c>
    </row>
    <row r="1231" spans="1:1" x14ac:dyDescent="0.2">
      <c r="A1231" s="1" t="s">
        <v>282</v>
      </c>
    </row>
    <row r="1232" spans="1:1" x14ac:dyDescent="0.2">
      <c r="A1232" s="1" t="s">
        <v>283</v>
      </c>
    </row>
    <row r="1233" spans="1:1" x14ac:dyDescent="0.2">
      <c r="A1233" s="1" t="s">
        <v>284</v>
      </c>
    </row>
    <row r="1234" spans="1:1" x14ac:dyDescent="0.2">
      <c r="A1234" s="1" t="s">
        <v>285</v>
      </c>
    </row>
    <row r="1235" spans="1:1" x14ac:dyDescent="0.2">
      <c r="A1235" s="1" t="s">
        <v>286</v>
      </c>
    </row>
    <row r="1236" spans="1:1" x14ac:dyDescent="0.2">
      <c r="A1236" s="1" t="s">
        <v>287</v>
      </c>
    </row>
    <row r="1237" spans="1:1" x14ac:dyDescent="0.2">
      <c r="A1237" s="1" t="s">
        <v>288</v>
      </c>
    </row>
    <row r="1238" spans="1:1" x14ac:dyDescent="0.2">
      <c r="A1238" s="1" t="s">
        <v>289</v>
      </c>
    </row>
    <row r="1239" spans="1:1" x14ac:dyDescent="0.2">
      <c r="A1239" s="1" t="s">
        <v>280</v>
      </c>
    </row>
    <row r="1240" spans="1:1" x14ac:dyDescent="0.2">
      <c r="A1240" s="1" t="s">
        <v>281</v>
      </c>
    </row>
    <row r="1241" spans="1:1" x14ac:dyDescent="0.2">
      <c r="A1241" s="1" t="s">
        <v>280</v>
      </c>
    </row>
    <row r="1242" spans="1:1" x14ac:dyDescent="0.2">
      <c r="A1242" s="1" t="s">
        <v>281</v>
      </c>
    </row>
    <row r="1243" spans="1:1" x14ac:dyDescent="0.2">
      <c r="A1243" s="1" t="s">
        <v>280</v>
      </c>
    </row>
    <row r="1244" spans="1:1" x14ac:dyDescent="0.2">
      <c r="A1244" s="1" t="s">
        <v>281</v>
      </c>
    </row>
    <row r="1245" spans="1:1" x14ac:dyDescent="0.2">
      <c r="A1245" s="1" t="s">
        <v>282</v>
      </c>
    </row>
    <row r="1246" spans="1:1" x14ac:dyDescent="0.2">
      <c r="A1246" s="1" t="s">
        <v>283</v>
      </c>
    </row>
    <row r="1247" spans="1:1" x14ac:dyDescent="0.2">
      <c r="A1247" s="1" t="s">
        <v>284</v>
      </c>
    </row>
    <row r="1248" spans="1:1" x14ac:dyDescent="0.2">
      <c r="A1248" s="1" t="s">
        <v>285</v>
      </c>
    </row>
    <row r="1249" spans="1:1" x14ac:dyDescent="0.2">
      <c r="A1249" s="1" t="s">
        <v>286</v>
      </c>
    </row>
    <row r="1250" spans="1:1" x14ac:dyDescent="0.2">
      <c r="A1250" s="1" t="s">
        <v>287</v>
      </c>
    </row>
    <row r="1251" spans="1:1" x14ac:dyDescent="0.2">
      <c r="A1251" s="1" t="s">
        <v>288</v>
      </c>
    </row>
    <row r="1252" spans="1:1" x14ac:dyDescent="0.2">
      <c r="A1252" s="1" t="s">
        <v>289</v>
      </c>
    </row>
    <row r="1253" spans="1:1" x14ac:dyDescent="0.2">
      <c r="A1253" s="1" t="s">
        <v>280</v>
      </c>
    </row>
    <row r="1254" spans="1:1" x14ac:dyDescent="0.2">
      <c r="A1254" s="1" t="s">
        <v>281</v>
      </c>
    </row>
    <row r="1255" spans="1:1" x14ac:dyDescent="0.2">
      <c r="A1255" s="1" t="s">
        <v>280</v>
      </c>
    </row>
    <row r="1256" spans="1:1" x14ac:dyDescent="0.2">
      <c r="A1256" s="1" t="s">
        <v>281</v>
      </c>
    </row>
    <row r="1257" spans="1:1" x14ac:dyDescent="0.2">
      <c r="A1257" s="1" t="s">
        <v>280</v>
      </c>
    </row>
    <row r="1258" spans="1:1" x14ac:dyDescent="0.2">
      <c r="A1258" s="1" t="s">
        <v>281</v>
      </c>
    </row>
    <row r="1259" spans="1:1" x14ac:dyDescent="0.2">
      <c r="A1259" s="1" t="s">
        <v>282</v>
      </c>
    </row>
    <row r="1260" spans="1:1" x14ac:dyDescent="0.2">
      <c r="A1260" s="1" t="s">
        <v>283</v>
      </c>
    </row>
    <row r="1261" spans="1:1" x14ac:dyDescent="0.2">
      <c r="A1261" s="1" t="s">
        <v>284</v>
      </c>
    </row>
    <row r="1262" spans="1:1" x14ac:dyDescent="0.2">
      <c r="A1262" s="1" t="s">
        <v>285</v>
      </c>
    </row>
    <row r="1263" spans="1:1" x14ac:dyDescent="0.2">
      <c r="A1263" s="1" t="s">
        <v>286</v>
      </c>
    </row>
    <row r="1264" spans="1:1" x14ac:dyDescent="0.2">
      <c r="A1264" s="1" t="s">
        <v>287</v>
      </c>
    </row>
    <row r="1265" spans="1:1" x14ac:dyDescent="0.2">
      <c r="A1265" s="1" t="s">
        <v>288</v>
      </c>
    </row>
    <row r="1266" spans="1:1" x14ac:dyDescent="0.2">
      <c r="A1266" s="1" t="s">
        <v>289</v>
      </c>
    </row>
    <row r="1267" spans="1:1" x14ac:dyDescent="0.2">
      <c r="A1267" s="1" t="s">
        <v>280</v>
      </c>
    </row>
    <row r="1268" spans="1:1" x14ac:dyDescent="0.2">
      <c r="A1268" s="1" t="s">
        <v>281</v>
      </c>
    </row>
    <row r="1269" spans="1:1" x14ac:dyDescent="0.2">
      <c r="A1269" s="1" t="s">
        <v>280</v>
      </c>
    </row>
    <row r="1270" spans="1:1" x14ac:dyDescent="0.2">
      <c r="A1270" s="1" t="s">
        <v>281</v>
      </c>
    </row>
    <row r="1271" spans="1:1" x14ac:dyDescent="0.2">
      <c r="A1271" s="1" t="s">
        <v>280</v>
      </c>
    </row>
    <row r="1272" spans="1:1" x14ac:dyDescent="0.2">
      <c r="A1272" s="1" t="s">
        <v>281</v>
      </c>
    </row>
    <row r="1273" spans="1:1" x14ac:dyDescent="0.2">
      <c r="A1273" s="1" t="s">
        <v>282</v>
      </c>
    </row>
    <row r="1274" spans="1:1" x14ac:dyDescent="0.2">
      <c r="A1274" s="1" t="s">
        <v>283</v>
      </c>
    </row>
    <row r="1275" spans="1:1" x14ac:dyDescent="0.2">
      <c r="A1275" s="1" t="s">
        <v>284</v>
      </c>
    </row>
    <row r="1276" spans="1:1" x14ac:dyDescent="0.2">
      <c r="A1276" s="1" t="s">
        <v>285</v>
      </c>
    </row>
    <row r="1277" spans="1:1" x14ac:dyDescent="0.2">
      <c r="A1277" s="1" t="s">
        <v>286</v>
      </c>
    </row>
    <row r="1278" spans="1:1" x14ac:dyDescent="0.2">
      <c r="A1278" s="1" t="s">
        <v>287</v>
      </c>
    </row>
    <row r="1279" spans="1:1" x14ac:dyDescent="0.2">
      <c r="A1279" s="1" t="s">
        <v>288</v>
      </c>
    </row>
    <row r="1280" spans="1:1" x14ac:dyDescent="0.2">
      <c r="A1280" s="1" t="s">
        <v>289</v>
      </c>
    </row>
    <row r="1281" spans="1:1" x14ac:dyDescent="0.2">
      <c r="A1281" s="1" t="s">
        <v>280</v>
      </c>
    </row>
    <row r="1282" spans="1:1" x14ac:dyDescent="0.2">
      <c r="A1282" s="1" t="s">
        <v>281</v>
      </c>
    </row>
    <row r="1283" spans="1:1" x14ac:dyDescent="0.2">
      <c r="A1283" s="1" t="s">
        <v>280</v>
      </c>
    </row>
    <row r="1284" spans="1:1" x14ac:dyDescent="0.2">
      <c r="A1284" s="1" t="s">
        <v>281</v>
      </c>
    </row>
    <row r="1285" spans="1:1" x14ac:dyDescent="0.2">
      <c r="A1285" s="1" t="s">
        <v>280</v>
      </c>
    </row>
    <row r="1286" spans="1:1" x14ac:dyDescent="0.2">
      <c r="A1286" s="1" t="s">
        <v>281</v>
      </c>
    </row>
    <row r="1287" spans="1:1" x14ac:dyDescent="0.2">
      <c r="A1287" s="1" t="s">
        <v>282</v>
      </c>
    </row>
    <row r="1288" spans="1:1" x14ac:dyDescent="0.2">
      <c r="A1288" s="1" t="s">
        <v>283</v>
      </c>
    </row>
    <row r="1289" spans="1:1" x14ac:dyDescent="0.2">
      <c r="A1289" s="1" t="s">
        <v>284</v>
      </c>
    </row>
    <row r="1290" spans="1:1" x14ac:dyDescent="0.2">
      <c r="A1290" s="1" t="s">
        <v>285</v>
      </c>
    </row>
    <row r="1291" spans="1:1" x14ac:dyDescent="0.2">
      <c r="A1291" s="1" t="s">
        <v>286</v>
      </c>
    </row>
    <row r="1292" spans="1:1" x14ac:dyDescent="0.2">
      <c r="A1292" s="1" t="s">
        <v>287</v>
      </c>
    </row>
    <row r="1293" spans="1:1" x14ac:dyDescent="0.2">
      <c r="A1293" s="1" t="s">
        <v>288</v>
      </c>
    </row>
    <row r="1294" spans="1:1" x14ac:dyDescent="0.2">
      <c r="A1294" s="1" t="s">
        <v>290</v>
      </c>
    </row>
    <row r="1295" spans="1:1" x14ac:dyDescent="0.2">
      <c r="A1295" s="1" t="s">
        <v>291</v>
      </c>
    </row>
    <row r="1296" spans="1:1" x14ac:dyDescent="0.2">
      <c r="A1296" s="1" t="s">
        <v>292</v>
      </c>
    </row>
    <row r="1297" spans="1:1" x14ac:dyDescent="0.2">
      <c r="A1297" s="1" t="s">
        <v>291</v>
      </c>
    </row>
    <row r="1298" spans="1:1" x14ac:dyDescent="0.2">
      <c r="A1298" s="1" t="s">
        <v>292</v>
      </c>
    </row>
    <row r="1299" spans="1:1" x14ac:dyDescent="0.2">
      <c r="A1299" s="1" t="s">
        <v>291</v>
      </c>
    </row>
    <row r="1300" spans="1:1" x14ac:dyDescent="0.2">
      <c r="A1300" s="1" t="s">
        <v>292</v>
      </c>
    </row>
    <row r="1301" spans="1:1" x14ac:dyDescent="0.2">
      <c r="A1301" s="1" t="s">
        <v>293</v>
      </c>
    </row>
    <row r="1302" spans="1:1" x14ac:dyDescent="0.2">
      <c r="A1302" s="1" t="s">
        <v>294</v>
      </c>
    </row>
    <row r="1303" spans="1:1" x14ac:dyDescent="0.2">
      <c r="A1303" s="1" t="s">
        <v>295</v>
      </c>
    </row>
    <row r="1304" spans="1:1" x14ac:dyDescent="0.2">
      <c r="A1304" s="1" t="s">
        <v>296</v>
      </c>
    </row>
    <row r="1305" spans="1:1" x14ac:dyDescent="0.2">
      <c r="A1305" s="1" t="s">
        <v>297</v>
      </c>
    </row>
    <row r="1306" spans="1:1" x14ac:dyDescent="0.2">
      <c r="A1306" s="1" t="s">
        <v>298</v>
      </c>
    </row>
    <row r="1307" spans="1:1" x14ac:dyDescent="0.2">
      <c r="A1307" s="1" t="s">
        <v>299</v>
      </c>
    </row>
    <row r="1308" spans="1:1" x14ac:dyDescent="0.2">
      <c r="A1308" s="1" t="s">
        <v>290</v>
      </c>
    </row>
    <row r="1309" spans="1:1" x14ac:dyDescent="0.2">
      <c r="A1309" s="1" t="s">
        <v>291</v>
      </c>
    </row>
    <row r="1310" spans="1:1" x14ac:dyDescent="0.2">
      <c r="A1310" s="1" t="s">
        <v>292</v>
      </c>
    </row>
    <row r="1311" spans="1:1" x14ac:dyDescent="0.2">
      <c r="A1311" s="1" t="s">
        <v>300</v>
      </c>
    </row>
    <row r="1312" spans="1:1" x14ac:dyDescent="0.2">
      <c r="A1312" s="1" t="s">
        <v>301</v>
      </c>
    </row>
    <row r="1313" spans="1:1" x14ac:dyDescent="0.2">
      <c r="A1313" s="1" t="s">
        <v>300</v>
      </c>
    </row>
    <row r="1314" spans="1:1" x14ac:dyDescent="0.2">
      <c r="A1314" s="1" t="s">
        <v>301</v>
      </c>
    </row>
    <row r="1315" spans="1:1" x14ac:dyDescent="0.2">
      <c r="A1315" s="1" t="s">
        <v>302</v>
      </c>
    </row>
    <row r="1316" spans="1:1" x14ac:dyDescent="0.2">
      <c r="A1316" s="1" t="s">
        <v>303</v>
      </c>
    </row>
    <row r="1317" spans="1:1" x14ac:dyDescent="0.2">
      <c r="A1317" s="1" t="s">
        <v>304</v>
      </c>
    </row>
    <row r="1318" spans="1:1" x14ac:dyDescent="0.2">
      <c r="A1318" s="1" t="s">
        <v>305</v>
      </c>
    </row>
    <row r="1319" spans="1:1" x14ac:dyDescent="0.2">
      <c r="A1319" s="1" t="s">
        <v>306</v>
      </c>
    </row>
    <row r="1320" spans="1:1" x14ac:dyDescent="0.2">
      <c r="A1320" s="1" t="s">
        <v>307</v>
      </c>
    </row>
    <row r="1321" spans="1:1" x14ac:dyDescent="0.2">
      <c r="A1321" s="1" t="s">
        <v>308</v>
      </c>
    </row>
    <row r="1322" spans="1:1" x14ac:dyDescent="0.2">
      <c r="A1322" s="1" t="s">
        <v>309</v>
      </c>
    </row>
    <row r="1323" spans="1:1" x14ac:dyDescent="0.2">
      <c r="A1323" s="1" t="s">
        <v>310</v>
      </c>
    </row>
    <row r="1324" spans="1:1" x14ac:dyDescent="0.2">
      <c r="A1324" s="1" t="s">
        <v>311</v>
      </c>
    </row>
    <row r="1325" spans="1:1" x14ac:dyDescent="0.2">
      <c r="A1325" s="1" t="s">
        <v>310</v>
      </c>
    </row>
    <row r="1326" spans="1:1" x14ac:dyDescent="0.2">
      <c r="A1326" s="1" t="s">
        <v>311</v>
      </c>
    </row>
    <row r="1327" spans="1:1" x14ac:dyDescent="0.2">
      <c r="A1327" s="1" t="s">
        <v>310</v>
      </c>
    </row>
    <row r="1328" spans="1:1" x14ac:dyDescent="0.2">
      <c r="A1328" s="1" t="s">
        <v>311</v>
      </c>
    </row>
    <row r="1329" spans="1:1" x14ac:dyDescent="0.2">
      <c r="A1329" s="1" t="s">
        <v>312</v>
      </c>
    </row>
    <row r="1330" spans="1:1" x14ac:dyDescent="0.2">
      <c r="A1330" s="1" t="s">
        <v>313</v>
      </c>
    </row>
    <row r="1331" spans="1:1" x14ac:dyDescent="0.2">
      <c r="A1331" s="1" t="s">
        <v>314</v>
      </c>
    </row>
    <row r="1332" spans="1:1" x14ac:dyDescent="0.2">
      <c r="A1332" s="1" t="s">
        <v>315</v>
      </c>
    </row>
    <row r="1333" spans="1:1" x14ac:dyDescent="0.2">
      <c r="A1333" s="1" t="s">
        <v>316</v>
      </c>
    </row>
    <row r="1334" spans="1:1" x14ac:dyDescent="0.2">
      <c r="A1334" s="1" t="s">
        <v>307</v>
      </c>
    </row>
    <row r="1335" spans="1:1" x14ac:dyDescent="0.2">
      <c r="A1335" s="1" t="s">
        <v>308</v>
      </c>
    </row>
    <row r="1336" spans="1:1" x14ac:dyDescent="0.2">
      <c r="A1336" s="1" t="s">
        <v>309</v>
      </c>
    </row>
    <row r="1337" spans="1:1" x14ac:dyDescent="0.2">
      <c r="A1337" s="1" t="s">
        <v>310</v>
      </c>
    </row>
    <row r="1338" spans="1:1" x14ac:dyDescent="0.2">
      <c r="A1338" s="1" t="s">
        <v>311</v>
      </c>
    </row>
    <row r="1339" spans="1:1" x14ac:dyDescent="0.2">
      <c r="A1339" s="1" t="s">
        <v>310</v>
      </c>
    </row>
    <row r="1340" spans="1:1" x14ac:dyDescent="0.2">
      <c r="A1340" s="1" t="s">
        <v>311</v>
      </c>
    </row>
    <row r="1341" spans="1:1" x14ac:dyDescent="0.2">
      <c r="A1341" s="1" t="s">
        <v>310</v>
      </c>
    </row>
    <row r="1342" spans="1:1" x14ac:dyDescent="0.2">
      <c r="A1342" s="1" t="s">
        <v>311</v>
      </c>
    </row>
    <row r="1343" spans="1:1" x14ac:dyDescent="0.2">
      <c r="A1343" s="1" t="s">
        <v>312</v>
      </c>
    </row>
    <row r="1344" spans="1:1" x14ac:dyDescent="0.2">
      <c r="A1344" s="1" t="s">
        <v>313</v>
      </c>
    </row>
    <row r="1345" spans="1:1" x14ac:dyDescent="0.2">
      <c r="A1345" s="1" t="s">
        <v>314</v>
      </c>
    </row>
    <row r="1346" spans="1:1" x14ac:dyDescent="0.2">
      <c r="A1346" s="1" t="s">
        <v>315</v>
      </c>
    </row>
    <row r="1347" spans="1:1" x14ac:dyDescent="0.2">
      <c r="A1347" s="1" t="s">
        <v>316</v>
      </c>
    </row>
    <row r="1348" spans="1:1" x14ac:dyDescent="0.2">
      <c r="A1348" s="1" t="s">
        <v>307</v>
      </c>
    </row>
    <row r="1349" spans="1:1" x14ac:dyDescent="0.2">
      <c r="A1349" s="1" t="s">
        <v>308</v>
      </c>
    </row>
    <row r="1350" spans="1:1" x14ac:dyDescent="0.2">
      <c r="A1350" s="1" t="s">
        <v>309</v>
      </c>
    </row>
    <row r="1351" spans="1:1" x14ac:dyDescent="0.2">
      <c r="A1351" s="1" t="s">
        <v>310</v>
      </c>
    </row>
    <row r="1352" spans="1:1" x14ac:dyDescent="0.2">
      <c r="A1352" s="1" t="s">
        <v>311</v>
      </c>
    </row>
    <row r="1353" spans="1:1" x14ac:dyDescent="0.2">
      <c r="A1353" s="1" t="s">
        <v>310</v>
      </c>
    </row>
    <row r="1354" spans="1:1" x14ac:dyDescent="0.2">
      <c r="A1354" s="1" t="s">
        <v>311</v>
      </c>
    </row>
    <row r="1355" spans="1:1" x14ac:dyDescent="0.2">
      <c r="A1355" s="1" t="s">
        <v>310</v>
      </c>
    </row>
    <row r="1356" spans="1:1" x14ac:dyDescent="0.2">
      <c r="A1356" s="1" t="s">
        <v>311</v>
      </c>
    </row>
    <row r="1357" spans="1:1" x14ac:dyDescent="0.2">
      <c r="A1357" s="1" t="s">
        <v>312</v>
      </c>
    </row>
    <row r="1358" spans="1:1" x14ac:dyDescent="0.2">
      <c r="A1358" s="1" t="s">
        <v>313</v>
      </c>
    </row>
    <row r="1359" spans="1:1" x14ac:dyDescent="0.2">
      <c r="A1359" s="1" t="s">
        <v>314</v>
      </c>
    </row>
    <row r="1360" spans="1:1" x14ac:dyDescent="0.2">
      <c r="A1360" s="1" t="s">
        <v>315</v>
      </c>
    </row>
    <row r="1361" spans="1:1" x14ac:dyDescent="0.2">
      <c r="A1361" s="1" t="s">
        <v>316</v>
      </c>
    </row>
    <row r="1362" spans="1:1" x14ac:dyDescent="0.2">
      <c r="A1362" s="1" t="s">
        <v>307</v>
      </c>
    </row>
    <row r="1363" spans="1:1" x14ac:dyDescent="0.2">
      <c r="A1363" s="1" t="s">
        <v>308</v>
      </c>
    </row>
    <row r="1364" spans="1:1" x14ac:dyDescent="0.2">
      <c r="A1364" s="1" t="s">
        <v>309</v>
      </c>
    </row>
    <row r="1365" spans="1:1" x14ac:dyDescent="0.2">
      <c r="A1365" s="1" t="s">
        <v>310</v>
      </c>
    </row>
    <row r="1366" spans="1:1" x14ac:dyDescent="0.2">
      <c r="A1366" s="1" t="s">
        <v>311</v>
      </c>
    </row>
    <row r="1367" spans="1:1" x14ac:dyDescent="0.2">
      <c r="A1367" s="1" t="s">
        <v>310</v>
      </c>
    </row>
    <row r="1368" spans="1:1" x14ac:dyDescent="0.2">
      <c r="A1368" s="1" t="s">
        <v>311</v>
      </c>
    </row>
    <row r="1369" spans="1:1" x14ac:dyDescent="0.2">
      <c r="A1369" s="1" t="s">
        <v>310</v>
      </c>
    </row>
    <row r="1370" spans="1:1" x14ac:dyDescent="0.2">
      <c r="A1370" s="1" t="s">
        <v>311</v>
      </c>
    </row>
    <row r="1371" spans="1:1" x14ac:dyDescent="0.2">
      <c r="A1371" s="1" t="s">
        <v>312</v>
      </c>
    </row>
    <row r="1372" spans="1:1" x14ac:dyDescent="0.2">
      <c r="A1372" s="1" t="s">
        <v>313</v>
      </c>
    </row>
    <row r="1373" spans="1:1" x14ac:dyDescent="0.2">
      <c r="A1373" s="1" t="s">
        <v>314</v>
      </c>
    </row>
    <row r="1374" spans="1:1" x14ac:dyDescent="0.2">
      <c r="A1374" s="1" t="s">
        <v>315</v>
      </c>
    </row>
    <row r="1375" spans="1:1" x14ac:dyDescent="0.2">
      <c r="A1375" s="1" t="s">
        <v>316</v>
      </c>
    </row>
    <row r="1376" spans="1:1" x14ac:dyDescent="0.2">
      <c r="A1376" s="1" t="s">
        <v>307</v>
      </c>
    </row>
    <row r="1377" spans="1:1" x14ac:dyDescent="0.2">
      <c r="A1377" s="1" t="s">
        <v>308</v>
      </c>
    </row>
    <row r="1378" spans="1:1" x14ac:dyDescent="0.2">
      <c r="A1378" s="1" t="s">
        <v>309</v>
      </c>
    </row>
    <row r="1379" spans="1:1" x14ac:dyDescent="0.2">
      <c r="A1379" s="1" t="s">
        <v>310</v>
      </c>
    </row>
    <row r="1380" spans="1:1" x14ac:dyDescent="0.2">
      <c r="A1380" s="1" t="s">
        <v>311</v>
      </c>
    </row>
    <row r="1381" spans="1:1" x14ac:dyDescent="0.2">
      <c r="A1381" s="1" t="s">
        <v>310</v>
      </c>
    </row>
    <row r="1382" spans="1:1" x14ac:dyDescent="0.2">
      <c r="A1382" s="1" t="s">
        <v>311</v>
      </c>
    </row>
    <row r="1383" spans="1:1" x14ac:dyDescent="0.2">
      <c r="A1383" s="1" t="s">
        <v>310</v>
      </c>
    </row>
    <row r="1384" spans="1:1" x14ac:dyDescent="0.2">
      <c r="A1384" s="1" t="s">
        <v>311</v>
      </c>
    </row>
    <row r="1385" spans="1:1" x14ac:dyDescent="0.2">
      <c r="A1385" s="1" t="s">
        <v>312</v>
      </c>
    </row>
    <row r="1386" spans="1:1" x14ac:dyDescent="0.2">
      <c r="A1386" s="1" t="s">
        <v>313</v>
      </c>
    </row>
    <row r="1387" spans="1:1" x14ac:dyDescent="0.2">
      <c r="A1387" s="1" t="s">
        <v>314</v>
      </c>
    </row>
    <row r="1388" spans="1:1" x14ac:dyDescent="0.2">
      <c r="A1388" s="1" t="s">
        <v>315</v>
      </c>
    </row>
    <row r="1389" spans="1:1" x14ac:dyDescent="0.2">
      <c r="A1389" s="1" t="s">
        <v>316</v>
      </c>
    </row>
    <row r="1390" spans="1:1" x14ac:dyDescent="0.2">
      <c r="A1390" s="1" t="s">
        <v>307</v>
      </c>
    </row>
    <row r="1391" spans="1:1" x14ac:dyDescent="0.2">
      <c r="A1391" s="1" t="s">
        <v>308</v>
      </c>
    </row>
    <row r="1392" spans="1:1" x14ac:dyDescent="0.2">
      <c r="A1392" s="1" t="s">
        <v>309</v>
      </c>
    </row>
    <row r="1393" spans="1:1" x14ac:dyDescent="0.2">
      <c r="A1393" s="1" t="s">
        <v>310</v>
      </c>
    </row>
    <row r="1394" spans="1:1" x14ac:dyDescent="0.2">
      <c r="A1394" s="1" t="s">
        <v>311</v>
      </c>
    </row>
    <row r="1395" spans="1:1" x14ac:dyDescent="0.2">
      <c r="A1395" s="1" t="s">
        <v>310</v>
      </c>
    </row>
    <row r="1396" spans="1:1" x14ac:dyDescent="0.2">
      <c r="A1396" s="1" t="s">
        <v>311</v>
      </c>
    </row>
    <row r="1397" spans="1:1" x14ac:dyDescent="0.2">
      <c r="A1397" s="1" t="s">
        <v>310</v>
      </c>
    </row>
    <row r="1398" spans="1:1" x14ac:dyDescent="0.2">
      <c r="A1398" s="1" t="s">
        <v>311</v>
      </c>
    </row>
    <row r="1399" spans="1:1" x14ac:dyDescent="0.2">
      <c r="A1399" s="1" t="s">
        <v>312</v>
      </c>
    </row>
    <row r="1400" spans="1:1" x14ac:dyDescent="0.2">
      <c r="A1400" s="1" t="s">
        <v>313</v>
      </c>
    </row>
    <row r="1401" spans="1:1" x14ac:dyDescent="0.2">
      <c r="A1401" s="1" t="s">
        <v>314</v>
      </c>
    </row>
    <row r="1402" spans="1:1" x14ac:dyDescent="0.2">
      <c r="A1402" s="1" t="s">
        <v>315</v>
      </c>
    </row>
    <row r="1403" spans="1:1" x14ac:dyDescent="0.2">
      <c r="A1403" s="1" t="s">
        <v>316</v>
      </c>
    </row>
    <row r="1404" spans="1:1" x14ac:dyDescent="0.2">
      <c r="A1404" s="1" t="s">
        <v>307</v>
      </c>
    </row>
    <row r="1405" spans="1:1" x14ac:dyDescent="0.2">
      <c r="A1405" s="1" t="s">
        <v>308</v>
      </c>
    </row>
    <row r="1406" spans="1:1" x14ac:dyDescent="0.2">
      <c r="A1406" s="1" t="s">
        <v>317</v>
      </c>
    </row>
    <row r="1407" spans="1:1" x14ac:dyDescent="0.2">
      <c r="A1407" s="1" t="s">
        <v>318</v>
      </c>
    </row>
    <row r="1408" spans="1:1" x14ac:dyDescent="0.2">
      <c r="A1408" s="1" t="s">
        <v>319</v>
      </c>
    </row>
    <row r="1409" spans="1:1" x14ac:dyDescent="0.2">
      <c r="A1409" s="1" t="s">
        <v>318</v>
      </c>
    </row>
    <row r="1410" spans="1:1" x14ac:dyDescent="0.2">
      <c r="A1410" s="1" t="s">
        <v>319</v>
      </c>
    </row>
    <row r="1411" spans="1:1" x14ac:dyDescent="0.2">
      <c r="A1411" s="1" t="s">
        <v>318</v>
      </c>
    </row>
    <row r="1412" spans="1:1" x14ac:dyDescent="0.2">
      <c r="A1412" s="1" t="s">
        <v>319</v>
      </c>
    </row>
    <row r="1413" spans="1:1" x14ac:dyDescent="0.2">
      <c r="A1413" s="1" t="s">
        <v>320</v>
      </c>
    </row>
    <row r="1414" spans="1:1" x14ac:dyDescent="0.2">
      <c r="A1414" s="1" t="s">
        <v>321</v>
      </c>
    </row>
    <row r="1415" spans="1:1" x14ac:dyDescent="0.2">
      <c r="A1415" s="1" t="s">
        <v>322</v>
      </c>
    </row>
    <row r="1416" spans="1:1" x14ac:dyDescent="0.2">
      <c r="A1416" s="1" t="s">
        <v>323</v>
      </c>
    </row>
    <row r="1417" spans="1:1" x14ac:dyDescent="0.2">
      <c r="A1417" s="1" t="s">
        <v>324</v>
      </c>
    </row>
    <row r="1418" spans="1:1" x14ac:dyDescent="0.2">
      <c r="A1418" s="1" t="s">
        <v>325</v>
      </c>
    </row>
    <row r="1419" spans="1:1" x14ac:dyDescent="0.2">
      <c r="A1419" s="1" t="s">
        <v>326</v>
      </c>
    </row>
    <row r="1420" spans="1:1" x14ac:dyDescent="0.2">
      <c r="A1420" s="1" t="s">
        <v>317</v>
      </c>
    </row>
    <row r="1421" spans="1:1" x14ac:dyDescent="0.2">
      <c r="A1421" s="1" t="s">
        <v>318</v>
      </c>
    </row>
    <row r="1422" spans="1:1" x14ac:dyDescent="0.2">
      <c r="A1422" s="1" t="s">
        <v>319</v>
      </c>
    </row>
    <row r="1423" spans="1:1" x14ac:dyDescent="0.2">
      <c r="A1423" s="1" t="s">
        <v>327</v>
      </c>
    </row>
    <row r="1424" spans="1:1" x14ac:dyDescent="0.2">
      <c r="A1424" s="1" t="s">
        <v>328</v>
      </c>
    </row>
    <row r="1425" spans="1:1" x14ac:dyDescent="0.2">
      <c r="A1425" s="1" t="s">
        <v>327</v>
      </c>
    </row>
    <row r="1426" spans="1:1" x14ac:dyDescent="0.2">
      <c r="A1426" s="1" t="s">
        <v>328</v>
      </c>
    </row>
    <row r="1427" spans="1:1" x14ac:dyDescent="0.2">
      <c r="A1427" s="1" t="s">
        <v>329</v>
      </c>
    </row>
    <row r="1428" spans="1:1" x14ac:dyDescent="0.2">
      <c r="A1428" s="1" t="s">
        <v>330</v>
      </c>
    </row>
    <row r="1429" spans="1:1" x14ac:dyDescent="0.2">
      <c r="A1429" s="1" t="s">
        <v>331</v>
      </c>
    </row>
    <row r="1430" spans="1:1" x14ac:dyDescent="0.2">
      <c r="A1430" s="1" t="s">
        <v>332</v>
      </c>
    </row>
    <row r="1431" spans="1:1" x14ac:dyDescent="0.2">
      <c r="A1431" s="1" t="s">
        <v>333</v>
      </c>
    </row>
    <row r="1432" spans="1:1" x14ac:dyDescent="0.2">
      <c r="A1432" s="1" t="s">
        <v>334</v>
      </c>
    </row>
    <row r="1433" spans="1:1" x14ac:dyDescent="0.2">
      <c r="A1433" s="1" t="s">
        <v>335</v>
      </c>
    </row>
    <row r="1434" spans="1:1" x14ac:dyDescent="0.2">
      <c r="A1434" s="1" t="s">
        <v>336</v>
      </c>
    </row>
    <row r="1435" spans="1:1" x14ac:dyDescent="0.2">
      <c r="A1435" s="1" t="s">
        <v>327</v>
      </c>
    </row>
    <row r="1436" spans="1:1" x14ac:dyDescent="0.2">
      <c r="A1436" s="1" t="s">
        <v>328</v>
      </c>
    </row>
    <row r="1437" spans="1:1" x14ac:dyDescent="0.2">
      <c r="A1437" s="1" t="s">
        <v>327</v>
      </c>
    </row>
    <row r="1438" spans="1:1" x14ac:dyDescent="0.2">
      <c r="A1438" s="1" t="s">
        <v>328</v>
      </c>
    </row>
    <row r="1439" spans="1:1" x14ac:dyDescent="0.2">
      <c r="A1439" s="1" t="s">
        <v>327</v>
      </c>
    </row>
    <row r="1440" spans="1:1" x14ac:dyDescent="0.2">
      <c r="A1440" s="1" t="s">
        <v>328</v>
      </c>
    </row>
    <row r="1441" spans="1:1" x14ac:dyDescent="0.2">
      <c r="A1441" s="1" t="s">
        <v>329</v>
      </c>
    </row>
    <row r="1442" spans="1:1" x14ac:dyDescent="0.2">
      <c r="A1442" s="1" t="s">
        <v>330</v>
      </c>
    </row>
    <row r="1443" spans="1:1" x14ac:dyDescent="0.2">
      <c r="A1443" s="1" t="s">
        <v>337</v>
      </c>
    </row>
    <row r="1444" spans="1:1" x14ac:dyDescent="0.2">
      <c r="A1444" s="1" t="s">
        <v>338</v>
      </c>
    </row>
    <row r="1445" spans="1:1" x14ac:dyDescent="0.2">
      <c r="A1445" s="1" t="s">
        <v>339</v>
      </c>
    </row>
    <row r="1446" spans="1:1" x14ac:dyDescent="0.2">
      <c r="A1446" s="1" t="s">
        <v>340</v>
      </c>
    </row>
    <row r="1447" spans="1:1" x14ac:dyDescent="0.2">
      <c r="A1447" s="1" t="s">
        <v>341</v>
      </c>
    </row>
    <row r="1448" spans="1:1" x14ac:dyDescent="0.2">
      <c r="A1448" s="1" t="s">
        <v>342</v>
      </c>
    </row>
    <row r="1449" spans="1:1" x14ac:dyDescent="0.2">
      <c r="A1449" s="1" t="s">
        <v>343</v>
      </c>
    </row>
    <row r="1450" spans="1:1" x14ac:dyDescent="0.2">
      <c r="A1450" s="1" t="s">
        <v>344</v>
      </c>
    </row>
    <row r="1451" spans="1:1" x14ac:dyDescent="0.2">
      <c r="A1451" s="1" t="s">
        <v>343</v>
      </c>
    </row>
    <row r="1452" spans="1:1" x14ac:dyDescent="0.2">
      <c r="A1452" s="1" t="s">
        <v>344</v>
      </c>
    </row>
    <row r="1453" spans="1:1" x14ac:dyDescent="0.2">
      <c r="A1453" s="1" t="s">
        <v>343</v>
      </c>
    </row>
    <row r="1454" spans="1:1" x14ac:dyDescent="0.2">
      <c r="A1454" s="1" t="s">
        <v>344</v>
      </c>
    </row>
    <row r="1455" spans="1:1" x14ac:dyDescent="0.2">
      <c r="A1455" s="1" t="s">
        <v>345</v>
      </c>
    </row>
    <row r="1456" spans="1:1" x14ac:dyDescent="0.2">
      <c r="A1456" s="1" t="s">
        <v>346</v>
      </c>
    </row>
    <row r="1457" spans="1:1" x14ac:dyDescent="0.2">
      <c r="A1457" s="1" t="s">
        <v>337</v>
      </c>
    </row>
    <row r="1458" spans="1:1" x14ac:dyDescent="0.2">
      <c r="A1458" s="1" t="s">
        <v>338</v>
      </c>
    </row>
    <row r="1459" spans="1:1" x14ac:dyDescent="0.2">
      <c r="A1459" s="1" t="s">
        <v>339</v>
      </c>
    </row>
    <row r="1460" spans="1:1" x14ac:dyDescent="0.2">
      <c r="A1460" s="1" t="s">
        <v>340</v>
      </c>
    </row>
    <row r="1461" spans="1:1" x14ac:dyDescent="0.2">
      <c r="A1461" s="1" t="s">
        <v>341</v>
      </c>
    </row>
    <row r="1462" spans="1:1" x14ac:dyDescent="0.2">
      <c r="A1462" s="1" t="s">
        <v>342</v>
      </c>
    </row>
    <row r="1463" spans="1:1" x14ac:dyDescent="0.2">
      <c r="A1463" s="1" t="s">
        <v>343</v>
      </c>
    </row>
    <row r="1464" spans="1:1" x14ac:dyDescent="0.2">
      <c r="A1464" s="1" t="s">
        <v>344</v>
      </c>
    </row>
    <row r="1465" spans="1:1" x14ac:dyDescent="0.2">
      <c r="A1465" s="1" t="s">
        <v>343</v>
      </c>
    </row>
    <row r="1466" spans="1:1" x14ac:dyDescent="0.2">
      <c r="A1466" s="1" t="s">
        <v>344</v>
      </c>
    </row>
    <row r="1467" spans="1:1" x14ac:dyDescent="0.2">
      <c r="A1467" s="1" t="s">
        <v>343</v>
      </c>
    </row>
    <row r="1468" spans="1:1" x14ac:dyDescent="0.2">
      <c r="A1468" s="1" t="s">
        <v>344</v>
      </c>
    </row>
    <row r="1469" spans="1:1" x14ac:dyDescent="0.2">
      <c r="A1469" s="1" t="s">
        <v>345</v>
      </c>
    </row>
    <row r="1470" spans="1:1" x14ac:dyDescent="0.2">
      <c r="A1470" s="1" t="s">
        <v>346</v>
      </c>
    </row>
    <row r="1471" spans="1:1" x14ac:dyDescent="0.2">
      <c r="A1471" s="1" t="s">
        <v>337</v>
      </c>
    </row>
    <row r="1472" spans="1:1" x14ac:dyDescent="0.2">
      <c r="A1472" s="1" t="s">
        <v>338</v>
      </c>
    </row>
    <row r="1473" spans="1:1" x14ac:dyDescent="0.2">
      <c r="A1473" s="1" t="s">
        <v>339</v>
      </c>
    </row>
    <row r="1474" spans="1:1" x14ac:dyDescent="0.2">
      <c r="A1474" s="1" t="s">
        <v>340</v>
      </c>
    </row>
    <row r="1475" spans="1:1" x14ac:dyDescent="0.2">
      <c r="A1475" s="1" t="s">
        <v>341</v>
      </c>
    </row>
    <row r="1476" spans="1:1" x14ac:dyDescent="0.2">
      <c r="A1476" s="1" t="s">
        <v>342</v>
      </c>
    </row>
    <row r="1477" spans="1:1" x14ac:dyDescent="0.2">
      <c r="A1477" s="1" t="s">
        <v>343</v>
      </c>
    </row>
    <row r="1478" spans="1:1" x14ac:dyDescent="0.2">
      <c r="A1478" s="1" t="s">
        <v>344</v>
      </c>
    </row>
    <row r="1479" spans="1:1" x14ac:dyDescent="0.2">
      <c r="A1479" s="1" t="s">
        <v>343</v>
      </c>
    </row>
    <row r="1480" spans="1:1" x14ac:dyDescent="0.2">
      <c r="A1480" s="1" t="s">
        <v>344</v>
      </c>
    </row>
    <row r="1481" spans="1:1" x14ac:dyDescent="0.2">
      <c r="A1481" s="1" t="s">
        <v>343</v>
      </c>
    </row>
    <row r="1482" spans="1:1" x14ac:dyDescent="0.2">
      <c r="A1482" s="1" t="s">
        <v>344</v>
      </c>
    </row>
    <row r="1483" spans="1:1" x14ac:dyDescent="0.2">
      <c r="A1483" s="1" t="s">
        <v>345</v>
      </c>
    </row>
    <row r="1484" spans="1:1" x14ac:dyDescent="0.2">
      <c r="A1484" s="1" t="s">
        <v>346</v>
      </c>
    </row>
    <row r="1485" spans="1:1" x14ac:dyDescent="0.2">
      <c r="A1485" s="1" t="s">
        <v>337</v>
      </c>
    </row>
    <row r="1486" spans="1:1" x14ac:dyDescent="0.2">
      <c r="A1486" s="1" t="s">
        <v>338</v>
      </c>
    </row>
    <row r="1487" spans="1:1" x14ac:dyDescent="0.2">
      <c r="A1487" s="1" t="s">
        <v>339</v>
      </c>
    </row>
    <row r="1488" spans="1:1" x14ac:dyDescent="0.2">
      <c r="A1488" s="1" t="s">
        <v>340</v>
      </c>
    </row>
    <row r="1489" spans="1:1" x14ac:dyDescent="0.2">
      <c r="A1489" s="1" t="s">
        <v>341</v>
      </c>
    </row>
    <row r="1490" spans="1:1" x14ac:dyDescent="0.2">
      <c r="A1490" s="1" t="s">
        <v>342</v>
      </c>
    </row>
    <row r="1491" spans="1:1" x14ac:dyDescent="0.2">
      <c r="A1491" s="1" t="s">
        <v>343</v>
      </c>
    </row>
    <row r="1492" spans="1:1" x14ac:dyDescent="0.2">
      <c r="A1492" s="1" t="s">
        <v>344</v>
      </c>
    </row>
    <row r="1493" spans="1:1" x14ac:dyDescent="0.2">
      <c r="A1493" s="1" t="s">
        <v>343</v>
      </c>
    </row>
    <row r="1494" spans="1:1" x14ac:dyDescent="0.2">
      <c r="A1494" s="1" t="s">
        <v>344</v>
      </c>
    </row>
    <row r="1495" spans="1:1" x14ac:dyDescent="0.2">
      <c r="A1495" s="1" t="s">
        <v>343</v>
      </c>
    </row>
    <row r="1496" spans="1:1" x14ac:dyDescent="0.2">
      <c r="A1496" s="1" t="s">
        <v>344</v>
      </c>
    </row>
    <row r="1497" spans="1:1" x14ac:dyDescent="0.2">
      <c r="A1497" s="1" t="s">
        <v>345</v>
      </c>
    </row>
    <row r="1498" spans="1:1" x14ac:dyDescent="0.2">
      <c r="A1498" s="1" t="s">
        <v>346</v>
      </c>
    </row>
    <row r="1499" spans="1:1" x14ac:dyDescent="0.2">
      <c r="A1499" s="1" t="s">
        <v>337</v>
      </c>
    </row>
    <row r="1500" spans="1:1" x14ac:dyDescent="0.2">
      <c r="A1500" s="1" t="s">
        <v>338</v>
      </c>
    </row>
    <row r="1501" spans="1:1" x14ac:dyDescent="0.2">
      <c r="A1501" s="1" t="s">
        <v>339</v>
      </c>
    </row>
    <row r="1502" spans="1:1" x14ac:dyDescent="0.2">
      <c r="A1502" s="1" t="s">
        <v>340</v>
      </c>
    </row>
    <row r="1503" spans="1:1" x14ac:dyDescent="0.2">
      <c r="A1503" s="1" t="s">
        <v>341</v>
      </c>
    </row>
    <row r="1504" spans="1:1" x14ac:dyDescent="0.2">
      <c r="A1504" s="1" t="s">
        <v>342</v>
      </c>
    </row>
    <row r="1505" spans="1:1" x14ac:dyDescent="0.2">
      <c r="A1505" s="1" t="s">
        <v>343</v>
      </c>
    </row>
    <row r="1506" spans="1:1" x14ac:dyDescent="0.2">
      <c r="A1506" s="1" t="s">
        <v>344</v>
      </c>
    </row>
    <row r="1507" spans="1:1" x14ac:dyDescent="0.2">
      <c r="A1507" s="1" t="s">
        <v>343</v>
      </c>
    </row>
    <row r="1508" spans="1:1" x14ac:dyDescent="0.2">
      <c r="A1508" s="1" t="s">
        <v>344</v>
      </c>
    </row>
    <row r="1509" spans="1:1" x14ac:dyDescent="0.2">
      <c r="A1509" s="1" t="s">
        <v>343</v>
      </c>
    </row>
    <row r="1510" spans="1:1" x14ac:dyDescent="0.2">
      <c r="A1510" s="1" t="s">
        <v>344</v>
      </c>
    </row>
    <row r="1511" spans="1:1" x14ac:dyDescent="0.2">
      <c r="A1511" s="1" t="s">
        <v>345</v>
      </c>
    </row>
    <row r="1512" spans="1:1" x14ac:dyDescent="0.2">
      <c r="A1512" s="1" t="s">
        <v>346</v>
      </c>
    </row>
    <row r="1513" spans="1:1" x14ac:dyDescent="0.2">
      <c r="A1513" s="1" t="s">
        <v>337</v>
      </c>
    </row>
    <row r="1514" spans="1:1" x14ac:dyDescent="0.2">
      <c r="A1514" s="1" t="s">
        <v>338</v>
      </c>
    </row>
    <row r="1515" spans="1:1" x14ac:dyDescent="0.2">
      <c r="A1515" s="1" t="s">
        <v>339</v>
      </c>
    </row>
    <row r="1516" spans="1:1" x14ac:dyDescent="0.2">
      <c r="A1516" s="1" t="s">
        <v>340</v>
      </c>
    </row>
    <row r="1517" spans="1:1" x14ac:dyDescent="0.2">
      <c r="A1517" s="1" t="s">
        <v>341</v>
      </c>
    </row>
    <row r="1518" spans="1:1" x14ac:dyDescent="0.2">
      <c r="A1518" s="1" t="s">
        <v>342</v>
      </c>
    </row>
    <row r="1519" spans="1:1" x14ac:dyDescent="0.2">
      <c r="A1519" s="1" t="s">
        <v>343</v>
      </c>
    </row>
    <row r="1520" spans="1:1" x14ac:dyDescent="0.2">
      <c r="A1520" s="1" t="s">
        <v>344</v>
      </c>
    </row>
    <row r="1521" spans="1:1" x14ac:dyDescent="0.2">
      <c r="A1521" s="1" t="s">
        <v>343</v>
      </c>
    </row>
    <row r="1522" spans="1:1" x14ac:dyDescent="0.2">
      <c r="A1522" s="1" t="s">
        <v>344</v>
      </c>
    </row>
    <row r="1523" spans="1:1" x14ac:dyDescent="0.2">
      <c r="A1523" s="1" t="s">
        <v>343</v>
      </c>
    </row>
    <row r="1524" spans="1:1" x14ac:dyDescent="0.2">
      <c r="A1524" s="1" t="s">
        <v>344</v>
      </c>
    </row>
    <row r="1525" spans="1:1" x14ac:dyDescent="0.2">
      <c r="A1525" s="1" t="s">
        <v>345</v>
      </c>
    </row>
    <row r="1526" spans="1:1" x14ac:dyDescent="0.2">
      <c r="A1526" s="1" t="s">
        <v>346</v>
      </c>
    </row>
    <row r="1527" spans="1:1" x14ac:dyDescent="0.2">
      <c r="A1527" s="1" t="s">
        <v>337</v>
      </c>
    </row>
    <row r="1528" spans="1:1" x14ac:dyDescent="0.2">
      <c r="A1528" s="1" t="s">
        <v>338</v>
      </c>
    </row>
    <row r="1529" spans="1:1" x14ac:dyDescent="0.2">
      <c r="A1529" s="1" t="s">
        <v>339</v>
      </c>
    </row>
    <row r="1530" spans="1:1" x14ac:dyDescent="0.2">
      <c r="A1530" s="1" t="s">
        <v>340</v>
      </c>
    </row>
    <row r="1531" spans="1:1" x14ac:dyDescent="0.2">
      <c r="A1531" s="1" t="s">
        <v>341</v>
      </c>
    </row>
    <row r="1532" spans="1:1" x14ac:dyDescent="0.2">
      <c r="A1532" s="1" t="s">
        <v>342</v>
      </c>
    </row>
    <row r="1533" spans="1:1" x14ac:dyDescent="0.2">
      <c r="A1533" s="1" t="s">
        <v>343</v>
      </c>
    </row>
    <row r="1534" spans="1:1" x14ac:dyDescent="0.2">
      <c r="A1534" s="1" t="s">
        <v>344</v>
      </c>
    </row>
    <row r="1535" spans="1:1" x14ac:dyDescent="0.2">
      <c r="A1535" s="1" t="s">
        <v>343</v>
      </c>
    </row>
    <row r="1536" spans="1:1" x14ac:dyDescent="0.2">
      <c r="A1536" s="1" t="s">
        <v>344</v>
      </c>
    </row>
    <row r="1537" spans="1:1" x14ac:dyDescent="0.2">
      <c r="A1537" s="1" t="s">
        <v>343</v>
      </c>
    </row>
    <row r="1538" spans="1:1" x14ac:dyDescent="0.2">
      <c r="A1538" s="1" t="s">
        <v>344</v>
      </c>
    </row>
    <row r="1539" spans="1:1" x14ac:dyDescent="0.2">
      <c r="A1539" s="1" t="s">
        <v>345</v>
      </c>
    </row>
    <row r="1540" spans="1:1" x14ac:dyDescent="0.2">
      <c r="A1540" s="1" t="s">
        <v>346</v>
      </c>
    </row>
    <row r="1541" spans="1:1" x14ac:dyDescent="0.2">
      <c r="A1541" s="1" t="s">
        <v>337</v>
      </c>
    </row>
    <row r="1542" spans="1:1" x14ac:dyDescent="0.2">
      <c r="A1542" s="1" t="s">
        <v>338</v>
      </c>
    </row>
    <row r="1543" spans="1:1" x14ac:dyDescent="0.2">
      <c r="A1543" s="1" t="s">
        <v>339</v>
      </c>
    </row>
    <row r="1544" spans="1:1" x14ac:dyDescent="0.2">
      <c r="A1544" s="1" t="s">
        <v>340</v>
      </c>
    </row>
    <row r="1545" spans="1:1" x14ac:dyDescent="0.2">
      <c r="A1545" s="1" t="s">
        <v>341</v>
      </c>
    </row>
    <row r="1546" spans="1:1" x14ac:dyDescent="0.2">
      <c r="A1546" s="1" t="s">
        <v>342</v>
      </c>
    </row>
    <row r="1547" spans="1:1" x14ac:dyDescent="0.2">
      <c r="A1547" s="1" t="s">
        <v>343</v>
      </c>
    </row>
    <row r="1548" spans="1:1" x14ac:dyDescent="0.2">
      <c r="A1548" s="1" t="s">
        <v>344</v>
      </c>
    </row>
    <row r="1549" spans="1:1" x14ac:dyDescent="0.2">
      <c r="A1549" s="1" t="s">
        <v>343</v>
      </c>
    </row>
    <row r="1550" spans="1:1" x14ac:dyDescent="0.2">
      <c r="A1550" s="1" t="s">
        <v>344</v>
      </c>
    </row>
    <row r="1551" spans="1:1" x14ac:dyDescent="0.2">
      <c r="A1551" s="1" t="s">
        <v>343</v>
      </c>
    </row>
    <row r="1552" spans="1:1" x14ac:dyDescent="0.2">
      <c r="A1552" s="1" t="s">
        <v>344</v>
      </c>
    </row>
    <row r="1553" spans="1:1" x14ac:dyDescent="0.2">
      <c r="A1553" s="1" t="s">
        <v>345</v>
      </c>
    </row>
    <row r="1554" spans="1:1" x14ac:dyDescent="0.2">
      <c r="A1554" s="1" t="s">
        <v>346</v>
      </c>
    </row>
    <row r="1555" spans="1:1" x14ac:dyDescent="0.2">
      <c r="A1555" s="1" t="s">
        <v>337</v>
      </c>
    </row>
    <row r="1556" spans="1:1" x14ac:dyDescent="0.2">
      <c r="A1556" s="1" t="s">
        <v>338</v>
      </c>
    </row>
    <row r="1557" spans="1:1" x14ac:dyDescent="0.2">
      <c r="A1557" s="1" t="s">
        <v>339</v>
      </c>
    </row>
    <row r="1558" spans="1:1" x14ac:dyDescent="0.2">
      <c r="A1558" s="1" t="s">
        <v>340</v>
      </c>
    </row>
    <row r="1559" spans="1:1" x14ac:dyDescent="0.2">
      <c r="A1559" s="1" t="s">
        <v>341</v>
      </c>
    </row>
    <row r="1560" spans="1:1" x14ac:dyDescent="0.2">
      <c r="A1560" s="1" t="s">
        <v>342</v>
      </c>
    </row>
    <row r="1561" spans="1:1" x14ac:dyDescent="0.2">
      <c r="A1561" s="1" t="s">
        <v>343</v>
      </c>
    </row>
    <row r="1562" spans="1:1" x14ac:dyDescent="0.2">
      <c r="A1562" s="1" t="s">
        <v>344</v>
      </c>
    </row>
    <row r="1563" spans="1:1" x14ac:dyDescent="0.2">
      <c r="A1563" s="1" t="s">
        <v>343</v>
      </c>
    </row>
    <row r="1564" spans="1:1" x14ac:dyDescent="0.2">
      <c r="A1564" s="1" t="s">
        <v>344</v>
      </c>
    </row>
    <row r="1565" spans="1:1" x14ac:dyDescent="0.2">
      <c r="A1565" s="1" t="s">
        <v>343</v>
      </c>
    </row>
    <row r="1566" spans="1:1" x14ac:dyDescent="0.2">
      <c r="A1566" s="1" t="s">
        <v>344</v>
      </c>
    </row>
    <row r="1567" spans="1:1" x14ac:dyDescent="0.2">
      <c r="A1567" s="1" t="s">
        <v>345</v>
      </c>
    </row>
    <row r="1568" spans="1:1" x14ac:dyDescent="0.2">
      <c r="A1568" s="1" t="s">
        <v>346</v>
      </c>
    </row>
    <row r="1569" spans="1:1" x14ac:dyDescent="0.2">
      <c r="A1569" s="1" t="s">
        <v>337</v>
      </c>
    </row>
    <row r="1570" spans="1:1" x14ac:dyDescent="0.2">
      <c r="A1570" s="1" t="s">
        <v>338</v>
      </c>
    </row>
    <row r="1571" spans="1:1" x14ac:dyDescent="0.2">
      <c r="A1571" s="1" t="s">
        <v>339</v>
      </c>
    </row>
    <row r="1572" spans="1:1" x14ac:dyDescent="0.2">
      <c r="A1572" s="1" t="s">
        <v>340</v>
      </c>
    </row>
    <row r="1573" spans="1:1" x14ac:dyDescent="0.2">
      <c r="A1573" s="1" t="s">
        <v>341</v>
      </c>
    </row>
    <row r="1574" spans="1:1" x14ac:dyDescent="0.2">
      <c r="A1574" s="1" t="s">
        <v>342</v>
      </c>
    </row>
    <row r="1575" spans="1:1" x14ac:dyDescent="0.2">
      <c r="A1575" s="1" t="s">
        <v>343</v>
      </c>
    </row>
    <row r="1576" spans="1:1" x14ac:dyDescent="0.2">
      <c r="A1576" s="1" t="s">
        <v>344</v>
      </c>
    </row>
    <row r="1577" spans="1:1" x14ac:dyDescent="0.2">
      <c r="A1577" s="1" t="s">
        <v>343</v>
      </c>
    </row>
    <row r="1578" spans="1:1" x14ac:dyDescent="0.2">
      <c r="A1578" s="1" t="s">
        <v>344</v>
      </c>
    </row>
    <row r="1579" spans="1:1" x14ac:dyDescent="0.2">
      <c r="A1579" s="1" t="s">
        <v>343</v>
      </c>
    </row>
    <row r="1580" spans="1:1" x14ac:dyDescent="0.2">
      <c r="A1580" s="1" t="s">
        <v>344</v>
      </c>
    </row>
    <row r="1581" spans="1:1" x14ac:dyDescent="0.2">
      <c r="A1581" s="1" t="s">
        <v>345</v>
      </c>
    </row>
    <row r="1582" spans="1:1" x14ac:dyDescent="0.2">
      <c r="A1582" s="1" t="s">
        <v>346</v>
      </c>
    </row>
    <row r="1583" spans="1:1" x14ac:dyDescent="0.2">
      <c r="A1583" s="1" t="s">
        <v>337</v>
      </c>
    </row>
    <row r="1584" spans="1:1" x14ac:dyDescent="0.2">
      <c r="A1584" s="1" t="s">
        <v>338</v>
      </c>
    </row>
    <row r="1585" spans="1:1" x14ac:dyDescent="0.2">
      <c r="A1585" s="1" t="s">
        <v>339</v>
      </c>
    </row>
    <row r="1586" spans="1:1" x14ac:dyDescent="0.2">
      <c r="A1586" s="1" t="s">
        <v>340</v>
      </c>
    </row>
    <row r="1587" spans="1:1" x14ac:dyDescent="0.2">
      <c r="A1587" s="1" t="s">
        <v>341</v>
      </c>
    </row>
    <row r="1588" spans="1:1" x14ac:dyDescent="0.2">
      <c r="A1588" s="1" t="s">
        <v>342</v>
      </c>
    </row>
    <row r="1589" spans="1:1" x14ac:dyDescent="0.2">
      <c r="A1589" s="1" t="s">
        <v>343</v>
      </c>
    </row>
    <row r="1590" spans="1:1" x14ac:dyDescent="0.2">
      <c r="A1590" s="1" t="s">
        <v>344</v>
      </c>
    </row>
    <row r="1591" spans="1:1" x14ac:dyDescent="0.2">
      <c r="A1591" s="1" t="s">
        <v>343</v>
      </c>
    </row>
    <row r="1592" spans="1:1" x14ac:dyDescent="0.2">
      <c r="A1592" s="1" t="s">
        <v>344</v>
      </c>
    </row>
    <row r="1593" spans="1:1" x14ac:dyDescent="0.2">
      <c r="A1593" s="1" t="s">
        <v>343</v>
      </c>
    </row>
    <row r="1594" spans="1:1" x14ac:dyDescent="0.2">
      <c r="A1594" s="1" t="s">
        <v>344</v>
      </c>
    </row>
    <row r="1595" spans="1:1" x14ac:dyDescent="0.2">
      <c r="A1595" s="1" t="s">
        <v>347</v>
      </c>
    </row>
    <row r="1596" spans="1:1" x14ac:dyDescent="0.2">
      <c r="A1596" s="1" t="s">
        <v>348</v>
      </c>
    </row>
    <row r="1597" spans="1:1" x14ac:dyDescent="0.2">
      <c r="A1597" s="1" t="s">
        <v>349</v>
      </c>
    </row>
    <row r="1598" spans="1:1" x14ac:dyDescent="0.2">
      <c r="A1598" s="1" t="s">
        <v>350</v>
      </c>
    </row>
    <row r="1599" spans="1:1" x14ac:dyDescent="0.2">
      <c r="A1599" s="1" t="s">
        <v>351</v>
      </c>
    </row>
    <row r="1600" spans="1:1" x14ac:dyDescent="0.2">
      <c r="A1600" s="1" t="s">
        <v>352</v>
      </c>
    </row>
    <row r="1601" spans="1:1" x14ac:dyDescent="0.2">
      <c r="A1601" s="1" t="s">
        <v>353</v>
      </c>
    </row>
    <row r="1602" spans="1:1" x14ac:dyDescent="0.2">
      <c r="A1602" s="1" t="s">
        <v>354</v>
      </c>
    </row>
    <row r="1603" spans="1:1" x14ac:dyDescent="0.2">
      <c r="A1603" s="1" t="s">
        <v>355</v>
      </c>
    </row>
    <row r="1604" spans="1:1" x14ac:dyDescent="0.2">
      <c r="A1604" s="1" t="s">
        <v>356</v>
      </c>
    </row>
    <row r="1605" spans="1:1" x14ac:dyDescent="0.2">
      <c r="A1605" s="1" t="s">
        <v>355</v>
      </c>
    </row>
    <row r="1606" spans="1:1" x14ac:dyDescent="0.2">
      <c r="A1606" s="1" t="s">
        <v>356</v>
      </c>
    </row>
    <row r="1607" spans="1:1" x14ac:dyDescent="0.2">
      <c r="A1607" s="1" t="s">
        <v>355</v>
      </c>
    </row>
    <row r="1608" spans="1:1" x14ac:dyDescent="0.2">
      <c r="A1608" s="1" t="s">
        <v>356</v>
      </c>
    </row>
    <row r="1609" spans="1:1" x14ac:dyDescent="0.2">
      <c r="A1609" s="1" t="s">
        <v>347</v>
      </c>
    </row>
    <row r="1610" spans="1:1" x14ac:dyDescent="0.2">
      <c r="A1610" s="1" t="s">
        <v>348</v>
      </c>
    </row>
    <row r="1611" spans="1:1" x14ac:dyDescent="0.2">
      <c r="A1611" s="1" t="s">
        <v>349</v>
      </c>
    </row>
    <row r="1612" spans="1:1" x14ac:dyDescent="0.2">
      <c r="A1612" s="1" t="s">
        <v>350</v>
      </c>
    </row>
    <row r="1613" spans="1:1" x14ac:dyDescent="0.2">
      <c r="A1613" s="1" t="s">
        <v>351</v>
      </c>
    </row>
    <row r="1614" spans="1:1" x14ac:dyDescent="0.2">
      <c r="A1614" s="1" t="s">
        <v>352</v>
      </c>
    </row>
    <row r="1615" spans="1:1" x14ac:dyDescent="0.2">
      <c r="A1615" s="1" t="s">
        <v>353</v>
      </c>
    </row>
    <row r="1616" spans="1:1" x14ac:dyDescent="0.2">
      <c r="A1616" s="1" t="s">
        <v>354</v>
      </c>
    </row>
    <row r="1617" spans="1:1" x14ac:dyDescent="0.2">
      <c r="A1617" s="1" t="s">
        <v>355</v>
      </c>
    </row>
    <row r="1618" spans="1:1" x14ac:dyDescent="0.2">
      <c r="A1618" s="1" t="s">
        <v>356</v>
      </c>
    </row>
    <row r="1619" spans="1:1" x14ac:dyDescent="0.2">
      <c r="A1619" s="1" t="s">
        <v>355</v>
      </c>
    </row>
    <row r="1620" spans="1:1" x14ac:dyDescent="0.2">
      <c r="A1620" s="1" t="s">
        <v>356</v>
      </c>
    </row>
    <row r="1621" spans="1:1" x14ac:dyDescent="0.2">
      <c r="A1621" s="1" t="s">
        <v>355</v>
      </c>
    </row>
    <row r="1622" spans="1:1" x14ac:dyDescent="0.2">
      <c r="A1622" s="1" t="s">
        <v>356</v>
      </c>
    </row>
    <row r="1623" spans="1:1" x14ac:dyDescent="0.2">
      <c r="A1623" s="1" t="s">
        <v>347</v>
      </c>
    </row>
    <row r="1624" spans="1:1" x14ac:dyDescent="0.2">
      <c r="A1624" s="1" t="s">
        <v>348</v>
      </c>
    </row>
    <row r="1625" spans="1:1" x14ac:dyDescent="0.2">
      <c r="A1625" s="1" t="s">
        <v>349</v>
      </c>
    </row>
    <row r="1626" spans="1:1" x14ac:dyDescent="0.2">
      <c r="A1626" s="1" t="s">
        <v>350</v>
      </c>
    </row>
    <row r="1627" spans="1:1" x14ac:dyDescent="0.2">
      <c r="A1627" s="1" t="s">
        <v>351</v>
      </c>
    </row>
    <row r="1628" spans="1:1" x14ac:dyDescent="0.2">
      <c r="A1628" s="1" t="s">
        <v>352</v>
      </c>
    </row>
    <row r="1629" spans="1:1" x14ac:dyDescent="0.2">
      <c r="A1629" s="1" t="s">
        <v>353</v>
      </c>
    </row>
    <row r="1630" spans="1:1" x14ac:dyDescent="0.2">
      <c r="A1630" s="1" t="s">
        <v>357</v>
      </c>
    </row>
    <row r="1631" spans="1:1" x14ac:dyDescent="0.2">
      <c r="A1631" s="1" t="s">
        <v>358</v>
      </c>
    </row>
    <row r="1632" spans="1:1" x14ac:dyDescent="0.2">
      <c r="A1632" s="1" t="s">
        <v>359</v>
      </c>
    </row>
    <row r="1633" spans="1:1" x14ac:dyDescent="0.2">
      <c r="A1633" s="1" t="s">
        <v>358</v>
      </c>
    </row>
    <row r="1634" spans="1:1" x14ac:dyDescent="0.2">
      <c r="A1634" s="1" t="s">
        <v>359</v>
      </c>
    </row>
    <row r="1635" spans="1:1" x14ac:dyDescent="0.2">
      <c r="A1635" s="1" t="s">
        <v>358</v>
      </c>
    </row>
    <row r="1636" spans="1:1" x14ac:dyDescent="0.2">
      <c r="A1636" s="1" t="s">
        <v>359</v>
      </c>
    </row>
    <row r="1637" spans="1:1" x14ac:dyDescent="0.2">
      <c r="A1637" s="1" t="s">
        <v>360</v>
      </c>
    </row>
    <row r="1638" spans="1:1" x14ac:dyDescent="0.2">
      <c r="A1638" s="1" t="s">
        <v>361</v>
      </c>
    </row>
    <row r="1639" spans="1:1" x14ac:dyDescent="0.2">
      <c r="A1639" s="1" t="s">
        <v>362</v>
      </c>
    </row>
    <row r="1640" spans="1:1" x14ac:dyDescent="0.2">
      <c r="A1640" s="1" t="s">
        <v>363</v>
      </c>
    </row>
    <row r="1641" spans="1:1" x14ac:dyDescent="0.2">
      <c r="A1641" s="1" t="s">
        <v>364</v>
      </c>
    </row>
    <row r="1642" spans="1:1" x14ac:dyDescent="0.2">
      <c r="A1642" s="1" t="s">
        <v>365</v>
      </c>
    </row>
    <row r="1643" spans="1:1" x14ac:dyDescent="0.2">
      <c r="A1643" s="1" t="s">
        <v>366</v>
      </c>
    </row>
    <row r="1644" spans="1:1" x14ac:dyDescent="0.2">
      <c r="A1644" s="1" t="s">
        <v>357</v>
      </c>
    </row>
    <row r="1645" spans="1:1" x14ac:dyDescent="0.2">
      <c r="A1645" s="1" t="s">
        <v>358</v>
      </c>
    </row>
    <row r="1646" spans="1:1" x14ac:dyDescent="0.2">
      <c r="A1646" s="1" t="s">
        <v>359</v>
      </c>
    </row>
    <row r="1647" spans="1:1" x14ac:dyDescent="0.2">
      <c r="A1647" s="1" t="s">
        <v>367</v>
      </c>
    </row>
    <row r="1648" spans="1:1" x14ac:dyDescent="0.2">
      <c r="A1648" s="1" t="s">
        <v>368</v>
      </c>
    </row>
    <row r="1649" spans="1:1" x14ac:dyDescent="0.2">
      <c r="A1649" s="1" t="s">
        <v>367</v>
      </c>
    </row>
    <row r="1650" spans="1:1" x14ac:dyDescent="0.2">
      <c r="A1650" s="1" t="s">
        <v>368</v>
      </c>
    </row>
    <row r="1651" spans="1:1" x14ac:dyDescent="0.2">
      <c r="A1651" s="1" t="s">
        <v>369</v>
      </c>
    </row>
    <row r="1652" spans="1:1" x14ac:dyDescent="0.2">
      <c r="A1652" s="1" t="s">
        <v>370</v>
      </c>
    </row>
    <row r="1653" spans="1:1" x14ac:dyDescent="0.2">
      <c r="A1653" s="1" t="s">
        <v>371</v>
      </c>
    </row>
    <row r="1654" spans="1:1" x14ac:dyDescent="0.2">
      <c r="A1654" s="1" t="s">
        <v>372</v>
      </c>
    </row>
    <row r="1655" spans="1:1" x14ac:dyDescent="0.2">
      <c r="A1655" s="1" t="s">
        <v>373</v>
      </c>
    </row>
    <row r="1656" spans="1:1" x14ac:dyDescent="0.2">
      <c r="A1656" s="1" t="s">
        <v>374</v>
      </c>
    </row>
    <row r="1657" spans="1:1" x14ac:dyDescent="0.2">
      <c r="A1657" s="1" t="s">
        <v>375</v>
      </c>
    </row>
    <row r="1658" spans="1:1" x14ac:dyDescent="0.2">
      <c r="A1658" s="1" t="s">
        <v>376</v>
      </c>
    </row>
    <row r="1659" spans="1:1" x14ac:dyDescent="0.2">
      <c r="A1659" s="1" t="s">
        <v>367</v>
      </c>
    </row>
    <row r="1660" spans="1:1" x14ac:dyDescent="0.2">
      <c r="A1660" s="1" t="s">
        <v>368</v>
      </c>
    </row>
    <row r="1661" spans="1:1" x14ac:dyDescent="0.2">
      <c r="A1661" s="1" t="s">
        <v>367</v>
      </c>
    </row>
    <row r="1662" spans="1:1" x14ac:dyDescent="0.2">
      <c r="A1662" s="1" t="s">
        <v>368</v>
      </c>
    </row>
    <row r="1663" spans="1:1" x14ac:dyDescent="0.2">
      <c r="A1663" s="1" t="s">
        <v>367</v>
      </c>
    </row>
    <row r="1664" spans="1:1" x14ac:dyDescent="0.2">
      <c r="A1664" s="1" t="s">
        <v>368</v>
      </c>
    </row>
    <row r="1665" spans="1:1" x14ac:dyDescent="0.2">
      <c r="A1665" s="1" t="s">
        <v>369</v>
      </c>
    </row>
    <row r="1666" spans="1:1" x14ac:dyDescent="0.2">
      <c r="A1666" s="1" t="s">
        <v>370</v>
      </c>
    </row>
    <row r="1667" spans="1:1" x14ac:dyDescent="0.2">
      <c r="A1667" s="1" t="s">
        <v>371</v>
      </c>
    </row>
    <row r="1668" spans="1:1" x14ac:dyDescent="0.2">
      <c r="A1668" s="1" t="s">
        <v>372</v>
      </c>
    </row>
    <row r="1669" spans="1:1" x14ac:dyDescent="0.2">
      <c r="A1669" s="1" t="s">
        <v>373</v>
      </c>
    </row>
    <row r="1670" spans="1:1" x14ac:dyDescent="0.2">
      <c r="A1670" s="1" t="s">
        <v>374</v>
      </c>
    </row>
    <row r="1671" spans="1:1" x14ac:dyDescent="0.2">
      <c r="A1671" s="1" t="s">
        <v>375</v>
      </c>
    </row>
    <row r="1672" spans="1:1" x14ac:dyDescent="0.2">
      <c r="A1672" s="1" t="s">
        <v>376</v>
      </c>
    </row>
    <row r="1673" spans="1:1" x14ac:dyDescent="0.2">
      <c r="A1673" s="1" t="s">
        <v>367</v>
      </c>
    </row>
    <row r="1674" spans="1:1" x14ac:dyDescent="0.2">
      <c r="A1674" s="1" t="s">
        <v>368</v>
      </c>
    </row>
    <row r="1675" spans="1:1" x14ac:dyDescent="0.2">
      <c r="A1675" s="1" t="s">
        <v>367</v>
      </c>
    </row>
    <row r="1676" spans="1:1" x14ac:dyDescent="0.2">
      <c r="A1676" s="1" t="s">
        <v>368</v>
      </c>
    </row>
    <row r="1677" spans="1:1" x14ac:dyDescent="0.2">
      <c r="A1677" s="1" t="s">
        <v>367</v>
      </c>
    </row>
    <row r="1678" spans="1:1" x14ac:dyDescent="0.2">
      <c r="A1678" s="1" t="s">
        <v>368</v>
      </c>
    </row>
    <row r="1679" spans="1:1" x14ac:dyDescent="0.2">
      <c r="A1679" s="1" t="s">
        <v>369</v>
      </c>
    </row>
    <row r="1680" spans="1:1" x14ac:dyDescent="0.2">
      <c r="A1680" s="1" t="s">
        <v>370</v>
      </c>
    </row>
    <row r="1681" spans="1:1" x14ac:dyDescent="0.2">
      <c r="A1681" s="1" t="s">
        <v>371</v>
      </c>
    </row>
    <row r="1682" spans="1:1" x14ac:dyDescent="0.2">
      <c r="A1682" s="1" t="s">
        <v>372</v>
      </c>
    </row>
    <row r="1683" spans="1:1" x14ac:dyDescent="0.2">
      <c r="A1683" s="1" t="s">
        <v>373</v>
      </c>
    </row>
    <row r="1684" spans="1:1" x14ac:dyDescent="0.2">
      <c r="A1684" s="1" t="s">
        <v>374</v>
      </c>
    </row>
    <row r="1685" spans="1:1" x14ac:dyDescent="0.2">
      <c r="A1685" s="1" t="s">
        <v>375</v>
      </c>
    </row>
    <row r="1686" spans="1:1" x14ac:dyDescent="0.2">
      <c r="A1686" s="1" t="s">
        <v>376</v>
      </c>
    </row>
    <row r="1687" spans="1:1" x14ac:dyDescent="0.2">
      <c r="A1687" s="1" t="s">
        <v>367</v>
      </c>
    </row>
    <row r="1688" spans="1:1" x14ac:dyDescent="0.2">
      <c r="A1688" s="1" t="s">
        <v>368</v>
      </c>
    </row>
    <row r="1689" spans="1:1" x14ac:dyDescent="0.2">
      <c r="A1689" s="1" t="s">
        <v>367</v>
      </c>
    </row>
    <row r="1690" spans="1:1" x14ac:dyDescent="0.2">
      <c r="A1690" s="1" t="s">
        <v>368</v>
      </c>
    </row>
    <row r="1691" spans="1:1" x14ac:dyDescent="0.2">
      <c r="A1691" s="1" t="s">
        <v>367</v>
      </c>
    </row>
    <row r="1692" spans="1:1" x14ac:dyDescent="0.2">
      <c r="A1692" s="1" t="s">
        <v>368</v>
      </c>
    </row>
    <row r="1693" spans="1:1" x14ac:dyDescent="0.2">
      <c r="A1693" s="1" t="s">
        <v>369</v>
      </c>
    </row>
    <row r="1694" spans="1:1" x14ac:dyDescent="0.2">
      <c r="A1694" s="1" t="s">
        <v>370</v>
      </c>
    </row>
    <row r="1695" spans="1:1" x14ac:dyDescent="0.2">
      <c r="A1695" s="1" t="s">
        <v>371</v>
      </c>
    </row>
    <row r="1696" spans="1:1" x14ac:dyDescent="0.2">
      <c r="A1696" s="1" t="s">
        <v>372</v>
      </c>
    </row>
    <row r="1697" spans="1:1" x14ac:dyDescent="0.2">
      <c r="A1697" s="1" t="s">
        <v>373</v>
      </c>
    </row>
    <row r="1698" spans="1:1" x14ac:dyDescent="0.2">
      <c r="A1698" s="1" t="s">
        <v>374</v>
      </c>
    </row>
    <row r="1699" spans="1:1" x14ac:dyDescent="0.2">
      <c r="A1699" s="1" t="s">
        <v>375</v>
      </c>
    </row>
    <row r="1700" spans="1:1" x14ac:dyDescent="0.2">
      <c r="A1700" s="1" t="s">
        <v>376</v>
      </c>
    </row>
    <row r="1701" spans="1:1" x14ac:dyDescent="0.2">
      <c r="A1701" s="1" t="s">
        <v>367</v>
      </c>
    </row>
    <row r="1702" spans="1:1" x14ac:dyDescent="0.2">
      <c r="A1702" s="1" t="s">
        <v>368</v>
      </c>
    </row>
    <row r="1703" spans="1:1" x14ac:dyDescent="0.2">
      <c r="A1703" s="1" t="s">
        <v>367</v>
      </c>
    </row>
    <row r="1704" spans="1:1" x14ac:dyDescent="0.2">
      <c r="A1704" s="1" t="s">
        <v>368</v>
      </c>
    </row>
    <row r="1705" spans="1:1" x14ac:dyDescent="0.2">
      <c r="A1705" s="1" t="s">
        <v>367</v>
      </c>
    </row>
    <row r="1706" spans="1:1" x14ac:dyDescent="0.2">
      <c r="A1706" s="1" t="s">
        <v>368</v>
      </c>
    </row>
    <row r="1707" spans="1:1" x14ac:dyDescent="0.2">
      <c r="A1707" s="1" t="s">
        <v>369</v>
      </c>
    </row>
    <row r="1708" spans="1:1" x14ac:dyDescent="0.2">
      <c r="A1708" s="1" t="s">
        <v>370</v>
      </c>
    </row>
    <row r="1709" spans="1:1" x14ac:dyDescent="0.2">
      <c r="A1709" s="1" t="s">
        <v>371</v>
      </c>
    </row>
    <row r="1710" spans="1:1" x14ac:dyDescent="0.2">
      <c r="A1710" s="1" t="s">
        <v>372</v>
      </c>
    </row>
    <row r="1711" spans="1:1" x14ac:dyDescent="0.2">
      <c r="A1711" s="1" t="s">
        <v>373</v>
      </c>
    </row>
    <row r="1712" spans="1:1" x14ac:dyDescent="0.2">
      <c r="A1712" s="1" t="s">
        <v>374</v>
      </c>
    </row>
    <row r="1713" spans="1:1" x14ac:dyDescent="0.2">
      <c r="A1713" s="1" t="s">
        <v>375</v>
      </c>
    </row>
    <row r="1714" spans="1:1" x14ac:dyDescent="0.2">
      <c r="A1714" s="1" t="s">
        <v>376</v>
      </c>
    </row>
    <row r="1715" spans="1:1" x14ac:dyDescent="0.2">
      <c r="A1715" s="1" t="s">
        <v>367</v>
      </c>
    </row>
    <row r="1716" spans="1:1" x14ac:dyDescent="0.2">
      <c r="A1716" s="1" t="s">
        <v>368</v>
      </c>
    </row>
    <row r="1717" spans="1:1" x14ac:dyDescent="0.2">
      <c r="A1717" s="1" t="s">
        <v>367</v>
      </c>
    </row>
    <row r="1718" spans="1:1" x14ac:dyDescent="0.2">
      <c r="A1718" s="1" t="s">
        <v>368</v>
      </c>
    </row>
    <row r="1719" spans="1:1" x14ac:dyDescent="0.2">
      <c r="A1719" s="1" t="s">
        <v>367</v>
      </c>
    </row>
    <row r="1720" spans="1:1" x14ac:dyDescent="0.2">
      <c r="A1720" s="1" t="s">
        <v>368</v>
      </c>
    </row>
    <row r="1721" spans="1:1" x14ac:dyDescent="0.2">
      <c r="A1721" s="1" t="s">
        <v>369</v>
      </c>
    </row>
    <row r="1722" spans="1:1" x14ac:dyDescent="0.2">
      <c r="A1722" s="1" t="s">
        <v>370</v>
      </c>
    </row>
    <row r="1723" spans="1:1" x14ac:dyDescent="0.2">
      <c r="A1723" s="1" t="s">
        <v>371</v>
      </c>
    </row>
    <row r="1724" spans="1:1" x14ac:dyDescent="0.2">
      <c r="A1724" s="1" t="s">
        <v>372</v>
      </c>
    </row>
    <row r="1725" spans="1:1" x14ac:dyDescent="0.2">
      <c r="A1725" s="1" t="s">
        <v>373</v>
      </c>
    </row>
    <row r="1726" spans="1:1" x14ac:dyDescent="0.2">
      <c r="A1726" s="1" t="s">
        <v>374</v>
      </c>
    </row>
    <row r="1727" spans="1:1" x14ac:dyDescent="0.2">
      <c r="A1727" s="1" t="s">
        <v>375</v>
      </c>
    </row>
    <row r="1728" spans="1:1" x14ac:dyDescent="0.2">
      <c r="A1728" s="1" t="s">
        <v>376</v>
      </c>
    </row>
    <row r="1729" spans="1:1" x14ac:dyDescent="0.2">
      <c r="A1729" s="1" t="s">
        <v>367</v>
      </c>
    </row>
    <row r="1730" spans="1:1" x14ac:dyDescent="0.2">
      <c r="A1730" s="1" t="s">
        <v>368</v>
      </c>
    </row>
    <row r="1731" spans="1:1" x14ac:dyDescent="0.2">
      <c r="A1731" s="1" t="s">
        <v>367</v>
      </c>
    </row>
    <row r="1732" spans="1:1" x14ac:dyDescent="0.2">
      <c r="A1732" s="1" t="s">
        <v>368</v>
      </c>
    </row>
    <row r="1733" spans="1:1" x14ac:dyDescent="0.2">
      <c r="A1733" s="1" t="s">
        <v>367</v>
      </c>
    </row>
    <row r="1734" spans="1:1" x14ac:dyDescent="0.2">
      <c r="A1734" s="1" t="s">
        <v>368</v>
      </c>
    </row>
    <row r="1735" spans="1:1" x14ac:dyDescent="0.2">
      <c r="A1735" s="1" t="s">
        <v>369</v>
      </c>
    </row>
    <row r="1736" spans="1:1" x14ac:dyDescent="0.2">
      <c r="A1736" s="1" t="s">
        <v>370</v>
      </c>
    </row>
    <row r="1737" spans="1:1" x14ac:dyDescent="0.2">
      <c r="A1737" s="1" t="s">
        <v>371</v>
      </c>
    </row>
    <row r="1738" spans="1:1" x14ac:dyDescent="0.2">
      <c r="A1738" s="1" t="s">
        <v>372</v>
      </c>
    </row>
    <row r="1739" spans="1:1" x14ac:dyDescent="0.2">
      <c r="A1739" s="1" t="s">
        <v>373</v>
      </c>
    </row>
    <row r="1740" spans="1:1" x14ac:dyDescent="0.2">
      <c r="A1740" s="1" t="s">
        <v>374</v>
      </c>
    </row>
    <row r="1741" spans="1:1" x14ac:dyDescent="0.2">
      <c r="A1741" s="1" t="s">
        <v>375</v>
      </c>
    </row>
    <row r="1742" spans="1:1" x14ac:dyDescent="0.2">
      <c r="A1742" s="1" t="s">
        <v>376</v>
      </c>
    </row>
    <row r="1743" spans="1:1" x14ac:dyDescent="0.2">
      <c r="A1743" s="1" t="s">
        <v>367</v>
      </c>
    </row>
    <row r="1744" spans="1:1" x14ac:dyDescent="0.2">
      <c r="A1744" s="1" t="s">
        <v>368</v>
      </c>
    </row>
    <row r="1745" spans="1:1" x14ac:dyDescent="0.2">
      <c r="A1745" s="1" t="s">
        <v>367</v>
      </c>
    </row>
    <row r="1746" spans="1:1" x14ac:dyDescent="0.2">
      <c r="A1746" s="1" t="s">
        <v>368</v>
      </c>
    </row>
    <row r="1747" spans="1:1" x14ac:dyDescent="0.2">
      <c r="A1747" s="1" t="s">
        <v>367</v>
      </c>
    </row>
    <row r="1748" spans="1:1" x14ac:dyDescent="0.2">
      <c r="A1748" s="1" t="s">
        <v>368</v>
      </c>
    </row>
    <row r="1749" spans="1:1" x14ac:dyDescent="0.2">
      <c r="A1749" s="1" t="s">
        <v>369</v>
      </c>
    </row>
    <row r="1750" spans="1:1" x14ac:dyDescent="0.2">
      <c r="A1750" s="1" t="s">
        <v>370</v>
      </c>
    </row>
    <row r="1751" spans="1:1" x14ac:dyDescent="0.2">
      <c r="A1751" s="1" t="s">
        <v>371</v>
      </c>
    </row>
    <row r="1752" spans="1:1" x14ac:dyDescent="0.2">
      <c r="A1752" s="1" t="s">
        <v>372</v>
      </c>
    </row>
    <row r="1753" spans="1:1" x14ac:dyDescent="0.2">
      <c r="A1753" s="1" t="s">
        <v>373</v>
      </c>
    </row>
    <row r="1754" spans="1:1" x14ac:dyDescent="0.2">
      <c r="A1754" s="1" t="s">
        <v>374</v>
      </c>
    </row>
    <row r="1755" spans="1:1" x14ac:dyDescent="0.2">
      <c r="A1755" s="1" t="s">
        <v>375</v>
      </c>
    </row>
    <row r="1756" spans="1:1" x14ac:dyDescent="0.2">
      <c r="A1756" s="1" t="s">
        <v>376</v>
      </c>
    </row>
    <row r="1757" spans="1:1" x14ac:dyDescent="0.2">
      <c r="A1757" s="1" t="s">
        <v>367</v>
      </c>
    </row>
    <row r="1758" spans="1:1" x14ac:dyDescent="0.2">
      <c r="A1758" s="1" t="s">
        <v>368</v>
      </c>
    </row>
    <row r="1759" spans="1:1" x14ac:dyDescent="0.2">
      <c r="A1759" s="1" t="s">
        <v>377</v>
      </c>
    </row>
    <row r="1760" spans="1:1" x14ac:dyDescent="0.2">
      <c r="A1760" s="1" t="s">
        <v>378</v>
      </c>
    </row>
    <row r="1761" spans="1:1" x14ac:dyDescent="0.2">
      <c r="A1761" s="1" t="s">
        <v>379</v>
      </c>
    </row>
    <row r="1762" spans="1:1" x14ac:dyDescent="0.2">
      <c r="A1762" s="1" t="s">
        <v>380</v>
      </c>
    </row>
    <row r="1763" spans="1:1" x14ac:dyDescent="0.2">
      <c r="A1763" s="1" t="s">
        <v>381</v>
      </c>
    </row>
    <row r="1764" spans="1:1" x14ac:dyDescent="0.2">
      <c r="A1764" s="1" t="s">
        <v>379</v>
      </c>
    </row>
    <row r="1765" spans="1:1" x14ac:dyDescent="0.2">
      <c r="A1765" s="1" t="s">
        <v>382</v>
      </c>
    </row>
    <row r="1766" spans="1:1" x14ac:dyDescent="0.2">
      <c r="A1766" s="1" t="s">
        <v>381</v>
      </c>
    </row>
    <row r="1767" spans="1:1" x14ac:dyDescent="0.2">
      <c r="A1767" s="1" t="s">
        <v>379</v>
      </c>
    </row>
    <row r="1768" spans="1:1" x14ac:dyDescent="0.2">
      <c r="A1768" s="1" t="s">
        <v>383</v>
      </c>
    </row>
    <row r="1769" spans="1:1" x14ac:dyDescent="0.2">
      <c r="A1769" s="1" t="s">
        <v>384</v>
      </c>
    </row>
    <row r="1770" spans="1:1" x14ac:dyDescent="0.2">
      <c r="A1770" s="1" t="s">
        <v>385</v>
      </c>
    </row>
    <row r="1771" spans="1:1" x14ac:dyDescent="0.2">
      <c r="A1771" s="1" t="s">
        <v>386</v>
      </c>
    </row>
    <row r="1772" spans="1:1" x14ac:dyDescent="0.2">
      <c r="A1772" s="1" t="s">
        <v>387</v>
      </c>
    </row>
    <row r="1773" spans="1:1" x14ac:dyDescent="0.2">
      <c r="A1773" s="1" t="s">
        <v>388</v>
      </c>
    </row>
    <row r="1774" spans="1:1" x14ac:dyDescent="0.2">
      <c r="A1774" s="1" t="s">
        <v>389</v>
      </c>
    </row>
    <row r="1775" spans="1:1" x14ac:dyDescent="0.2">
      <c r="A1775" s="1" t="s">
        <v>390</v>
      </c>
    </row>
    <row r="1776" spans="1:1" x14ac:dyDescent="0.2">
      <c r="A1776" s="1" t="s">
        <v>391</v>
      </c>
    </row>
    <row r="1777" spans="1:1" x14ac:dyDescent="0.2">
      <c r="A1777" s="1" t="s">
        <v>392</v>
      </c>
    </row>
    <row r="1778" spans="1:1" x14ac:dyDescent="0.2">
      <c r="A1778" s="1" t="s">
        <v>393</v>
      </c>
    </row>
    <row r="1779" spans="1:1" x14ac:dyDescent="0.2">
      <c r="A1779" s="1" t="s">
        <v>394</v>
      </c>
    </row>
    <row r="1780" spans="1:1" x14ac:dyDescent="0.2">
      <c r="A1780" s="1" t="s">
        <v>395</v>
      </c>
    </row>
    <row r="1781" spans="1:1" x14ac:dyDescent="0.2">
      <c r="A1781" s="1" t="s">
        <v>396</v>
      </c>
    </row>
    <row r="1782" spans="1:1" x14ac:dyDescent="0.2">
      <c r="A1782" s="1" t="s">
        <v>397</v>
      </c>
    </row>
    <row r="1783" spans="1:1" x14ac:dyDescent="0.2">
      <c r="A1783" s="1" t="s">
        <v>398</v>
      </c>
    </row>
    <row r="1784" spans="1:1" x14ac:dyDescent="0.2">
      <c r="A1784" s="1" t="s">
        <v>399</v>
      </c>
    </row>
    <row r="1785" spans="1:1" x14ac:dyDescent="0.2">
      <c r="A1785" s="1" t="s">
        <v>400</v>
      </c>
    </row>
    <row r="1786" spans="1:1" x14ac:dyDescent="0.2">
      <c r="A1786" s="1" t="s">
        <v>389</v>
      </c>
    </row>
    <row r="1787" spans="1:1" x14ac:dyDescent="0.2">
      <c r="A1787" s="1" t="s">
        <v>390</v>
      </c>
    </row>
    <row r="1788" spans="1:1" x14ac:dyDescent="0.2">
      <c r="A1788" s="1" t="s">
        <v>391</v>
      </c>
    </row>
    <row r="1789" spans="1:1" x14ac:dyDescent="0.2">
      <c r="A1789" s="1" t="s">
        <v>392</v>
      </c>
    </row>
    <row r="1790" spans="1:1" x14ac:dyDescent="0.2">
      <c r="A1790" s="1" t="s">
        <v>393</v>
      </c>
    </row>
    <row r="1791" spans="1:1" x14ac:dyDescent="0.2">
      <c r="A1791" s="1" t="s">
        <v>394</v>
      </c>
    </row>
    <row r="1792" spans="1:1" x14ac:dyDescent="0.2">
      <c r="A1792" s="1" t="s">
        <v>401</v>
      </c>
    </row>
    <row r="1793" spans="1:1" x14ac:dyDescent="0.2">
      <c r="A1793" s="1" t="s">
        <v>402</v>
      </c>
    </row>
    <row r="1794" spans="1:1" x14ac:dyDescent="0.2">
      <c r="A1794" s="1" t="s">
        <v>403</v>
      </c>
    </row>
    <row r="1795" spans="1:1" x14ac:dyDescent="0.2">
      <c r="A1795" s="1" t="s">
        <v>404</v>
      </c>
    </row>
    <row r="1796" spans="1:1" x14ac:dyDescent="0.2">
      <c r="A1796" s="1" t="s">
        <v>402</v>
      </c>
    </row>
    <row r="1797" spans="1:1" x14ac:dyDescent="0.2">
      <c r="A1797" s="1" t="s">
        <v>405</v>
      </c>
    </row>
    <row r="1798" spans="1:1" x14ac:dyDescent="0.2">
      <c r="A1798" s="1" t="s">
        <v>404</v>
      </c>
    </row>
    <row r="1799" spans="1:1" x14ac:dyDescent="0.2">
      <c r="A1799" s="1" t="s">
        <v>406</v>
      </c>
    </row>
    <row r="1800" spans="1:1" x14ac:dyDescent="0.2">
      <c r="A1800" s="1" t="s">
        <v>407</v>
      </c>
    </row>
    <row r="1801" spans="1:1" x14ac:dyDescent="0.2">
      <c r="A1801" s="1" t="s">
        <v>408</v>
      </c>
    </row>
    <row r="1802" spans="1:1" x14ac:dyDescent="0.2">
      <c r="A1802" s="1" t="s">
        <v>409</v>
      </c>
    </row>
    <row r="1803" spans="1:1" x14ac:dyDescent="0.2">
      <c r="A1803" s="1" t="s">
        <v>410</v>
      </c>
    </row>
    <row r="1804" spans="1:1" x14ac:dyDescent="0.2">
      <c r="A1804" s="1" t="s">
        <v>411</v>
      </c>
    </row>
    <row r="1805" spans="1:1" x14ac:dyDescent="0.2">
      <c r="A1805" s="1" t="s">
        <v>412</v>
      </c>
    </row>
    <row r="1806" spans="1:1" x14ac:dyDescent="0.2">
      <c r="A1806" s="1" t="s">
        <v>413</v>
      </c>
    </row>
    <row r="1807" spans="1:1" x14ac:dyDescent="0.2">
      <c r="A1807" s="1" t="s">
        <v>414</v>
      </c>
    </row>
    <row r="1808" spans="1:1" x14ac:dyDescent="0.2">
      <c r="A1808" s="1" t="s">
        <v>415</v>
      </c>
    </row>
    <row r="1809" spans="1:1" x14ac:dyDescent="0.2">
      <c r="A1809" s="1" t="s">
        <v>416</v>
      </c>
    </row>
    <row r="1810" spans="1:1" x14ac:dyDescent="0.2">
      <c r="A1810" s="1" t="s">
        <v>417</v>
      </c>
    </row>
    <row r="1811" spans="1:1" x14ac:dyDescent="0.2">
      <c r="A1811" s="1" t="s">
        <v>406</v>
      </c>
    </row>
    <row r="1812" spans="1:1" x14ac:dyDescent="0.2">
      <c r="A1812" s="1" t="s">
        <v>418</v>
      </c>
    </row>
    <row r="1813" spans="1:1" x14ac:dyDescent="0.2">
      <c r="A1813" s="1" t="s">
        <v>408</v>
      </c>
    </row>
    <row r="1814" spans="1:1" x14ac:dyDescent="0.2">
      <c r="A1814" s="1" t="s">
        <v>409</v>
      </c>
    </row>
    <row r="1815" spans="1:1" x14ac:dyDescent="0.2">
      <c r="A1815" s="1" t="s">
        <v>410</v>
      </c>
    </row>
    <row r="1816" spans="1:1" x14ac:dyDescent="0.2">
      <c r="A1816" s="1" t="s">
        <v>411</v>
      </c>
    </row>
    <row r="1817" spans="1:1" x14ac:dyDescent="0.2">
      <c r="A1817" s="1" t="s">
        <v>419</v>
      </c>
    </row>
    <row r="1818" spans="1:1" x14ac:dyDescent="0.2">
      <c r="A1818" s="1" t="s">
        <v>413</v>
      </c>
    </row>
    <row r="1819" spans="1:1" x14ac:dyDescent="0.2">
      <c r="A1819" s="1" t="s">
        <v>414</v>
      </c>
    </row>
    <row r="1820" spans="1:1" x14ac:dyDescent="0.2">
      <c r="A1820" s="1" t="s">
        <v>415</v>
      </c>
    </row>
    <row r="1821" spans="1:1" x14ac:dyDescent="0.2">
      <c r="A1821" s="1" t="s">
        <v>416</v>
      </c>
    </row>
    <row r="1822" spans="1:1" x14ac:dyDescent="0.2">
      <c r="A1822" s="1" t="s">
        <v>417</v>
      </c>
    </row>
    <row r="1823" spans="1:1" x14ac:dyDescent="0.2">
      <c r="A1823" s="1" t="s">
        <v>420</v>
      </c>
    </row>
    <row r="1824" spans="1:1" x14ac:dyDescent="0.2">
      <c r="A1824" s="1" t="s">
        <v>421</v>
      </c>
    </row>
    <row r="1825" spans="1:1" x14ac:dyDescent="0.2">
      <c r="A1825" s="1" t="s">
        <v>422</v>
      </c>
    </row>
    <row r="1826" spans="1:1" x14ac:dyDescent="0.2">
      <c r="A1826" s="1" t="s">
        <v>423</v>
      </c>
    </row>
    <row r="1827" spans="1:1" x14ac:dyDescent="0.2">
      <c r="A1827" s="1" t="s">
        <v>424</v>
      </c>
    </row>
    <row r="1828" spans="1:1" x14ac:dyDescent="0.2">
      <c r="A1828" s="1" t="s">
        <v>425</v>
      </c>
    </row>
    <row r="1829" spans="1:1" x14ac:dyDescent="0.2">
      <c r="A1829" s="1" t="s">
        <v>426</v>
      </c>
    </row>
    <row r="1830" spans="1:1" x14ac:dyDescent="0.2">
      <c r="A1830" s="1" t="s">
        <v>427</v>
      </c>
    </row>
    <row r="1831" spans="1:1" x14ac:dyDescent="0.2">
      <c r="A1831" s="1" t="s">
        <v>428</v>
      </c>
    </row>
    <row r="1832" spans="1:1" x14ac:dyDescent="0.2">
      <c r="A1832" s="1" t="s">
        <v>429</v>
      </c>
    </row>
    <row r="1833" spans="1:1" x14ac:dyDescent="0.2">
      <c r="A1833" s="1" t="s">
        <v>430</v>
      </c>
    </row>
    <row r="1834" spans="1:1" x14ac:dyDescent="0.2">
      <c r="A1834" s="1" t="s">
        <v>431</v>
      </c>
    </row>
    <row r="1835" spans="1:1" x14ac:dyDescent="0.2">
      <c r="A1835" s="1" t="s">
        <v>420</v>
      </c>
    </row>
    <row r="1836" spans="1:1" x14ac:dyDescent="0.2">
      <c r="A1836" s="1" t="s">
        <v>432</v>
      </c>
    </row>
    <row r="1837" spans="1:1" x14ac:dyDescent="0.2">
      <c r="A1837" s="1" t="s">
        <v>422</v>
      </c>
    </row>
    <row r="1838" spans="1:1" x14ac:dyDescent="0.2">
      <c r="A1838" s="1" t="s">
        <v>423</v>
      </c>
    </row>
    <row r="1839" spans="1:1" x14ac:dyDescent="0.2">
      <c r="A1839" s="1" t="s">
        <v>424</v>
      </c>
    </row>
    <row r="1840" spans="1:1" x14ac:dyDescent="0.2">
      <c r="A1840" s="1" t="s">
        <v>425</v>
      </c>
    </row>
    <row r="1841" spans="1:1" x14ac:dyDescent="0.2">
      <c r="A1841" s="1" t="s">
        <v>433</v>
      </c>
    </row>
    <row r="1842" spans="1:1" x14ac:dyDescent="0.2">
      <c r="A1842" s="1" t="s">
        <v>427</v>
      </c>
    </row>
    <row r="1843" spans="1:1" x14ac:dyDescent="0.2">
      <c r="A1843" s="1" t="s">
        <v>428</v>
      </c>
    </row>
    <row r="1844" spans="1:1" x14ac:dyDescent="0.2">
      <c r="A1844" s="1" t="s">
        <v>429</v>
      </c>
    </row>
    <row r="1845" spans="1:1" x14ac:dyDescent="0.2">
      <c r="A1845" s="1" t="s">
        <v>430</v>
      </c>
    </row>
    <row r="1846" spans="1:1" x14ac:dyDescent="0.2">
      <c r="A1846" s="1" t="s">
        <v>431</v>
      </c>
    </row>
    <row r="1847" spans="1:1" x14ac:dyDescent="0.2">
      <c r="A1847" s="1" t="s">
        <v>435</v>
      </c>
    </row>
    <row r="1848" spans="1:1" x14ac:dyDescent="0.2">
      <c r="A1848" s="1" t="s">
        <v>435</v>
      </c>
    </row>
    <row r="1849" spans="1:1" x14ac:dyDescent="0.2">
      <c r="A1849" s="1" t="s">
        <v>436</v>
      </c>
    </row>
    <row r="1850" spans="1:1" x14ac:dyDescent="0.2">
      <c r="A1850" s="1" t="s">
        <v>437</v>
      </c>
    </row>
    <row r="1851" spans="1:1" x14ac:dyDescent="0.2">
      <c r="A1851" s="1" t="s">
        <v>438</v>
      </c>
    </row>
    <row r="1852" spans="1:1" x14ac:dyDescent="0.2">
      <c r="A1852" s="1" t="s">
        <v>439</v>
      </c>
    </row>
    <row r="1853" spans="1:1" x14ac:dyDescent="0.2">
      <c r="A1853" s="1" t="s">
        <v>440</v>
      </c>
    </row>
    <row r="1854" spans="1:1" x14ac:dyDescent="0.2">
      <c r="A1854" s="1" t="s">
        <v>441</v>
      </c>
    </row>
    <row r="1855" spans="1:1" x14ac:dyDescent="0.2">
      <c r="A1855" s="1" t="s">
        <v>442</v>
      </c>
    </row>
    <row r="1856" spans="1:1" x14ac:dyDescent="0.2">
      <c r="A1856" s="1" t="s">
        <v>443</v>
      </c>
    </row>
    <row r="1857" spans="1:1" x14ac:dyDescent="0.2">
      <c r="A1857" s="1" t="s">
        <v>435</v>
      </c>
    </row>
    <row r="1858" spans="1:1" x14ac:dyDescent="0.2">
      <c r="A1858" s="1" t="s">
        <v>435</v>
      </c>
    </row>
    <row r="1859" spans="1:1" x14ac:dyDescent="0.2">
      <c r="A1859" s="1" t="s">
        <v>435</v>
      </c>
    </row>
    <row r="1860" spans="1:1" x14ac:dyDescent="0.2">
      <c r="A1860" s="1" t="s">
        <v>436</v>
      </c>
    </row>
    <row r="1861" spans="1:1" x14ac:dyDescent="0.2">
      <c r="A1861" s="1" t="s">
        <v>437</v>
      </c>
    </row>
    <row r="1862" spans="1:1" x14ac:dyDescent="0.2">
      <c r="A1862" s="1" t="s">
        <v>438</v>
      </c>
    </row>
    <row r="1863" spans="1:1" x14ac:dyDescent="0.2">
      <c r="A1863" s="1" t="s">
        <v>439</v>
      </c>
    </row>
    <row r="1864" spans="1:1" x14ac:dyDescent="0.2">
      <c r="A1864" s="1" t="s">
        <v>440</v>
      </c>
    </row>
    <row r="1865" spans="1:1" x14ac:dyDescent="0.2">
      <c r="A1865" s="1" t="s">
        <v>441</v>
      </c>
    </row>
    <row r="1866" spans="1:1" x14ac:dyDescent="0.2">
      <c r="A1866" s="1" t="s">
        <v>442</v>
      </c>
    </row>
    <row r="1867" spans="1:1" x14ac:dyDescent="0.2">
      <c r="A1867" s="1" t="s">
        <v>443</v>
      </c>
    </row>
    <row r="1868" spans="1:1" x14ac:dyDescent="0.2">
      <c r="A1868" s="1" t="s">
        <v>435</v>
      </c>
    </row>
    <row r="1869" spans="1:1" x14ac:dyDescent="0.2">
      <c r="A1869" s="1" t="s">
        <v>435</v>
      </c>
    </row>
    <row r="1870" spans="1:1" x14ac:dyDescent="0.2">
      <c r="A1870" s="1" t="s">
        <v>435</v>
      </c>
    </row>
    <row r="1871" spans="1:1" x14ac:dyDescent="0.2">
      <c r="A1871" s="1" t="s">
        <v>436</v>
      </c>
    </row>
    <row r="1872" spans="1:1" x14ac:dyDescent="0.2">
      <c r="A1872" s="1" t="s">
        <v>437</v>
      </c>
    </row>
    <row r="1873" spans="1:1" x14ac:dyDescent="0.2">
      <c r="A1873" s="1" t="s">
        <v>438</v>
      </c>
    </row>
    <row r="1874" spans="1:1" x14ac:dyDescent="0.2">
      <c r="A1874" s="1" t="s">
        <v>439</v>
      </c>
    </row>
    <row r="1875" spans="1:1" x14ac:dyDescent="0.2">
      <c r="A1875" s="1" t="s">
        <v>440</v>
      </c>
    </row>
    <row r="1876" spans="1:1" x14ac:dyDescent="0.2">
      <c r="A1876" s="1" t="s">
        <v>441</v>
      </c>
    </row>
    <row r="1877" spans="1:1" x14ac:dyDescent="0.2">
      <c r="A1877" s="1" t="s">
        <v>442</v>
      </c>
    </row>
    <row r="1878" spans="1:1" x14ac:dyDescent="0.2">
      <c r="A1878" s="1" t="s">
        <v>443</v>
      </c>
    </row>
    <row r="1879" spans="1:1" x14ac:dyDescent="0.2">
      <c r="A1879" s="1" t="s">
        <v>435</v>
      </c>
    </row>
    <row r="1880" spans="1:1" x14ac:dyDescent="0.2">
      <c r="A1880" s="1" t="s">
        <v>435</v>
      </c>
    </row>
    <row r="1881" spans="1:1" x14ac:dyDescent="0.2">
      <c r="A1881" s="1" t="s">
        <v>435</v>
      </c>
    </row>
    <row r="1882" spans="1:1" x14ac:dyDescent="0.2">
      <c r="A1882" s="1" t="s">
        <v>436</v>
      </c>
    </row>
    <row r="1883" spans="1:1" x14ac:dyDescent="0.2">
      <c r="A1883" s="1" t="s">
        <v>437</v>
      </c>
    </row>
    <row r="1884" spans="1:1" x14ac:dyDescent="0.2">
      <c r="A1884" s="1" t="s">
        <v>438</v>
      </c>
    </row>
    <row r="1885" spans="1:1" x14ac:dyDescent="0.2">
      <c r="A1885" s="1" t="s">
        <v>439</v>
      </c>
    </row>
    <row r="1886" spans="1:1" x14ac:dyDescent="0.2">
      <c r="A1886" s="1" t="s">
        <v>440</v>
      </c>
    </row>
    <row r="1887" spans="1:1" x14ac:dyDescent="0.2">
      <c r="A1887" s="1" t="s">
        <v>441</v>
      </c>
    </row>
    <row r="1888" spans="1:1" x14ac:dyDescent="0.2">
      <c r="A1888" s="1" t="s">
        <v>442</v>
      </c>
    </row>
    <row r="1889" spans="1:1" x14ac:dyDescent="0.2">
      <c r="A1889" s="1" t="s">
        <v>443</v>
      </c>
    </row>
    <row r="1890" spans="1:1" x14ac:dyDescent="0.2">
      <c r="A1890" s="1" t="s">
        <v>435</v>
      </c>
    </row>
    <row r="1891" spans="1:1" x14ac:dyDescent="0.2">
      <c r="A1891" s="1" t="s">
        <v>435</v>
      </c>
    </row>
    <row r="1892" spans="1:1" x14ac:dyDescent="0.2">
      <c r="A1892" s="1" t="s">
        <v>435</v>
      </c>
    </row>
    <row r="1893" spans="1:1" x14ac:dyDescent="0.2">
      <c r="A1893" s="1" t="s">
        <v>436</v>
      </c>
    </row>
    <row r="1894" spans="1:1" x14ac:dyDescent="0.2">
      <c r="A1894" s="1" t="s">
        <v>437</v>
      </c>
    </row>
    <row r="1895" spans="1:1" x14ac:dyDescent="0.2">
      <c r="A1895" s="1" t="s">
        <v>438</v>
      </c>
    </row>
    <row r="1896" spans="1:1" x14ac:dyDescent="0.2">
      <c r="A1896" s="1" t="s">
        <v>439</v>
      </c>
    </row>
    <row r="1897" spans="1:1" x14ac:dyDescent="0.2">
      <c r="A1897" s="1" t="s">
        <v>440</v>
      </c>
    </row>
    <row r="1898" spans="1:1" x14ac:dyDescent="0.2">
      <c r="A1898" s="1" t="s">
        <v>441</v>
      </c>
    </row>
    <row r="1899" spans="1:1" x14ac:dyDescent="0.2">
      <c r="A1899" s="1" t="s">
        <v>442</v>
      </c>
    </row>
    <row r="1900" spans="1:1" x14ac:dyDescent="0.2">
      <c r="A1900" s="1" t="s">
        <v>443</v>
      </c>
    </row>
    <row r="1901" spans="1:1" x14ac:dyDescent="0.2">
      <c r="A1901" s="1" t="s">
        <v>435</v>
      </c>
    </row>
    <row r="1902" spans="1:1" x14ac:dyDescent="0.2">
      <c r="A1902" s="1" t="s">
        <v>435</v>
      </c>
    </row>
    <row r="1903" spans="1:1" x14ac:dyDescent="0.2">
      <c r="A1903" s="1" t="s">
        <v>435</v>
      </c>
    </row>
    <row r="1904" spans="1:1" x14ac:dyDescent="0.2">
      <c r="A1904" s="1" t="s">
        <v>436</v>
      </c>
    </row>
    <row r="1905" spans="1:1" x14ac:dyDescent="0.2">
      <c r="A1905" s="1" t="s">
        <v>437</v>
      </c>
    </row>
    <row r="1906" spans="1:1" x14ac:dyDescent="0.2">
      <c r="A1906" s="1" t="s">
        <v>438</v>
      </c>
    </row>
    <row r="1907" spans="1:1" x14ac:dyDescent="0.2">
      <c r="A1907" s="1" t="s">
        <v>439</v>
      </c>
    </row>
    <row r="1908" spans="1:1" x14ac:dyDescent="0.2">
      <c r="A1908" s="1" t="s">
        <v>440</v>
      </c>
    </row>
    <row r="1909" spans="1:1" x14ac:dyDescent="0.2">
      <c r="A1909" s="1" t="s">
        <v>441</v>
      </c>
    </row>
    <row r="1910" spans="1:1" x14ac:dyDescent="0.2">
      <c r="A1910" s="1" t="s">
        <v>442</v>
      </c>
    </row>
    <row r="1911" spans="1:1" x14ac:dyDescent="0.2">
      <c r="A1911" s="1" t="s">
        <v>443</v>
      </c>
    </row>
    <row r="1912" spans="1:1" x14ac:dyDescent="0.2">
      <c r="A1912" s="1" t="s">
        <v>435</v>
      </c>
    </row>
    <row r="1913" spans="1:1" x14ac:dyDescent="0.2">
      <c r="A1913" s="1" t="s">
        <v>435</v>
      </c>
    </row>
    <row r="1914" spans="1:1" x14ac:dyDescent="0.2">
      <c r="A1914" s="1" t="s">
        <v>435</v>
      </c>
    </row>
    <row r="1915" spans="1:1" x14ac:dyDescent="0.2">
      <c r="A1915" s="1" t="s">
        <v>436</v>
      </c>
    </row>
    <row r="1916" spans="1:1" x14ac:dyDescent="0.2">
      <c r="A1916" s="1" t="s">
        <v>437</v>
      </c>
    </row>
    <row r="1917" spans="1:1" x14ac:dyDescent="0.2">
      <c r="A1917" s="1" t="s">
        <v>438</v>
      </c>
    </row>
    <row r="1918" spans="1:1" x14ac:dyDescent="0.2">
      <c r="A1918" s="1" t="s">
        <v>439</v>
      </c>
    </row>
    <row r="1919" spans="1:1" x14ac:dyDescent="0.2">
      <c r="A1919" s="1" t="s">
        <v>440</v>
      </c>
    </row>
    <row r="1920" spans="1:1" x14ac:dyDescent="0.2">
      <c r="A1920" s="1" t="s">
        <v>441</v>
      </c>
    </row>
    <row r="1921" spans="1:1" x14ac:dyDescent="0.2">
      <c r="A1921" s="1" t="s">
        <v>442</v>
      </c>
    </row>
    <row r="1922" spans="1:1" x14ac:dyDescent="0.2">
      <c r="A1922" s="1" t="s">
        <v>443</v>
      </c>
    </row>
    <row r="1923" spans="1:1" x14ac:dyDescent="0.2">
      <c r="A1923" s="1" t="s">
        <v>435</v>
      </c>
    </row>
    <row r="1924" spans="1:1" x14ac:dyDescent="0.2">
      <c r="A1924" s="1" t="s">
        <v>435</v>
      </c>
    </row>
    <row r="1925" spans="1:1" x14ac:dyDescent="0.2">
      <c r="A1925" s="1" t="s">
        <v>435</v>
      </c>
    </row>
    <row r="1926" spans="1:1" x14ac:dyDescent="0.2">
      <c r="A1926" s="1" t="s">
        <v>436</v>
      </c>
    </row>
    <row r="1927" spans="1:1" x14ac:dyDescent="0.2">
      <c r="A1927" s="1" t="s">
        <v>437</v>
      </c>
    </row>
    <row r="1928" spans="1:1" x14ac:dyDescent="0.2">
      <c r="A1928" s="1" t="s">
        <v>438</v>
      </c>
    </row>
    <row r="1929" spans="1:1" x14ac:dyDescent="0.2">
      <c r="A1929" s="1" t="s">
        <v>439</v>
      </c>
    </row>
    <row r="1930" spans="1:1" x14ac:dyDescent="0.2">
      <c r="A1930" s="1" t="s">
        <v>440</v>
      </c>
    </row>
    <row r="1931" spans="1:1" x14ac:dyDescent="0.2">
      <c r="A1931" s="1" t="s">
        <v>441</v>
      </c>
    </row>
    <row r="1932" spans="1:1" x14ac:dyDescent="0.2">
      <c r="A1932" s="1" t="s">
        <v>442</v>
      </c>
    </row>
    <row r="1933" spans="1:1" x14ac:dyDescent="0.2">
      <c r="A1933" s="1" t="s">
        <v>443</v>
      </c>
    </row>
    <row r="1934" spans="1:1" x14ac:dyDescent="0.2">
      <c r="A1934" s="1" t="s">
        <v>435</v>
      </c>
    </row>
    <row r="1935" spans="1:1" x14ac:dyDescent="0.2">
      <c r="A1935" s="1" t="s">
        <v>444</v>
      </c>
    </row>
    <row r="1936" spans="1:1" x14ac:dyDescent="0.2">
      <c r="A1936" s="1" t="s">
        <v>444</v>
      </c>
    </row>
    <row r="1937" spans="1:1" x14ac:dyDescent="0.2">
      <c r="A1937" s="1" t="s">
        <v>445</v>
      </c>
    </row>
    <row r="1938" spans="1:1" x14ac:dyDescent="0.2">
      <c r="A1938" s="1" t="s">
        <v>446</v>
      </c>
    </row>
    <row r="1939" spans="1:1" x14ac:dyDescent="0.2">
      <c r="A1939" s="1" t="s">
        <v>447</v>
      </c>
    </row>
    <row r="1940" spans="1:1" x14ac:dyDescent="0.2">
      <c r="A1940" s="1" t="s">
        <v>448</v>
      </c>
    </row>
    <row r="1941" spans="1:1" x14ac:dyDescent="0.2">
      <c r="A1941" s="1" t="s">
        <v>449</v>
      </c>
    </row>
    <row r="1942" spans="1:1" x14ac:dyDescent="0.2">
      <c r="A1942" s="1" t="s">
        <v>450</v>
      </c>
    </row>
    <row r="1943" spans="1:1" x14ac:dyDescent="0.2">
      <c r="A1943" s="1" t="s">
        <v>451</v>
      </c>
    </row>
    <row r="1944" spans="1:1" x14ac:dyDescent="0.2">
      <c r="A1944" s="1" t="s">
        <v>452</v>
      </c>
    </row>
    <row r="1945" spans="1:1" x14ac:dyDescent="0.2">
      <c r="A1945" s="1" t="s">
        <v>444</v>
      </c>
    </row>
    <row r="1946" spans="1:1" x14ac:dyDescent="0.2">
      <c r="A1946" s="1" t="s">
        <v>444</v>
      </c>
    </row>
    <row r="1947" spans="1:1" x14ac:dyDescent="0.2">
      <c r="A1947" s="1" t="s">
        <v>444</v>
      </c>
    </row>
    <row r="1948" spans="1:1" x14ac:dyDescent="0.2">
      <c r="A1948" s="1" t="s">
        <v>445</v>
      </c>
    </row>
    <row r="1949" spans="1:1" x14ac:dyDescent="0.2">
      <c r="A1949" s="1" t="s">
        <v>446</v>
      </c>
    </row>
    <row r="1950" spans="1:1" x14ac:dyDescent="0.2">
      <c r="A1950" s="1" t="s">
        <v>447</v>
      </c>
    </row>
    <row r="1951" spans="1:1" x14ac:dyDescent="0.2">
      <c r="A1951" s="1" t="s">
        <v>448</v>
      </c>
    </row>
    <row r="1952" spans="1:1" x14ac:dyDescent="0.2">
      <c r="A1952" s="1" t="s">
        <v>449</v>
      </c>
    </row>
    <row r="1953" spans="1:1" x14ac:dyDescent="0.2">
      <c r="A1953" s="1" t="s">
        <v>450</v>
      </c>
    </row>
    <row r="1954" spans="1:1" x14ac:dyDescent="0.2">
      <c r="A1954" s="1" t="s">
        <v>451</v>
      </c>
    </row>
    <row r="1955" spans="1:1" x14ac:dyDescent="0.2">
      <c r="A1955" s="1" t="s">
        <v>452</v>
      </c>
    </row>
    <row r="1956" spans="1:1" x14ac:dyDescent="0.2">
      <c r="A1956" s="1" t="s">
        <v>444</v>
      </c>
    </row>
    <row r="1957" spans="1:1" x14ac:dyDescent="0.2">
      <c r="A1957" s="1" t="s">
        <v>444</v>
      </c>
    </row>
    <row r="1958" spans="1:1" x14ac:dyDescent="0.2">
      <c r="A1958" s="1" t="s">
        <v>444</v>
      </c>
    </row>
    <row r="1959" spans="1:1" x14ac:dyDescent="0.2">
      <c r="A1959" s="1" t="s">
        <v>445</v>
      </c>
    </row>
    <row r="1960" spans="1:1" x14ac:dyDescent="0.2">
      <c r="A1960" s="1" t="s">
        <v>446</v>
      </c>
    </row>
    <row r="1961" spans="1:1" x14ac:dyDescent="0.2">
      <c r="A1961" s="1" t="s">
        <v>447</v>
      </c>
    </row>
    <row r="1962" spans="1:1" x14ac:dyDescent="0.2">
      <c r="A1962" s="1" t="s">
        <v>448</v>
      </c>
    </row>
    <row r="1963" spans="1:1" x14ac:dyDescent="0.2">
      <c r="A1963" s="1" t="s">
        <v>449</v>
      </c>
    </row>
    <row r="1964" spans="1:1" x14ac:dyDescent="0.2">
      <c r="A1964" s="1" t="s">
        <v>450</v>
      </c>
    </row>
    <row r="1965" spans="1:1" x14ac:dyDescent="0.2">
      <c r="A1965" s="1" t="s">
        <v>451</v>
      </c>
    </row>
    <row r="1966" spans="1:1" x14ac:dyDescent="0.2">
      <c r="A1966" s="1" t="s">
        <v>452</v>
      </c>
    </row>
    <row r="1967" spans="1:1" x14ac:dyDescent="0.2">
      <c r="A1967" s="1" t="s">
        <v>444</v>
      </c>
    </row>
    <row r="1968" spans="1:1" x14ac:dyDescent="0.2">
      <c r="A1968" s="1" t="s">
        <v>444</v>
      </c>
    </row>
    <row r="1969" spans="1:1" x14ac:dyDescent="0.2">
      <c r="A1969" s="1" t="s">
        <v>444</v>
      </c>
    </row>
    <row r="1970" spans="1:1" x14ac:dyDescent="0.2">
      <c r="A1970" s="1" t="s">
        <v>445</v>
      </c>
    </row>
    <row r="1971" spans="1:1" x14ac:dyDescent="0.2">
      <c r="A1971" s="1" t="s">
        <v>446</v>
      </c>
    </row>
    <row r="1972" spans="1:1" x14ac:dyDescent="0.2">
      <c r="A1972" s="1" t="s">
        <v>447</v>
      </c>
    </row>
    <row r="1973" spans="1:1" x14ac:dyDescent="0.2">
      <c r="A1973" s="1" t="s">
        <v>448</v>
      </c>
    </row>
    <row r="1974" spans="1:1" x14ac:dyDescent="0.2">
      <c r="A1974" s="1" t="s">
        <v>449</v>
      </c>
    </row>
    <row r="1975" spans="1:1" x14ac:dyDescent="0.2">
      <c r="A1975" s="1" t="s">
        <v>450</v>
      </c>
    </row>
    <row r="1976" spans="1:1" x14ac:dyDescent="0.2">
      <c r="A1976" s="1" t="s">
        <v>451</v>
      </c>
    </row>
    <row r="1977" spans="1:1" x14ac:dyDescent="0.2">
      <c r="A1977" s="1" t="s">
        <v>452</v>
      </c>
    </row>
    <row r="1978" spans="1:1" x14ac:dyDescent="0.2">
      <c r="A1978" s="1" t="s">
        <v>444</v>
      </c>
    </row>
    <row r="1979" spans="1:1" x14ac:dyDescent="0.2">
      <c r="A1979" s="1" t="s">
        <v>444</v>
      </c>
    </row>
    <row r="1980" spans="1:1" x14ac:dyDescent="0.2">
      <c r="A1980" s="1" t="s">
        <v>444</v>
      </c>
    </row>
    <row r="1981" spans="1:1" x14ac:dyDescent="0.2">
      <c r="A1981" s="1" t="s">
        <v>445</v>
      </c>
    </row>
    <row r="1982" spans="1:1" x14ac:dyDescent="0.2">
      <c r="A1982" s="1" t="s">
        <v>446</v>
      </c>
    </row>
    <row r="1983" spans="1:1" x14ac:dyDescent="0.2">
      <c r="A1983" s="1" t="s">
        <v>447</v>
      </c>
    </row>
    <row r="1984" spans="1:1" x14ac:dyDescent="0.2">
      <c r="A1984" s="1" t="s">
        <v>448</v>
      </c>
    </row>
    <row r="1985" spans="1:1" x14ac:dyDescent="0.2">
      <c r="A1985" s="1" t="s">
        <v>449</v>
      </c>
    </row>
    <row r="1986" spans="1:1" x14ac:dyDescent="0.2">
      <c r="A1986" s="1" t="s">
        <v>450</v>
      </c>
    </row>
    <row r="1987" spans="1:1" x14ac:dyDescent="0.2">
      <c r="A1987" s="1" t="s">
        <v>451</v>
      </c>
    </row>
    <row r="1988" spans="1:1" x14ac:dyDescent="0.2">
      <c r="A1988" s="1" t="s">
        <v>452</v>
      </c>
    </row>
    <row r="1989" spans="1:1" x14ac:dyDescent="0.2">
      <c r="A1989" s="1" t="s">
        <v>444</v>
      </c>
    </row>
    <row r="1990" spans="1:1" x14ac:dyDescent="0.2">
      <c r="A1990" s="1" t="s">
        <v>444</v>
      </c>
    </row>
    <row r="1991" spans="1:1" x14ac:dyDescent="0.2">
      <c r="A1991" s="1" t="s">
        <v>444</v>
      </c>
    </row>
    <row r="1992" spans="1:1" x14ac:dyDescent="0.2">
      <c r="A1992" s="1" t="s">
        <v>445</v>
      </c>
    </row>
    <row r="1993" spans="1:1" x14ac:dyDescent="0.2">
      <c r="A1993" s="1" t="s">
        <v>446</v>
      </c>
    </row>
    <row r="1994" spans="1:1" x14ac:dyDescent="0.2">
      <c r="A1994" s="1" t="s">
        <v>447</v>
      </c>
    </row>
    <row r="1995" spans="1:1" x14ac:dyDescent="0.2">
      <c r="A1995" s="1" t="s">
        <v>448</v>
      </c>
    </row>
    <row r="1996" spans="1:1" x14ac:dyDescent="0.2">
      <c r="A1996" s="1" t="s">
        <v>449</v>
      </c>
    </row>
    <row r="1997" spans="1:1" x14ac:dyDescent="0.2">
      <c r="A1997" s="1" t="s">
        <v>450</v>
      </c>
    </row>
    <row r="1998" spans="1:1" x14ac:dyDescent="0.2">
      <c r="A1998" s="1" t="s">
        <v>451</v>
      </c>
    </row>
    <row r="1999" spans="1:1" x14ac:dyDescent="0.2">
      <c r="A1999" s="1" t="s">
        <v>452</v>
      </c>
    </row>
    <row r="2000" spans="1:1" x14ac:dyDescent="0.2">
      <c r="A2000" s="1" t="s">
        <v>444</v>
      </c>
    </row>
    <row r="2001" spans="1:1" x14ac:dyDescent="0.2">
      <c r="A2001" s="1" t="s">
        <v>444</v>
      </c>
    </row>
    <row r="2002" spans="1:1" x14ac:dyDescent="0.2">
      <c r="A2002" s="1" t="s">
        <v>444</v>
      </c>
    </row>
    <row r="2003" spans="1:1" x14ac:dyDescent="0.2">
      <c r="A2003" s="1" t="s">
        <v>445</v>
      </c>
    </row>
    <row r="2004" spans="1:1" x14ac:dyDescent="0.2">
      <c r="A2004" s="1" t="s">
        <v>446</v>
      </c>
    </row>
    <row r="2005" spans="1:1" x14ac:dyDescent="0.2">
      <c r="A2005" s="1" t="s">
        <v>447</v>
      </c>
    </row>
    <row r="2006" spans="1:1" x14ac:dyDescent="0.2">
      <c r="A2006" s="1" t="s">
        <v>448</v>
      </c>
    </row>
    <row r="2007" spans="1:1" x14ac:dyDescent="0.2">
      <c r="A2007" s="1" t="s">
        <v>449</v>
      </c>
    </row>
    <row r="2008" spans="1:1" x14ac:dyDescent="0.2">
      <c r="A2008" s="1" t="s">
        <v>450</v>
      </c>
    </row>
    <row r="2009" spans="1:1" x14ac:dyDescent="0.2">
      <c r="A2009" s="1" t="s">
        <v>451</v>
      </c>
    </row>
    <row r="2010" spans="1:1" x14ac:dyDescent="0.2">
      <c r="A2010" s="1" t="s">
        <v>453</v>
      </c>
    </row>
    <row r="2011" spans="1:1" x14ac:dyDescent="0.2">
      <c r="A2011" s="1" t="s">
        <v>454</v>
      </c>
    </row>
    <row r="2012" spans="1:1" x14ac:dyDescent="0.2">
      <c r="A2012" s="1" t="s">
        <v>454</v>
      </c>
    </row>
    <row r="2013" spans="1:1" x14ac:dyDescent="0.2">
      <c r="A2013" s="1" t="s">
        <v>454</v>
      </c>
    </row>
    <row r="2014" spans="1:1" x14ac:dyDescent="0.2">
      <c r="A2014" s="1" t="s">
        <v>455</v>
      </c>
    </row>
    <row r="2015" spans="1:1" x14ac:dyDescent="0.2">
      <c r="A2015" s="1" t="s">
        <v>456</v>
      </c>
    </row>
    <row r="2016" spans="1:1" x14ac:dyDescent="0.2">
      <c r="A2016" s="1" t="s">
        <v>457</v>
      </c>
    </row>
    <row r="2017" spans="1:1" x14ac:dyDescent="0.2">
      <c r="A2017" s="1" t="s">
        <v>458</v>
      </c>
    </row>
    <row r="2018" spans="1:1" x14ac:dyDescent="0.2">
      <c r="A2018" s="1" t="s">
        <v>459</v>
      </c>
    </row>
    <row r="2019" spans="1:1" x14ac:dyDescent="0.2">
      <c r="A2019" s="1" t="s">
        <v>460</v>
      </c>
    </row>
    <row r="2020" spans="1:1" x14ac:dyDescent="0.2">
      <c r="A2020" s="1" t="s">
        <v>461</v>
      </c>
    </row>
    <row r="2021" spans="1:1" x14ac:dyDescent="0.2">
      <c r="A2021" s="1" t="s">
        <v>453</v>
      </c>
    </row>
    <row r="2022" spans="1:1" x14ac:dyDescent="0.2">
      <c r="A2022" s="1" t="s">
        <v>454</v>
      </c>
    </row>
    <row r="2023" spans="1:1" x14ac:dyDescent="0.2">
      <c r="A2023" s="1" t="s">
        <v>462</v>
      </c>
    </row>
    <row r="2024" spans="1:1" x14ac:dyDescent="0.2">
      <c r="A2024" s="1" t="s">
        <v>462</v>
      </c>
    </row>
    <row r="2025" spans="1:1" x14ac:dyDescent="0.2">
      <c r="A2025" s="1" t="s">
        <v>463</v>
      </c>
    </row>
    <row r="2026" spans="1:1" x14ac:dyDescent="0.2">
      <c r="A2026" s="1" t="s">
        <v>464</v>
      </c>
    </row>
    <row r="2027" spans="1:1" x14ac:dyDescent="0.2">
      <c r="A2027" s="1" t="s">
        <v>465</v>
      </c>
    </row>
    <row r="2028" spans="1:1" x14ac:dyDescent="0.2">
      <c r="A2028" s="1" t="s">
        <v>466</v>
      </c>
    </row>
    <row r="2029" spans="1:1" x14ac:dyDescent="0.2">
      <c r="A2029" s="1" t="s">
        <v>467</v>
      </c>
    </row>
    <row r="2030" spans="1:1" x14ac:dyDescent="0.2">
      <c r="A2030" s="1" t="s">
        <v>468</v>
      </c>
    </row>
    <row r="2031" spans="1:1" x14ac:dyDescent="0.2">
      <c r="A2031" s="1" t="s">
        <v>469</v>
      </c>
    </row>
    <row r="2032" spans="1:1" x14ac:dyDescent="0.2">
      <c r="A2032" s="1" t="s">
        <v>470</v>
      </c>
    </row>
    <row r="2033" spans="1:1" x14ac:dyDescent="0.2">
      <c r="A2033" s="1" t="s">
        <v>462</v>
      </c>
    </row>
    <row r="2034" spans="1:1" x14ac:dyDescent="0.2">
      <c r="A2034" s="1" t="s">
        <v>462</v>
      </c>
    </row>
    <row r="2035" spans="1:1" x14ac:dyDescent="0.2">
      <c r="A2035" s="1" t="s">
        <v>462</v>
      </c>
    </row>
    <row r="2036" spans="1:1" x14ac:dyDescent="0.2">
      <c r="A2036" s="1" t="s">
        <v>463</v>
      </c>
    </row>
    <row r="2037" spans="1:1" x14ac:dyDescent="0.2">
      <c r="A2037" s="1" t="s">
        <v>464</v>
      </c>
    </row>
    <row r="2038" spans="1:1" x14ac:dyDescent="0.2">
      <c r="A2038" s="1" t="s">
        <v>465</v>
      </c>
    </row>
    <row r="2039" spans="1:1" x14ac:dyDescent="0.2">
      <c r="A2039" s="1" t="s">
        <v>466</v>
      </c>
    </row>
    <row r="2040" spans="1:1" x14ac:dyDescent="0.2">
      <c r="A2040" s="1" t="s">
        <v>467</v>
      </c>
    </row>
    <row r="2041" spans="1:1" x14ac:dyDescent="0.2">
      <c r="A2041" s="1" t="s">
        <v>468</v>
      </c>
    </row>
    <row r="2042" spans="1:1" x14ac:dyDescent="0.2">
      <c r="A2042" s="1" t="s">
        <v>469</v>
      </c>
    </row>
    <row r="2043" spans="1:1" x14ac:dyDescent="0.2">
      <c r="A2043" s="1" t="s">
        <v>470</v>
      </c>
    </row>
    <row r="2044" spans="1:1" x14ac:dyDescent="0.2">
      <c r="A2044" s="1" t="s">
        <v>462</v>
      </c>
    </row>
    <row r="2045" spans="1:1" x14ac:dyDescent="0.2">
      <c r="A2045" s="1" t="s">
        <v>462</v>
      </c>
    </row>
    <row r="2046" spans="1:1" x14ac:dyDescent="0.2">
      <c r="A2046" s="1" t="s">
        <v>462</v>
      </c>
    </row>
    <row r="2047" spans="1:1" x14ac:dyDescent="0.2">
      <c r="A2047" s="1" t="s">
        <v>463</v>
      </c>
    </row>
    <row r="2048" spans="1:1" x14ac:dyDescent="0.2">
      <c r="A2048" s="1" t="s">
        <v>464</v>
      </c>
    </row>
    <row r="2049" spans="1:1" x14ac:dyDescent="0.2">
      <c r="A2049" s="1" t="s">
        <v>465</v>
      </c>
    </row>
    <row r="2050" spans="1:1" x14ac:dyDescent="0.2">
      <c r="A2050" s="1" t="s">
        <v>466</v>
      </c>
    </row>
    <row r="2051" spans="1:1" x14ac:dyDescent="0.2">
      <c r="A2051" s="1" t="s">
        <v>467</v>
      </c>
    </row>
    <row r="2052" spans="1:1" x14ac:dyDescent="0.2">
      <c r="A2052" s="1" t="s">
        <v>468</v>
      </c>
    </row>
    <row r="2053" spans="1:1" x14ac:dyDescent="0.2">
      <c r="A2053" s="1" t="s">
        <v>469</v>
      </c>
    </row>
    <row r="2054" spans="1:1" x14ac:dyDescent="0.2">
      <c r="A2054" s="1" t="s">
        <v>470</v>
      </c>
    </row>
    <row r="2055" spans="1:1" x14ac:dyDescent="0.2">
      <c r="A2055" s="1" t="s">
        <v>462</v>
      </c>
    </row>
    <row r="2056" spans="1:1" x14ac:dyDescent="0.2">
      <c r="A2056" s="1" t="s">
        <v>462</v>
      </c>
    </row>
    <row r="2057" spans="1:1" x14ac:dyDescent="0.2">
      <c r="A2057" s="1" t="s">
        <v>462</v>
      </c>
    </row>
    <row r="2058" spans="1:1" x14ac:dyDescent="0.2">
      <c r="A2058" s="1" t="s">
        <v>463</v>
      </c>
    </row>
    <row r="2059" spans="1:1" x14ac:dyDescent="0.2">
      <c r="A2059" s="1" t="s">
        <v>464</v>
      </c>
    </row>
    <row r="2060" spans="1:1" x14ac:dyDescent="0.2">
      <c r="A2060" s="1" t="s">
        <v>465</v>
      </c>
    </row>
    <row r="2061" spans="1:1" x14ac:dyDescent="0.2">
      <c r="A2061" s="1" t="s">
        <v>466</v>
      </c>
    </row>
    <row r="2062" spans="1:1" x14ac:dyDescent="0.2">
      <c r="A2062" s="1" t="s">
        <v>467</v>
      </c>
    </row>
    <row r="2063" spans="1:1" x14ac:dyDescent="0.2">
      <c r="A2063" s="1" t="s">
        <v>468</v>
      </c>
    </row>
    <row r="2064" spans="1:1" x14ac:dyDescent="0.2">
      <c r="A2064" s="1" t="s">
        <v>469</v>
      </c>
    </row>
    <row r="2065" spans="1:1" x14ac:dyDescent="0.2">
      <c r="A2065" s="1" t="s">
        <v>470</v>
      </c>
    </row>
    <row r="2066" spans="1:1" x14ac:dyDescent="0.2">
      <c r="A2066" s="1" t="s">
        <v>462</v>
      </c>
    </row>
    <row r="2067" spans="1:1" x14ac:dyDescent="0.2">
      <c r="A2067" s="1" t="s">
        <v>462</v>
      </c>
    </row>
    <row r="2068" spans="1:1" x14ac:dyDescent="0.2">
      <c r="A2068" s="1" t="s">
        <v>462</v>
      </c>
    </row>
    <row r="2069" spans="1:1" x14ac:dyDescent="0.2">
      <c r="A2069" s="1" t="s">
        <v>463</v>
      </c>
    </row>
    <row r="2070" spans="1:1" x14ac:dyDescent="0.2">
      <c r="A2070" s="1" t="s">
        <v>464</v>
      </c>
    </row>
    <row r="2071" spans="1:1" x14ac:dyDescent="0.2">
      <c r="A2071" s="1" t="s">
        <v>465</v>
      </c>
    </row>
    <row r="2072" spans="1:1" x14ac:dyDescent="0.2">
      <c r="A2072" s="1" t="s">
        <v>466</v>
      </c>
    </row>
    <row r="2073" spans="1:1" x14ac:dyDescent="0.2">
      <c r="A2073" s="1" t="s">
        <v>467</v>
      </c>
    </row>
    <row r="2074" spans="1:1" x14ac:dyDescent="0.2">
      <c r="A2074" s="1" t="s">
        <v>468</v>
      </c>
    </row>
    <row r="2075" spans="1:1" x14ac:dyDescent="0.2">
      <c r="A2075" s="1" t="s">
        <v>469</v>
      </c>
    </row>
    <row r="2076" spans="1:1" x14ac:dyDescent="0.2">
      <c r="A2076" s="1" t="s">
        <v>470</v>
      </c>
    </row>
    <row r="2077" spans="1:1" x14ac:dyDescent="0.2">
      <c r="A2077" s="1" t="s">
        <v>462</v>
      </c>
    </row>
    <row r="2078" spans="1:1" x14ac:dyDescent="0.2">
      <c r="A2078" s="1" t="s">
        <v>462</v>
      </c>
    </row>
    <row r="2079" spans="1:1" x14ac:dyDescent="0.2">
      <c r="A2079" s="1" t="s">
        <v>462</v>
      </c>
    </row>
    <row r="2080" spans="1:1" x14ac:dyDescent="0.2">
      <c r="A2080" s="1" t="s">
        <v>463</v>
      </c>
    </row>
    <row r="2081" spans="1:1" x14ac:dyDescent="0.2">
      <c r="A2081" s="1" t="s">
        <v>464</v>
      </c>
    </row>
    <row r="2082" spans="1:1" x14ac:dyDescent="0.2">
      <c r="A2082" s="1" t="s">
        <v>465</v>
      </c>
    </row>
    <row r="2083" spans="1:1" x14ac:dyDescent="0.2">
      <c r="A2083" s="1" t="s">
        <v>466</v>
      </c>
    </row>
    <row r="2084" spans="1:1" x14ac:dyDescent="0.2">
      <c r="A2084" s="1" t="s">
        <v>467</v>
      </c>
    </row>
    <row r="2085" spans="1:1" x14ac:dyDescent="0.2">
      <c r="A2085" s="1" t="s">
        <v>468</v>
      </c>
    </row>
    <row r="2086" spans="1:1" x14ac:dyDescent="0.2">
      <c r="A2086" s="1" t="s">
        <v>469</v>
      </c>
    </row>
    <row r="2087" spans="1:1" x14ac:dyDescent="0.2">
      <c r="A2087" s="1" t="s">
        <v>470</v>
      </c>
    </row>
    <row r="2088" spans="1:1" x14ac:dyDescent="0.2">
      <c r="A2088" s="1" t="s">
        <v>462</v>
      </c>
    </row>
    <row r="2089" spans="1:1" x14ac:dyDescent="0.2">
      <c r="A2089" s="1" t="s">
        <v>462</v>
      </c>
    </row>
    <row r="2090" spans="1:1" x14ac:dyDescent="0.2">
      <c r="A2090" s="1" t="s">
        <v>462</v>
      </c>
    </row>
    <row r="2091" spans="1:1" x14ac:dyDescent="0.2">
      <c r="A2091" s="1" t="s">
        <v>463</v>
      </c>
    </row>
    <row r="2092" spans="1:1" x14ac:dyDescent="0.2">
      <c r="A2092" s="1" t="s">
        <v>464</v>
      </c>
    </row>
    <row r="2093" spans="1:1" x14ac:dyDescent="0.2">
      <c r="A2093" s="1" t="s">
        <v>465</v>
      </c>
    </row>
    <row r="2094" spans="1:1" x14ac:dyDescent="0.2">
      <c r="A2094" s="1" t="s">
        <v>466</v>
      </c>
    </row>
    <row r="2095" spans="1:1" x14ac:dyDescent="0.2">
      <c r="A2095" s="1" t="s">
        <v>467</v>
      </c>
    </row>
    <row r="2096" spans="1:1" x14ac:dyDescent="0.2">
      <c r="A2096" s="1" t="s">
        <v>468</v>
      </c>
    </row>
    <row r="2097" spans="1:1" x14ac:dyDescent="0.2">
      <c r="A2097" s="1" t="s">
        <v>469</v>
      </c>
    </row>
    <row r="2098" spans="1:1" x14ac:dyDescent="0.2">
      <c r="A2098" s="1" t="s">
        <v>471</v>
      </c>
    </row>
    <row r="2099" spans="1:1" x14ac:dyDescent="0.2">
      <c r="A2099" s="1" t="s">
        <v>472</v>
      </c>
    </row>
    <row r="2100" spans="1:1" x14ac:dyDescent="0.2">
      <c r="A2100" s="1" t="s">
        <v>472</v>
      </c>
    </row>
    <row r="2101" spans="1:1" x14ac:dyDescent="0.2">
      <c r="A2101" s="1" t="s">
        <v>472</v>
      </c>
    </row>
    <row r="2102" spans="1:1" x14ac:dyDescent="0.2">
      <c r="A2102" s="1" t="s">
        <v>473</v>
      </c>
    </row>
    <row r="2103" spans="1:1" x14ac:dyDescent="0.2">
      <c r="A2103" s="1" t="s">
        <v>474</v>
      </c>
    </row>
    <row r="2104" spans="1:1" x14ac:dyDescent="0.2">
      <c r="A2104" s="1" t="s">
        <v>475</v>
      </c>
    </row>
    <row r="2105" spans="1:1" x14ac:dyDescent="0.2">
      <c r="A2105" s="1" t="s">
        <v>476</v>
      </c>
    </row>
    <row r="2106" spans="1:1" x14ac:dyDescent="0.2">
      <c r="A2106" s="1" t="s">
        <v>477</v>
      </c>
    </row>
    <row r="2107" spans="1:1" x14ac:dyDescent="0.2">
      <c r="A2107" s="1" t="s">
        <v>478</v>
      </c>
    </row>
    <row r="2108" spans="1:1" x14ac:dyDescent="0.2">
      <c r="A2108" s="1" t="s">
        <v>479</v>
      </c>
    </row>
    <row r="2109" spans="1:1" x14ac:dyDescent="0.2">
      <c r="A2109" s="1" t="s">
        <v>471</v>
      </c>
    </row>
    <row r="2110" spans="1:1" x14ac:dyDescent="0.2">
      <c r="A2110" s="1" t="s">
        <v>472</v>
      </c>
    </row>
    <row r="2111" spans="1:1" x14ac:dyDescent="0.2">
      <c r="A2111" s="1" t="s">
        <v>480</v>
      </c>
    </row>
    <row r="2112" spans="1:1" x14ac:dyDescent="0.2">
      <c r="A2112" s="1" t="s">
        <v>480</v>
      </c>
    </row>
    <row r="2113" spans="1:1" x14ac:dyDescent="0.2">
      <c r="A2113" s="1" t="s">
        <v>481</v>
      </c>
    </row>
    <row r="2114" spans="1:1" x14ac:dyDescent="0.2">
      <c r="A2114" s="1" t="s">
        <v>482</v>
      </c>
    </row>
    <row r="2115" spans="1:1" x14ac:dyDescent="0.2">
      <c r="A2115" s="1" t="s">
        <v>483</v>
      </c>
    </row>
    <row r="2116" spans="1:1" x14ac:dyDescent="0.2">
      <c r="A2116" s="1" t="s">
        <v>484</v>
      </c>
    </row>
    <row r="2117" spans="1:1" x14ac:dyDescent="0.2">
      <c r="A2117" s="1" t="s">
        <v>485</v>
      </c>
    </row>
    <row r="2118" spans="1:1" x14ac:dyDescent="0.2">
      <c r="A2118" s="1" t="s">
        <v>486</v>
      </c>
    </row>
    <row r="2119" spans="1:1" x14ac:dyDescent="0.2">
      <c r="A2119" s="1" t="s">
        <v>487</v>
      </c>
    </row>
    <row r="2120" spans="1:1" x14ac:dyDescent="0.2">
      <c r="A2120" s="1" t="s">
        <v>488</v>
      </c>
    </row>
    <row r="2121" spans="1:1" x14ac:dyDescent="0.2">
      <c r="A2121" s="1" t="s">
        <v>480</v>
      </c>
    </row>
    <row r="2122" spans="1:1" x14ac:dyDescent="0.2">
      <c r="A2122" s="1" t="s">
        <v>480</v>
      </c>
    </row>
    <row r="2123" spans="1:1" x14ac:dyDescent="0.2">
      <c r="A2123" s="1" t="s">
        <v>480</v>
      </c>
    </row>
    <row r="2124" spans="1:1" x14ac:dyDescent="0.2">
      <c r="A2124" s="1" t="s">
        <v>481</v>
      </c>
    </row>
    <row r="2125" spans="1:1" x14ac:dyDescent="0.2">
      <c r="A2125" s="1" t="s">
        <v>482</v>
      </c>
    </row>
    <row r="2126" spans="1:1" x14ac:dyDescent="0.2">
      <c r="A2126" s="1" t="s">
        <v>483</v>
      </c>
    </row>
    <row r="2127" spans="1:1" x14ac:dyDescent="0.2">
      <c r="A2127" s="1" t="s">
        <v>484</v>
      </c>
    </row>
    <row r="2128" spans="1:1" x14ac:dyDescent="0.2">
      <c r="A2128" s="1" t="s">
        <v>485</v>
      </c>
    </row>
    <row r="2129" spans="1:1" x14ac:dyDescent="0.2">
      <c r="A2129" s="1" t="s">
        <v>486</v>
      </c>
    </row>
    <row r="2130" spans="1:1" x14ac:dyDescent="0.2">
      <c r="A2130" s="1" t="s">
        <v>487</v>
      </c>
    </row>
    <row r="2131" spans="1:1" x14ac:dyDescent="0.2">
      <c r="A2131" s="1" t="s">
        <v>488</v>
      </c>
    </row>
    <row r="2132" spans="1:1" x14ac:dyDescent="0.2">
      <c r="A2132" s="1" t="s">
        <v>480</v>
      </c>
    </row>
    <row r="2133" spans="1:1" x14ac:dyDescent="0.2">
      <c r="A2133" s="1" t="s">
        <v>480</v>
      </c>
    </row>
    <row r="2134" spans="1:1" x14ac:dyDescent="0.2">
      <c r="A2134" s="1" t="s">
        <v>480</v>
      </c>
    </row>
    <row r="2135" spans="1:1" x14ac:dyDescent="0.2">
      <c r="A2135" s="1" t="s">
        <v>481</v>
      </c>
    </row>
    <row r="2136" spans="1:1" x14ac:dyDescent="0.2">
      <c r="A2136" s="1" t="s">
        <v>482</v>
      </c>
    </row>
    <row r="2137" spans="1:1" x14ac:dyDescent="0.2">
      <c r="A2137" s="1" t="s">
        <v>483</v>
      </c>
    </row>
    <row r="2138" spans="1:1" x14ac:dyDescent="0.2">
      <c r="A2138" s="1" t="s">
        <v>484</v>
      </c>
    </row>
    <row r="2139" spans="1:1" x14ac:dyDescent="0.2">
      <c r="A2139" s="1" t="s">
        <v>485</v>
      </c>
    </row>
    <row r="2140" spans="1:1" x14ac:dyDescent="0.2">
      <c r="A2140" s="1" t="s">
        <v>486</v>
      </c>
    </row>
    <row r="2141" spans="1:1" x14ac:dyDescent="0.2">
      <c r="A2141" s="1" t="s">
        <v>487</v>
      </c>
    </row>
    <row r="2142" spans="1:1" x14ac:dyDescent="0.2">
      <c r="A2142" s="1" t="s">
        <v>488</v>
      </c>
    </row>
    <row r="2143" spans="1:1" x14ac:dyDescent="0.2">
      <c r="A2143" s="1" t="s">
        <v>480</v>
      </c>
    </row>
    <row r="2144" spans="1:1" x14ac:dyDescent="0.2">
      <c r="A2144" s="1" t="s">
        <v>480</v>
      </c>
    </row>
    <row r="2145" spans="1:1" x14ac:dyDescent="0.2">
      <c r="A2145" s="1" t="s">
        <v>480</v>
      </c>
    </row>
    <row r="2146" spans="1:1" x14ac:dyDescent="0.2">
      <c r="A2146" s="1" t="s">
        <v>481</v>
      </c>
    </row>
    <row r="2147" spans="1:1" x14ac:dyDescent="0.2">
      <c r="A2147" s="1" t="s">
        <v>482</v>
      </c>
    </row>
    <row r="2148" spans="1:1" x14ac:dyDescent="0.2">
      <c r="A2148" s="1" t="s">
        <v>483</v>
      </c>
    </row>
    <row r="2149" spans="1:1" x14ac:dyDescent="0.2">
      <c r="A2149" s="1" t="s">
        <v>484</v>
      </c>
    </row>
    <row r="2150" spans="1:1" x14ac:dyDescent="0.2">
      <c r="A2150" s="1" t="s">
        <v>485</v>
      </c>
    </row>
    <row r="2151" spans="1:1" x14ac:dyDescent="0.2">
      <c r="A2151" s="1" t="s">
        <v>486</v>
      </c>
    </row>
    <row r="2152" spans="1:1" x14ac:dyDescent="0.2">
      <c r="A2152" s="1" t="s">
        <v>487</v>
      </c>
    </row>
    <row r="2153" spans="1:1" x14ac:dyDescent="0.2">
      <c r="A2153" s="1" t="s">
        <v>488</v>
      </c>
    </row>
    <row r="2154" spans="1:1" x14ac:dyDescent="0.2">
      <c r="A2154" s="1" t="s">
        <v>480</v>
      </c>
    </row>
    <row r="2155" spans="1:1" x14ac:dyDescent="0.2">
      <c r="A2155" s="1" t="s">
        <v>480</v>
      </c>
    </row>
    <row r="2156" spans="1:1" x14ac:dyDescent="0.2">
      <c r="A2156" s="1" t="s">
        <v>480</v>
      </c>
    </row>
    <row r="2157" spans="1:1" x14ac:dyDescent="0.2">
      <c r="A2157" s="1" t="s">
        <v>481</v>
      </c>
    </row>
    <row r="2158" spans="1:1" x14ac:dyDescent="0.2">
      <c r="A2158" s="1" t="s">
        <v>482</v>
      </c>
    </row>
    <row r="2159" spans="1:1" x14ac:dyDescent="0.2">
      <c r="A2159" s="1" t="s">
        <v>483</v>
      </c>
    </row>
    <row r="2160" spans="1:1" x14ac:dyDescent="0.2">
      <c r="A2160" s="1" t="s">
        <v>484</v>
      </c>
    </row>
    <row r="2161" spans="1:1" x14ac:dyDescent="0.2">
      <c r="A2161" s="1" t="s">
        <v>485</v>
      </c>
    </row>
    <row r="2162" spans="1:1" x14ac:dyDescent="0.2">
      <c r="A2162" s="1" t="s">
        <v>486</v>
      </c>
    </row>
    <row r="2163" spans="1:1" x14ac:dyDescent="0.2">
      <c r="A2163" s="1" t="s">
        <v>487</v>
      </c>
    </row>
    <row r="2164" spans="1:1" x14ac:dyDescent="0.2">
      <c r="A2164" s="1" t="s">
        <v>488</v>
      </c>
    </row>
    <row r="2165" spans="1:1" x14ac:dyDescent="0.2">
      <c r="A2165" s="1" t="s">
        <v>480</v>
      </c>
    </row>
    <row r="2166" spans="1:1" x14ac:dyDescent="0.2">
      <c r="A2166" s="1" t="s">
        <v>480</v>
      </c>
    </row>
    <row r="2167" spans="1:1" x14ac:dyDescent="0.2">
      <c r="A2167" s="1" t="s">
        <v>480</v>
      </c>
    </row>
    <row r="2168" spans="1:1" x14ac:dyDescent="0.2">
      <c r="A2168" s="1" t="s">
        <v>481</v>
      </c>
    </row>
    <row r="2169" spans="1:1" x14ac:dyDescent="0.2">
      <c r="A2169" s="1" t="s">
        <v>482</v>
      </c>
    </row>
    <row r="2170" spans="1:1" x14ac:dyDescent="0.2">
      <c r="A2170" s="1" t="s">
        <v>483</v>
      </c>
    </row>
    <row r="2171" spans="1:1" x14ac:dyDescent="0.2">
      <c r="A2171" s="1" t="s">
        <v>484</v>
      </c>
    </row>
    <row r="2172" spans="1:1" x14ac:dyDescent="0.2">
      <c r="A2172" s="1" t="s">
        <v>485</v>
      </c>
    </row>
    <row r="2173" spans="1:1" x14ac:dyDescent="0.2">
      <c r="A2173" s="1" t="s">
        <v>486</v>
      </c>
    </row>
    <row r="2174" spans="1:1" x14ac:dyDescent="0.2">
      <c r="A2174" s="1" t="s">
        <v>487</v>
      </c>
    </row>
    <row r="2175" spans="1:1" x14ac:dyDescent="0.2">
      <c r="A2175" s="1" t="s">
        <v>488</v>
      </c>
    </row>
    <row r="2176" spans="1:1" x14ac:dyDescent="0.2">
      <c r="A2176" s="1" t="s">
        <v>480</v>
      </c>
    </row>
    <row r="2177" spans="1:1" x14ac:dyDescent="0.2">
      <c r="A2177" s="1" t="s">
        <v>480</v>
      </c>
    </row>
    <row r="2178" spans="1:1" x14ac:dyDescent="0.2">
      <c r="A2178" s="1" t="s">
        <v>480</v>
      </c>
    </row>
    <row r="2179" spans="1:1" x14ac:dyDescent="0.2">
      <c r="A2179" s="1" t="s">
        <v>481</v>
      </c>
    </row>
    <row r="2180" spans="1:1" x14ac:dyDescent="0.2">
      <c r="A2180" s="1" t="s">
        <v>482</v>
      </c>
    </row>
    <row r="2181" spans="1:1" x14ac:dyDescent="0.2">
      <c r="A2181" s="1" t="s">
        <v>483</v>
      </c>
    </row>
    <row r="2182" spans="1:1" x14ac:dyDescent="0.2">
      <c r="A2182" s="1" t="s">
        <v>484</v>
      </c>
    </row>
    <row r="2183" spans="1:1" x14ac:dyDescent="0.2">
      <c r="A2183" s="1" t="s">
        <v>485</v>
      </c>
    </row>
    <row r="2184" spans="1:1" x14ac:dyDescent="0.2">
      <c r="A2184" s="1" t="s">
        <v>486</v>
      </c>
    </row>
    <row r="2185" spans="1:1" x14ac:dyDescent="0.2">
      <c r="A2185" s="1" t="s">
        <v>487</v>
      </c>
    </row>
    <row r="2186" spans="1:1" x14ac:dyDescent="0.2">
      <c r="A2186" s="1" t="s">
        <v>489</v>
      </c>
    </row>
    <row r="2187" spans="1:1" x14ac:dyDescent="0.2">
      <c r="A2187" s="1" t="s">
        <v>490</v>
      </c>
    </row>
    <row r="2188" spans="1:1" x14ac:dyDescent="0.2">
      <c r="A2188" s="1" t="s">
        <v>490</v>
      </c>
    </row>
    <row r="2189" spans="1:1" x14ac:dyDescent="0.2">
      <c r="A2189" s="1" t="s">
        <v>490</v>
      </c>
    </row>
    <row r="2190" spans="1:1" x14ac:dyDescent="0.2">
      <c r="A2190" s="1" t="s">
        <v>491</v>
      </c>
    </row>
    <row r="2191" spans="1:1" x14ac:dyDescent="0.2">
      <c r="A2191" s="1" t="s">
        <v>492</v>
      </c>
    </row>
    <row r="2192" spans="1:1" x14ac:dyDescent="0.2">
      <c r="A2192" s="1" t="s">
        <v>493</v>
      </c>
    </row>
    <row r="2193" spans="1:1" x14ac:dyDescent="0.2">
      <c r="A2193" s="1" t="s">
        <v>494</v>
      </c>
    </row>
    <row r="2194" spans="1:1" x14ac:dyDescent="0.2">
      <c r="A2194" s="1" t="s">
        <v>495</v>
      </c>
    </row>
    <row r="2195" spans="1:1" x14ac:dyDescent="0.2">
      <c r="A2195" s="1" t="s">
        <v>496</v>
      </c>
    </row>
    <row r="2196" spans="1:1" x14ac:dyDescent="0.2">
      <c r="A2196" s="1" t="s">
        <v>497</v>
      </c>
    </row>
    <row r="2197" spans="1:1" x14ac:dyDescent="0.2">
      <c r="A2197" s="1" t="s">
        <v>489</v>
      </c>
    </row>
    <row r="2198" spans="1:1" x14ac:dyDescent="0.2">
      <c r="A2198" s="1" t="s">
        <v>490</v>
      </c>
    </row>
    <row r="2199" spans="1:1" x14ac:dyDescent="0.2">
      <c r="A2199" s="1" t="s">
        <v>498</v>
      </c>
    </row>
    <row r="2200" spans="1:1" x14ac:dyDescent="0.2">
      <c r="A2200" s="1" t="s">
        <v>498</v>
      </c>
    </row>
    <row r="2201" spans="1:1" x14ac:dyDescent="0.2">
      <c r="A2201" s="1" t="s">
        <v>499</v>
      </c>
    </row>
    <row r="2202" spans="1:1" x14ac:dyDescent="0.2">
      <c r="A2202" s="1" t="s">
        <v>500</v>
      </c>
    </row>
    <row r="2203" spans="1:1" x14ac:dyDescent="0.2">
      <c r="A2203" s="1" t="s">
        <v>501</v>
      </c>
    </row>
    <row r="2204" spans="1:1" x14ac:dyDescent="0.2">
      <c r="A2204" s="1" t="s">
        <v>502</v>
      </c>
    </row>
    <row r="2205" spans="1:1" x14ac:dyDescent="0.2">
      <c r="A2205" s="1" t="s">
        <v>503</v>
      </c>
    </row>
    <row r="2206" spans="1:1" x14ac:dyDescent="0.2">
      <c r="A2206" s="1" t="s">
        <v>504</v>
      </c>
    </row>
    <row r="2207" spans="1:1" x14ac:dyDescent="0.2">
      <c r="A2207" s="1" t="s">
        <v>505</v>
      </c>
    </row>
    <row r="2208" spans="1:1" x14ac:dyDescent="0.2">
      <c r="A2208" s="1" t="s">
        <v>506</v>
      </c>
    </row>
    <row r="2209" spans="1:1" x14ac:dyDescent="0.2">
      <c r="A2209" s="1" t="s">
        <v>498</v>
      </c>
    </row>
    <row r="2210" spans="1:1" x14ac:dyDescent="0.2">
      <c r="A2210" s="1" t="s">
        <v>498</v>
      </c>
    </row>
    <row r="2211" spans="1:1" x14ac:dyDescent="0.2">
      <c r="A2211" s="1" t="s">
        <v>498</v>
      </c>
    </row>
    <row r="2212" spans="1:1" x14ac:dyDescent="0.2">
      <c r="A2212" s="1" t="s">
        <v>499</v>
      </c>
    </row>
    <row r="2213" spans="1:1" x14ac:dyDescent="0.2">
      <c r="A2213" s="1" t="s">
        <v>500</v>
      </c>
    </row>
    <row r="2214" spans="1:1" x14ac:dyDescent="0.2">
      <c r="A2214" s="1" t="s">
        <v>501</v>
      </c>
    </row>
    <row r="2215" spans="1:1" x14ac:dyDescent="0.2">
      <c r="A2215" s="1" t="s">
        <v>502</v>
      </c>
    </row>
    <row r="2216" spans="1:1" x14ac:dyDescent="0.2">
      <c r="A2216" s="1" t="s">
        <v>503</v>
      </c>
    </row>
    <row r="2217" spans="1:1" x14ac:dyDescent="0.2">
      <c r="A2217" s="1" t="s">
        <v>504</v>
      </c>
    </row>
    <row r="2218" spans="1:1" x14ac:dyDescent="0.2">
      <c r="A2218" s="1" t="s">
        <v>505</v>
      </c>
    </row>
    <row r="2219" spans="1:1" x14ac:dyDescent="0.2">
      <c r="A2219" s="1" t="s">
        <v>506</v>
      </c>
    </row>
    <row r="2220" spans="1:1" x14ac:dyDescent="0.2">
      <c r="A2220" s="1" t="s">
        <v>498</v>
      </c>
    </row>
    <row r="2221" spans="1:1" x14ac:dyDescent="0.2">
      <c r="A2221" s="1" t="s">
        <v>498</v>
      </c>
    </row>
    <row r="2222" spans="1:1" x14ac:dyDescent="0.2">
      <c r="A2222" s="1" t="s">
        <v>498</v>
      </c>
    </row>
    <row r="2223" spans="1:1" x14ac:dyDescent="0.2">
      <c r="A2223" s="1" t="s">
        <v>499</v>
      </c>
    </row>
    <row r="2224" spans="1:1" x14ac:dyDescent="0.2">
      <c r="A2224" s="1" t="s">
        <v>500</v>
      </c>
    </row>
    <row r="2225" spans="1:1" x14ac:dyDescent="0.2">
      <c r="A2225" s="1" t="s">
        <v>501</v>
      </c>
    </row>
    <row r="2226" spans="1:1" x14ac:dyDescent="0.2">
      <c r="A2226" s="1" t="s">
        <v>502</v>
      </c>
    </row>
    <row r="2227" spans="1:1" x14ac:dyDescent="0.2">
      <c r="A2227" s="1" t="s">
        <v>503</v>
      </c>
    </row>
    <row r="2228" spans="1:1" x14ac:dyDescent="0.2">
      <c r="A2228" s="1" t="s">
        <v>504</v>
      </c>
    </row>
    <row r="2229" spans="1:1" x14ac:dyDescent="0.2">
      <c r="A2229" s="1" t="s">
        <v>505</v>
      </c>
    </row>
    <row r="2230" spans="1:1" x14ac:dyDescent="0.2">
      <c r="A2230" s="1" t="s">
        <v>506</v>
      </c>
    </row>
    <row r="2231" spans="1:1" x14ac:dyDescent="0.2">
      <c r="A2231" s="1" t="s">
        <v>498</v>
      </c>
    </row>
    <row r="2232" spans="1:1" x14ac:dyDescent="0.2">
      <c r="A2232" s="1" t="s">
        <v>498</v>
      </c>
    </row>
    <row r="2233" spans="1:1" x14ac:dyDescent="0.2">
      <c r="A2233" s="1" t="s">
        <v>498</v>
      </c>
    </row>
    <row r="2234" spans="1:1" x14ac:dyDescent="0.2">
      <c r="A2234" s="1" t="s">
        <v>499</v>
      </c>
    </row>
    <row r="2235" spans="1:1" x14ac:dyDescent="0.2">
      <c r="A2235" s="1" t="s">
        <v>500</v>
      </c>
    </row>
    <row r="2236" spans="1:1" x14ac:dyDescent="0.2">
      <c r="A2236" s="1" t="s">
        <v>501</v>
      </c>
    </row>
    <row r="2237" spans="1:1" x14ac:dyDescent="0.2">
      <c r="A2237" s="1" t="s">
        <v>502</v>
      </c>
    </row>
    <row r="2238" spans="1:1" x14ac:dyDescent="0.2">
      <c r="A2238" s="1" t="s">
        <v>503</v>
      </c>
    </row>
    <row r="2239" spans="1:1" x14ac:dyDescent="0.2">
      <c r="A2239" s="1" t="s">
        <v>504</v>
      </c>
    </row>
    <row r="2240" spans="1:1" x14ac:dyDescent="0.2">
      <c r="A2240" s="1" t="s">
        <v>505</v>
      </c>
    </row>
    <row r="2241" spans="1:1" x14ac:dyDescent="0.2">
      <c r="A2241" s="1" t="s">
        <v>506</v>
      </c>
    </row>
    <row r="2242" spans="1:1" x14ac:dyDescent="0.2">
      <c r="A2242" s="1" t="s">
        <v>498</v>
      </c>
    </row>
    <row r="2243" spans="1:1" x14ac:dyDescent="0.2">
      <c r="A2243" s="1" t="s">
        <v>507</v>
      </c>
    </row>
    <row r="2244" spans="1:1" x14ac:dyDescent="0.2">
      <c r="A2244" s="1" t="s">
        <v>507</v>
      </c>
    </row>
    <row r="2245" spans="1:1" x14ac:dyDescent="0.2">
      <c r="A2245" s="1" t="s">
        <v>508</v>
      </c>
    </row>
    <row r="2246" spans="1:1" x14ac:dyDescent="0.2">
      <c r="A2246" s="1" t="s">
        <v>509</v>
      </c>
    </row>
    <row r="2247" spans="1:1" x14ac:dyDescent="0.2">
      <c r="A2247" s="1" t="s">
        <v>510</v>
      </c>
    </row>
    <row r="2248" spans="1:1" x14ac:dyDescent="0.2">
      <c r="A2248" s="1" t="s">
        <v>511</v>
      </c>
    </row>
    <row r="2249" spans="1:1" x14ac:dyDescent="0.2">
      <c r="A2249" s="1" t="s">
        <v>512</v>
      </c>
    </row>
    <row r="2250" spans="1:1" x14ac:dyDescent="0.2">
      <c r="A2250" s="1" t="s">
        <v>513</v>
      </c>
    </row>
    <row r="2251" spans="1:1" x14ac:dyDescent="0.2">
      <c r="A2251" s="1" t="s">
        <v>514</v>
      </c>
    </row>
    <row r="2252" spans="1:1" x14ac:dyDescent="0.2">
      <c r="A2252" s="1" t="s">
        <v>515</v>
      </c>
    </row>
    <row r="2253" spans="1:1" x14ac:dyDescent="0.2">
      <c r="A2253" s="1" t="s">
        <v>507</v>
      </c>
    </row>
    <row r="2254" spans="1:1" x14ac:dyDescent="0.2">
      <c r="A2254" s="1" t="s">
        <v>507</v>
      </c>
    </row>
    <row r="2255" spans="1:1" x14ac:dyDescent="0.2">
      <c r="A2255" s="1" t="s">
        <v>507</v>
      </c>
    </row>
    <row r="2256" spans="1:1" x14ac:dyDescent="0.2">
      <c r="A2256" s="1" t="s">
        <v>508</v>
      </c>
    </row>
    <row r="2257" spans="1:1" x14ac:dyDescent="0.2">
      <c r="A2257" s="1" t="s">
        <v>509</v>
      </c>
    </row>
    <row r="2258" spans="1:1" x14ac:dyDescent="0.2">
      <c r="A2258" s="1" t="s">
        <v>510</v>
      </c>
    </row>
    <row r="2259" spans="1:1" x14ac:dyDescent="0.2">
      <c r="A2259" s="1" t="s">
        <v>511</v>
      </c>
    </row>
    <row r="2260" spans="1:1" x14ac:dyDescent="0.2">
      <c r="A2260" s="1" t="s">
        <v>512</v>
      </c>
    </row>
    <row r="2261" spans="1:1" x14ac:dyDescent="0.2">
      <c r="A2261" s="1" t="s">
        <v>513</v>
      </c>
    </row>
    <row r="2262" spans="1:1" x14ac:dyDescent="0.2">
      <c r="A2262" s="1" t="s">
        <v>514</v>
      </c>
    </row>
    <row r="2263" spans="1:1" x14ac:dyDescent="0.2">
      <c r="A2263" s="1" t="s">
        <v>515</v>
      </c>
    </row>
    <row r="2264" spans="1:1" x14ac:dyDescent="0.2">
      <c r="A2264" s="1" t="s">
        <v>507</v>
      </c>
    </row>
    <row r="2265" spans="1:1" x14ac:dyDescent="0.2">
      <c r="A2265" s="1" t="s">
        <v>507</v>
      </c>
    </row>
    <row r="2266" spans="1:1" x14ac:dyDescent="0.2">
      <c r="A2266" s="1" t="s">
        <v>507</v>
      </c>
    </row>
    <row r="2267" spans="1:1" x14ac:dyDescent="0.2">
      <c r="A2267" s="1" t="s">
        <v>508</v>
      </c>
    </row>
    <row r="2268" spans="1:1" x14ac:dyDescent="0.2">
      <c r="A2268" s="1" t="s">
        <v>509</v>
      </c>
    </row>
    <row r="2269" spans="1:1" x14ac:dyDescent="0.2">
      <c r="A2269" s="1" t="s">
        <v>510</v>
      </c>
    </row>
    <row r="2270" spans="1:1" x14ac:dyDescent="0.2">
      <c r="A2270" s="1" t="s">
        <v>511</v>
      </c>
    </row>
    <row r="2271" spans="1:1" x14ac:dyDescent="0.2">
      <c r="A2271" s="1" t="s">
        <v>512</v>
      </c>
    </row>
    <row r="2272" spans="1:1" x14ac:dyDescent="0.2">
      <c r="A2272" s="1" t="s">
        <v>513</v>
      </c>
    </row>
    <row r="2273" spans="1:1" x14ac:dyDescent="0.2">
      <c r="A2273" s="1" t="s">
        <v>514</v>
      </c>
    </row>
    <row r="2274" spans="1:1" x14ac:dyDescent="0.2">
      <c r="A2274" s="1" t="s">
        <v>515</v>
      </c>
    </row>
    <row r="2275" spans="1:1" x14ac:dyDescent="0.2">
      <c r="A2275" s="1" t="s">
        <v>507</v>
      </c>
    </row>
    <row r="2276" spans="1:1" x14ac:dyDescent="0.2">
      <c r="A2276" s="1" t="s">
        <v>507</v>
      </c>
    </row>
    <row r="2277" spans="1:1" x14ac:dyDescent="0.2">
      <c r="A2277" s="1" t="s">
        <v>507</v>
      </c>
    </row>
    <row r="2278" spans="1:1" x14ac:dyDescent="0.2">
      <c r="A2278" s="1" t="s">
        <v>508</v>
      </c>
    </row>
    <row r="2279" spans="1:1" x14ac:dyDescent="0.2">
      <c r="A2279" s="1" t="s">
        <v>509</v>
      </c>
    </row>
    <row r="2280" spans="1:1" x14ac:dyDescent="0.2">
      <c r="A2280" s="1" t="s">
        <v>510</v>
      </c>
    </row>
    <row r="2281" spans="1:1" x14ac:dyDescent="0.2">
      <c r="A2281" s="1" t="s">
        <v>511</v>
      </c>
    </row>
    <row r="2282" spans="1:1" x14ac:dyDescent="0.2">
      <c r="A2282" s="1" t="s">
        <v>512</v>
      </c>
    </row>
    <row r="2283" spans="1:1" x14ac:dyDescent="0.2">
      <c r="A2283" s="1" t="s">
        <v>513</v>
      </c>
    </row>
    <row r="2284" spans="1:1" x14ac:dyDescent="0.2">
      <c r="A2284" s="1" t="s">
        <v>514</v>
      </c>
    </row>
    <row r="2285" spans="1:1" x14ac:dyDescent="0.2">
      <c r="A2285" s="1" t="s">
        <v>515</v>
      </c>
    </row>
    <row r="2286" spans="1:1" x14ac:dyDescent="0.2">
      <c r="A2286" s="1" t="s">
        <v>507</v>
      </c>
    </row>
    <row r="2287" spans="1:1" x14ac:dyDescent="0.2">
      <c r="A2287" s="1" t="s">
        <v>517</v>
      </c>
    </row>
    <row r="2288" spans="1:1" x14ac:dyDescent="0.2">
      <c r="A2288" s="1" t="s">
        <v>518</v>
      </c>
    </row>
    <row r="2289" spans="1:1" x14ac:dyDescent="0.2">
      <c r="A2289" s="1" t="s">
        <v>519</v>
      </c>
    </row>
    <row r="2290" spans="1:1" x14ac:dyDescent="0.2">
      <c r="A2290" s="1" t="s">
        <v>520</v>
      </c>
    </row>
    <row r="2291" spans="1:1" x14ac:dyDescent="0.2">
      <c r="A2291" s="1" t="s">
        <v>519</v>
      </c>
    </row>
    <row r="2292" spans="1:1" x14ac:dyDescent="0.2">
      <c r="A2292" s="1" t="s">
        <v>520</v>
      </c>
    </row>
    <row r="2293" spans="1:1" x14ac:dyDescent="0.2">
      <c r="A2293" s="1" t="s">
        <v>521</v>
      </c>
    </row>
    <row r="2294" spans="1:1" x14ac:dyDescent="0.2">
      <c r="A2294" s="1" t="s">
        <v>522</v>
      </c>
    </row>
    <row r="2295" spans="1:1" x14ac:dyDescent="0.2">
      <c r="A2295" s="1" t="s">
        <v>523</v>
      </c>
    </row>
    <row r="2296" spans="1:1" x14ac:dyDescent="0.2">
      <c r="A2296" s="1" t="s">
        <v>524</v>
      </c>
    </row>
    <row r="2297" spans="1:1" x14ac:dyDescent="0.2">
      <c r="A2297" s="1" t="s">
        <v>525</v>
      </c>
    </row>
    <row r="2298" spans="1:1" x14ac:dyDescent="0.2">
      <c r="A2298" s="1" t="s">
        <v>526</v>
      </c>
    </row>
    <row r="2299" spans="1:1" x14ac:dyDescent="0.2">
      <c r="A2299" s="1" t="s">
        <v>527</v>
      </c>
    </row>
    <row r="2300" spans="1:1" x14ac:dyDescent="0.2">
      <c r="A2300" s="1" t="s">
        <v>528</v>
      </c>
    </row>
    <row r="2301" spans="1:1" x14ac:dyDescent="0.2">
      <c r="A2301" s="1" t="s">
        <v>519</v>
      </c>
    </row>
    <row r="2302" spans="1:1" x14ac:dyDescent="0.2">
      <c r="A2302" s="1" t="s">
        <v>520</v>
      </c>
    </row>
    <row r="2303" spans="1:1" x14ac:dyDescent="0.2">
      <c r="A2303" s="1" t="s">
        <v>519</v>
      </c>
    </row>
    <row r="2304" spans="1:1" x14ac:dyDescent="0.2">
      <c r="A2304" s="1" t="s">
        <v>520</v>
      </c>
    </row>
    <row r="2305" spans="1:1" x14ac:dyDescent="0.2">
      <c r="A2305" s="1" t="s">
        <v>519</v>
      </c>
    </row>
    <row r="2306" spans="1:1" x14ac:dyDescent="0.2">
      <c r="A2306" s="1" t="s">
        <v>520</v>
      </c>
    </row>
    <row r="2307" spans="1:1" x14ac:dyDescent="0.2">
      <c r="A2307" s="1" t="s">
        <v>521</v>
      </c>
    </row>
    <row r="2308" spans="1:1" x14ac:dyDescent="0.2">
      <c r="A2308" s="1" t="s">
        <v>522</v>
      </c>
    </row>
    <row r="2309" spans="1:1" x14ac:dyDescent="0.2">
      <c r="A2309" s="1" t="s">
        <v>523</v>
      </c>
    </row>
    <row r="2310" spans="1:1" x14ac:dyDescent="0.2">
      <c r="A2310" s="1" t="s">
        <v>524</v>
      </c>
    </row>
    <row r="2311" spans="1:1" x14ac:dyDescent="0.2">
      <c r="A2311" s="1" t="s">
        <v>525</v>
      </c>
    </row>
    <row r="2312" spans="1:1" x14ac:dyDescent="0.2">
      <c r="A2312" s="1" t="s">
        <v>526</v>
      </c>
    </row>
    <row r="2313" spans="1:1" x14ac:dyDescent="0.2">
      <c r="A2313" s="1" t="s">
        <v>527</v>
      </c>
    </row>
    <row r="2314" spans="1:1" x14ac:dyDescent="0.2">
      <c r="A2314" s="1" t="s">
        <v>528</v>
      </c>
    </row>
    <row r="2315" spans="1:1" x14ac:dyDescent="0.2">
      <c r="A2315" s="1" t="s">
        <v>519</v>
      </c>
    </row>
    <row r="2316" spans="1:1" x14ac:dyDescent="0.2">
      <c r="A2316" s="1" t="s">
        <v>520</v>
      </c>
    </row>
    <row r="2317" spans="1:1" x14ac:dyDescent="0.2">
      <c r="A2317" s="1" t="s">
        <v>519</v>
      </c>
    </row>
    <row r="2318" spans="1:1" x14ac:dyDescent="0.2">
      <c r="A2318" s="1" t="s">
        <v>520</v>
      </c>
    </row>
    <row r="2319" spans="1:1" x14ac:dyDescent="0.2">
      <c r="A2319" s="1" t="s">
        <v>519</v>
      </c>
    </row>
    <row r="2320" spans="1:1" x14ac:dyDescent="0.2">
      <c r="A2320" s="1" t="s">
        <v>520</v>
      </c>
    </row>
    <row r="2321" spans="1:1" x14ac:dyDescent="0.2">
      <c r="A2321" s="1" t="s">
        <v>521</v>
      </c>
    </row>
    <row r="2322" spans="1:1" x14ac:dyDescent="0.2">
      <c r="A2322" s="1" t="s">
        <v>522</v>
      </c>
    </row>
    <row r="2323" spans="1:1" x14ac:dyDescent="0.2">
      <c r="A2323" s="1" t="s">
        <v>523</v>
      </c>
    </row>
    <row r="2324" spans="1:1" x14ac:dyDescent="0.2">
      <c r="A2324" s="1" t="s">
        <v>524</v>
      </c>
    </row>
    <row r="2325" spans="1:1" x14ac:dyDescent="0.2">
      <c r="A2325" s="1" t="s">
        <v>525</v>
      </c>
    </row>
    <row r="2326" spans="1:1" x14ac:dyDescent="0.2">
      <c r="A2326" s="1" t="s">
        <v>526</v>
      </c>
    </row>
    <row r="2327" spans="1:1" x14ac:dyDescent="0.2">
      <c r="A2327" s="1" t="s">
        <v>527</v>
      </c>
    </row>
    <row r="2328" spans="1:1" x14ac:dyDescent="0.2">
      <c r="A2328" s="1" t="s">
        <v>528</v>
      </c>
    </row>
    <row r="2329" spans="1:1" x14ac:dyDescent="0.2">
      <c r="A2329" s="1" t="s">
        <v>519</v>
      </c>
    </row>
    <row r="2330" spans="1:1" x14ac:dyDescent="0.2">
      <c r="A2330" s="1" t="s">
        <v>520</v>
      </c>
    </row>
    <row r="2331" spans="1:1" x14ac:dyDescent="0.2">
      <c r="A2331" s="1" t="s">
        <v>519</v>
      </c>
    </row>
    <row r="2332" spans="1:1" x14ac:dyDescent="0.2">
      <c r="A2332" s="1" t="s">
        <v>520</v>
      </c>
    </row>
    <row r="2333" spans="1:1" x14ac:dyDescent="0.2">
      <c r="A2333" s="1" t="s">
        <v>519</v>
      </c>
    </row>
    <row r="2334" spans="1:1" x14ac:dyDescent="0.2">
      <c r="A2334" s="1" t="s">
        <v>520</v>
      </c>
    </row>
    <row r="2335" spans="1:1" x14ac:dyDescent="0.2">
      <c r="A2335" s="1" t="s">
        <v>521</v>
      </c>
    </row>
    <row r="2336" spans="1:1" x14ac:dyDescent="0.2">
      <c r="A2336" s="1" t="s">
        <v>522</v>
      </c>
    </row>
    <row r="2337" spans="1:1" x14ac:dyDescent="0.2">
      <c r="A2337" s="1" t="s">
        <v>523</v>
      </c>
    </row>
    <row r="2338" spans="1:1" x14ac:dyDescent="0.2">
      <c r="A2338" s="1" t="s">
        <v>524</v>
      </c>
    </row>
    <row r="2339" spans="1:1" x14ac:dyDescent="0.2">
      <c r="A2339" s="1" t="s">
        <v>525</v>
      </c>
    </row>
    <row r="2340" spans="1:1" x14ac:dyDescent="0.2">
      <c r="A2340" s="1" t="s">
        <v>526</v>
      </c>
    </row>
    <row r="2341" spans="1:1" x14ac:dyDescent="0.2">
      <c r="A2341" s="1" t="s">
        <v>527</v>
      </c>
    </row>
    <row r="2342" spans="1:1" x14ac:dyDescent="0.2">
      <c r="A2342" s="1" t="s">
        <v>528</v>
      </c>
    </row>
    <row r="2343" spans="1:1" x14ac:dyDescent="0.2">
      <c r="A2343" s="1" t="s">
        <v>519</v>
      </c>
    </row>
    <row r="2344" spans="1:1" x14ac:dyDescent="0.2">
      <c r="A2344" s="1" t="s">
        <v>520</v>
      </c>
    </row>
    <row r="2345" spans="1:1" x14ac:dyDescent="0.2">
      <c r="A2345" s="1" t="s">
        <v>519</v>
      </c>
    </row>
    <row r="2346" spans="1:1" x14ac:dyDescent="0.2">
      <c r="A2346" s="1" t="s">
        <v>520</v>
      </c>
    </row>
    <row r="2347" spans="1:1" x14ac:dyDescent="0.2">
      <c r="A2347" s="1" t="s">
        <v>519</v>
      </c>
    </row>
    <row r="2348" spans="1:1" x14ac:dyDescent="0.2">
      <c r="A2348" s="1" t="s">
        <v>520</v>
      </c>
    </row>
    <row r="2349" spans="1:1" x14ac:dyDescent="0.2">
      <c r="A2349" s="1" t="s">
        <v>521</v>
      </c>
    </row>
    <row r="2350" spans="1:1" x14ac:dyDescent="0.2">
      <c r="A2350" s="1" t="s">
        <v>522</v>
      </c>
    </row>
    <row r="2351" spans="1:1" x14ac:dyDescent="0.2">
      <c r="A2351" s="1" t="s">
        <v>523</v>
      </c>
    </row>
    <row r="2352" spans="1:1" x14ac:dyDescent="0.2">
      <c r="A2352" s="1" t="s">
        <v>524</v>
      </c>
    </row>
    <row r="2353" spans="1:1" x14ac:dyDescent="0.2">
      <c r="A2353" s="1" t="s">
        <v>525</v>
      </c>
    </row>
    <row r="2354" spans="1:1" x14ac:dyDescent="0.2">
      <c r="A2354" s="1" t="s">
        <v>526</v>
      </c>
    </row>
    <row r="2355" spans="1:1" x14ac:dyDescent="0.2">
      <c r="A2355" s="1" t="s">
        <v>527</v>
      </c>
    </row>
    <row r="2356" spans="1:1" x14ac:dyDescent="0.2">
      <c r="A2356" s="1" t="s">
        <v>528</v>
      </c>
    </row>
    <row r="2357" spans="1:1" x14ac:dyDescent="0.2">
      <c r="A2357" s="1" t="s">
        <v>519</v>
      </c>
    </row>
    <row r="2358" spans="1:1" x14ac:dyDescent="0.2">
      <c r="A2358" s="1" t="s">
        <v>520</v>
      </c>
    </row>
    <row r="2359" spans="1:1" x14ac:dyDescent="0.2">
      <c r="A2359" s="1" t="s">
        <v>519</v>
      </c>
    </row>
    <row r="2360" spans="1:1" x14ac:dyDescent="0.2">
      <c r="A2360" s="1" t="s">
        <v>520</v>
      </c>
    </row>
    <row r="2361" spans="1:1" x14ac:dyDescent="0.2">
      <c r="A2361" s="1" t="s">
        <v>519</v>
      </c>
    </row>
    <row r="2362" spans="1:1" x14ac:dyDescent="0.2">
      <c r="A2362" s="1" t="s">
        <v>520</v>
      </c>
    </row>
    <row r="2363" spans="1:1" x14ac:dyDescent="0.2">
      <c r="A2363" s="1" t="s">
        <v>521</v>
      </c>
    </row>
    <row r="2364" spans="1:1" x14ac:dyDescent="0.2">
      <c r="A2364" s="1" t="s">
        <v>522</v>
      </c>
    </row>
    <row r="2365" spans="1:1" x14ac:dyDescent="0.2">
      <c r="A2365" s="1" t="s">
        <v>523</v>
      </c>
    </row>
    <row r="2366" spans="1:1" x14ac:dyDescent="0.2">
      <c r="A2366" s="1" t="s">
        <v>524</v>
      </c>
    </row>
    <row r="2367" spans="1:1" x14ac:dyDescent="0.2">
      <c r="A2367" s="1" t="s">
        <v>525</v>
      </c>
    </row>
    <row r="2368" spans="1:1" x14ac:dyDescent="0.2">
      <c r="A2368" s="1" t="s">
        <v>526</v>
      </c>
    </row>
    <row r="2369" spans="1:1" x14ac:dyDescent="0.2">
      <c r="A2369" s="1" t="s">
        <v>527</v>
      </c>
    </row>
    <row r="2370" spans="1:1" x14ac:dyDescent="0.2">
      <c r="A2370" s="1" t="s">
        <v>528</v>
      </c>
    </row>
    <row r="2371" spans="1:1" x14ac:dyDescent="0.2">
      <c r="A2371" s="1" t="s">
        <v>519</v>
      </c>
    </row>
    <row r="2372" spans="1:1" x14ac:dyDescent="0.2">
      <c r="A2372" s="1" t="s">
        <v>520</v>
      </c>
    </row>
    <row r="2373" spans="1:1" x14ac:dyDescent="0.2">
      <c r="A2373" s="1" t="s">
        <v>519</v>
      </c>
    </row>
    <row r="2374" spans="1:1" x14ac:dyDescent="0.2">
      <c r="A2374" s="1" t="s">
        <v>520</v>
      </c>
    </row>
    <row r="2375" spans="1:1" x14ac:dyDescent="0.2">
      <c r="A2375" s="1" t="s">
        <v>519</v>
      </c>
    </row>
    <row r="2376" spans="1:1" x14ac:dyDescent="0.2">
      <c r="A2376" s="1" t="s">
        <v>520</v>
      </c>
    </row>
    <row r="2377" spans="1:1" x14ac:dyDescent="0.2">
      <c r="A2377" s="1" t="s">
        <v>521</v>
      </c>
    </row>
    <row r="2378" spans="1:1" x14ac:dyDescent="0.2">
      <c r="A2378" s="1" t="s">
        <v>522</v>
      </c>
    </row>
    <row r="2379" spans="1:1" x14ac:dyDescent="0.2">
      <c r="A2379" s="1" t="s">
        <v>523</v>
      </c>
    </row>
    <row r="2380" spans="1:1" x14ac:dyDescent="0.2">
      <c r="A2380" s="1" t="s">
        <v>524</v>
      </c>
    </row>
    <row r="2381" spans="1:1" x14ac:dyDescent="0.2">
      <c r="A2381" s="1" t="s">
        <v>525</v>
      </c>
    </row>
    <row r="2382" spans="1:1" x14ac:dyDescent="0.2">
      <c r="A2382" s="1" t="s">
        <v>526</v>
      </c>
    </row>
    <row r="2383" spans="1:1" x14ac:dyDescent="0.2">
      <c r="A2383" s="1" t="s">
        <v>527</v>
      </c>
    </row>
    <row r="2384" spans="1:1" x14ac:dyDescent="0.2">
      <c r="A2384" s="1" t="s">
        <v>528</v>
      </c>
    </row>
    <row r="2385" spans="1:1" x14ac:dyDescent="0.2">
      <c r="A2385" s="1" t="s">
        <v>519</v>
      </c>
    </row>
    <row r="2386" spans="1:1" x14ac:dyDescent="0.2">
      <c r="A2386" s="1" t="s">
        <v>520</v>
      </c>
    </row>
    <row r="2387" spans="1:1" x14ac:dyDescent="0.2">
      <c r="A2387" s="1" t="s">
        <v>519</v>
      </c>
    </row>
    <row r="2388" spans="1:1" x14ac:dyDescent="0.2">
      <c r="A2388" s="1" t="s">
        <v>520</v>
      </c>
    </row>
    <row r="2389" spans="1:1" x14ac:dyDescent="0.2">
      <c r="A2389" s="1" t="s">
        <v>529</v>
      </c>
    </row>
    <row r="2390" spans="1:1" x14ac:dyDescent="0.2">
      <c r="A2390" s="1" t="s">
        <v>530</v>
      </c>
    </row>
    <row r="2391" spans="1:1" x14ac:dyDescent="0.2">
      <c r="A2391" s="1" t="s">
        <v>531</v>
      </c>
    </row>
    <row r="2392" spans="1:1" x14ac:dyDescent="0.2">
      <c r="A2392" s="1" t="s">
        <v>532</v>
      </c>
    </row>
    <row r="2393" spans="1:1" x14ac:dyDescent="0.2">
      <c r="A2393" s="1" t="s">
        <v>533</v>
      </c>
    </row>
    <row r="2394" spans="1:1" x14ac:dyDescent="0.2">
      <c r="A2394" s="1" t="s">
        <v>534</v>
      </c>
    </row>
    <row r="2395" spans="1:1" x14ac:dyDescent="0.2">
      <c r="A2395" s="1" t="s">
        <v>535</v>
      </c>
    </row>
    <row r="2396" spans="1:1" x14ac:dyDescent="0.2">
      <c r="A2396" s="1" t="s">
        <v>536</v>
      </c>
    </row>
    <row r="2397" spans="1:1" x14ac:dyDescent="0.2">
      <c r="A2397" s="1" t="s">
        <v>537</v>
      </c>
    </row>
    <row r="2398" spans="1:1" x14ac:dyDescent="0.2">
      <c r="A2398" s="1" t="s">
        <v>538</v>
      </c>
    </row>
    <row r="2399" spans="1:1" x14ac:dyDescent="0.2">
      <c r="A2399" s="1" t="s">
        <v>529</v>
      </c>
    </row>
    <row r="2400" spans="1:1" x14ac:dyDescent="0.2">
      <c r="A2400" s="1" t="s">
        <v>530</v>
      </c>
    </row>
    <row r="2401" spans="1:1" x14ac:dyDescent="0.2">
      <c r="A2401" s="1" t="s">
        <v>539</v>
      </c>
    </row>
    <row r="2402" spans="1:1" x14ac:dyDescent="0.2">
      <c r="A2402" s="1" t="s">
        <v>540</v>
      </c>
    </row>
    <row r="2403" spans="1:1" x14ac:dyDescent="0.2">
      <c r="A2403" s="1" t="s">
        <v>539</v>
      </c>
    </row>
    <row r="2404" spans="1:1" x14ac:dyDescent="0.2">
      <c r="A2404" s="1" t="s">
        <v>540</v>
      </c>
    </row>
    <row r="2405" spans="1:1" x14ac:dyDescent="0.2">
      <c r="A2405" s="1" t="s">
        <v>541</v>
      </c>
    </row>
    <row r="2406" spans="1:1" x14ac:dyDescent="0.2">
      <c r="A2406" s="1" t="s">
        <v>542</v>
      </c>
    </row>
    <row r="2407" spans="1:1" x14ac:dyDescent="0.2">
      <c r="A2407" s="1" t="s">
        <v>543</v>
      </c>
    </row>
    <row r="2408" spans="1:1" x14ac:dyDescent="0.2">
      <c r="A2408" s="1" t="s">
        <v>544</v>
      </c>
    </row>
    <row r="2409" spans="1:1" x14ac:dyDescent="0.2">
      <c r="A2409" s="1" t="s">
        <v>545</v>
      </c>
    </row>
    <row r="2410" spans="1:1" x14ac:dyDescent="0.2">
      <c r="A2410" s="1" t="s">
        <v>546</v>
      </c>
    </row>
    <row r="2411" spans="1:1" x14ac:dyDescent="0.2">
      <c r="A2411" s="1" t="s">
        <v>547</v>
      </c>
    </row>
    <row r="2412" spans="1:1" x14ac:dyDescent="0.2">
      <c r="A2412" s="1" t="s">
        <v>548</v>
      </c>
    </row>
    <row r="2413" spans="1:1" x14ac:dyDescent="0.2">
      <c r="A2413" s="1" t="s">
        <v>539</v>
      </c>
    </row>
    <row r="2414" spans="1:1" x14ac:dyDescent="0.2">
      <c r="A2414" s="1" t="s">
        <v>540</v>
      </c>
    </row>
    <row r="2415" spans="1:1" x14ac:dyDescent="0.2">
      <c r="A2415" s="1" t="s">
        <v>539</v>
      </c>
    </row>
    <row r="2416" spans="1:1" x14ac:dyDescent="0.2">
      <c r="A2416" s="1" t="s">
        <v>540</v>
      </c>
    </row>
    <row r="2417" spans="1:1" x14ac:dyDescent="0.2">
      <c r="A2417" s="1" t="s">
        <v>539</v>
      </c>
    </row>
    <row r="2418" spans="1:1" x14ac:dyDescent="0.2">
      <c r="A2418" s="1" t="s">
        <v>540</v>
      </c>
    </row>
    <row r="2419" spans="1:1" x14ac:dyDescent="0.2">
      <c r="A2419" s="1" t="s">
        <v>541</v>
      </c>
    </row>
    <row r="2420" spans="1:1" x14ac:dyDescent="0.2">
      <c r="A2420" s="1" t="s">
        <v>542</v>
      </c>
    </row>
    <row r="2421" spans="1:1" x14ac:dyDescent="0.2">
      <c r="A2421" s="1" t="s">
        <v>543</v>
      </c>
    </row>
    <row r="2422" spans="1:1" x14ac:dyDescent="0.2">
      <c r="A2422" s="1" t="s">
        <v>544</v>
      </c>
    </row>
    <row r="2423" spans="1:1" x14ac:dyDescent="0.2">
      <c r="A2423" s="1" t="s">
        <v>545</v>
      </c>
    </row>
    <row r="2424" spans="1:1" x14ac:dyDescent="0.2">
      <c r="A2424" s="1" t="s">
        <v>546</v>
      </c>
    </row>
    <row r="2425" spans="1:1" x14ac:dyDescent="0.2">
      <c r="A2425" s="1" t="s">
        <v>547</v>
      </c>
    </row>
    <row r="2426" spans="1:1" x14ac:dyDescent="0.2">
      <c r="A2426" s="1" t="s">
        <v>548</v>
      </c>
    </row>
    <row r="2427" spans="1:1" x14ac:dyDescent="0.2">
      <c r="A2427" s="1" t="s">
        <v>539</v>
      </c>
    </row>
    <row r="2428" spans="1:1" x14ac:dyDescent="0.2">
      <c r="A2428" s="1" t="s">
        <v>540</v>
      </c>
    </row>
    <row r="2429" spans="1:1" x14ac:dyDescent="0.2">
      <c r="A2429" s="1" t="s">
        <v>539</v>
      </c>
    </row>
    <row r="2430" spans="1:1" x14ac:dyDescent="0.2">
      <c r="A2430" s="1" t="s">
        <v>540</v>
      </c>
    </row>
    <row r="2431" spans="1:1" x14ac:dyDescent="0.2">
      <c r="A2431" s="1" t="s">
        <v>539</v>
      </c>
    </row>
    <row r="2432" spans="1:1" x14ac:dyDescent="0.2">
      <c r="A2432" s="1" t="s">
        <v>540</v>
      </c>
    </row>
    <row r="2433" spans="1:1" x14ac:dyDescent="0.2">
      <c r="A2433" s="1" t="s">
        <v>541</v>
      </c>
    </row>
    <row r="2434" spans="1:1" x14ac:dyDescent="0.2">
      <c r="A2434" s="1" t="s">
        <v>542</v>
      </c>
    </row>
    <row r="2435" spans="1:1" x14ac:dyDescent="0.2">
      <c r="A2435" s="1" t="s">
        <v>543</v>
      </c>
    </row>
    <row r="2436" spans="1:1" x14ac:dyDescent="0.2">
      <c r="A2436" s="1" t="s">
        <v>544</v>
      </c>
    </row>
    <row r="2437" spans="1:1" x14ac:dyDescent="0.2">
      <c r="A2437" s="1" t="s">
        <v>545</v>
      </c>
    </row>
    <row r="2438" spans="1:1" x14ac:dyDescent="0.2">
      <c r="A2438" s="1" t="s">
        <v>546</v>
      </c>
    </row>
    <row r="2439" spans="1:1" x14ac:dyDescent="0.2">
      <c r="A2439" s="1" t="s">
        <v>547</v>
      </c>
    </row>
    <row r="2440" spans="1:1" x14ac:dyDescent="0.2">
      <c r="A2440" s="1" t="s">
        <v>548</v>
      </c>
    </row>
    <row r="2441" spans="1:1" x14ac:dyDescent="0.2">
      <c r="A2441" s="1" t="s">
        <v>539</v>
      </c>
    </row>
    <row r="2442" spans="1:1" x14ac:dyDescent="0.2">
      <c r="A2442" s="1" t="s">
        <v>540</v>
      </c>
    </row>
    <row r="2443" spans="1:1" x14ac:dyDescent="0.2">
      <c r="A2443" s="1" t="s">
        <v>539</v>
      </c>
    </row>
    <row r="2444" spans="1:1" x14ac:dyDescent="0.2">
      <c r="A2444" s="1" t="s">
        <v>540</v>
      </c>
    </row>
    <row r="2445" spans="1:1" x14ac:dyDescent="0.2">
      <c r="A2445" s="1" t="s">
        <v>539</v>
      </c>
    </row>
    <row r="2446" spans="1:1" x14ac:dyDescent="0.2">
      <c r="A2446" s="1" t="s">
        <v>540</v>
      </c>
    </row>
    <row r="2447" spans="1:1" x14ac:dyDescent="0.2">
      <c r="A2447" s="1" t="s">
        <v>541</v>
      </c>
    </row>
    <row r="2448" spans="1:1" x14ac:dyDescent="0.2">
      <c r="A2448" s="1" t="s">
        <v>542</v>
      </c>
    </row>
    <row r="2449" spans="1:1" x14ac:dyDescent="0.2">
      <c r="A2449" s="1" t="s">
        <v>543</v>
      </c>
    </row>
    <row r="2450" spans="1:1" x14ac:dyDescent="0.2">
      <c r="A2450" s="1" t="s">
        <v>544</v>
      </c>
    </row>
    <row r="2451" spans="1:1" x14ac:dyDescent="0.2">
      <c r="A2451" s="1" t="s">
        <v>545</v>
      </c>
    </row>
    <row r="2452" spans="1:1" x14ac:dyDescent="0.2">
      <c r="A2452" s="1" t="s">
        <v>546</v>
      </c>
    </row>
    <row r="2453" spans="1:1" x14ac:dyDescent="0.2">
      <c r="A2453" s="1" t="s">
        <v>547</v>
      </c>
    </row>
    <row r="2454" spans="1:1" x14ac:dyDescent="0.2">
      <c r="A2454" s="1" t="s">
        <v>548</v>
      </c>
    </row>
    <row r="2455" spans="1:1" x14ac:dyDescent="0.2">
      <c r="A2455" s="1" t="s">
        <v>539</v>
      </c>
    </row>
    <row r="2456" spans="1:1" x14ac:dyDescent="0.2">
      <c r="A2456" s="1" t="s">
        <v>540</v>
      </c>
    </row>
    <row r="2457" spans="1:1" x14ac:dyDescent="0.2">
      <c r="A2457" s="1" t="s">
        <v>539</v>
      </c>
    </row>
    <row r="2458" spans="1:1" x14ac:dyDescent="0.2">
      <c r="A2458" s="1" t="s">
        <v>540</v>
      </c>
    </row>
    <row r="2459" spans="1:1" x14ac:dyDescent="0.2">
      <c r="A2459" s="1" t="s">
        <v>539</v>
      </c>
    </row>
    <row r="2460" spans="1:1" x14ac:dyDescent="0.2">
      <c r="A2460" s="1" t="s">
        <v>540</v>
      </c>
    </row>
    <row r="2461" spans="1:1" x14ac:dyDescent="0.2">
      <c r="A2461" s="1" t="s">
        <v>541</v>
      </c>
    </row>
    <row r="2462" spans="1:1" x14ac:dyDescent="0.2">
      <c r="A2462" s="1" t="s">
        <v>542</v>
      </c>
    </row>
    <row r="2463" spans="1:1" x14ac:dyDescent="0.2">
      <c r="A2463" s="1" t="s">
        <v>543</v>
      </c>
    </row>
    <row r="2464" spans="1:1" x14ac:dyDescent="0.2">
      <c r="A2464" s="1" t="s">
        <v>544</v>
      </c>
    </row>
    <row r="2465" spans="1:1" x14ac:dyDescent="0.2">
      <c r="A2465" s="1" t="s">
        <v>545</v>
      </c>
    </row>
    <row r="2466" spans="1:1" x14ac:dyDescent="0.2">
      <c r="A2466" s="1" t="s">
        <v>546</v>
      </c>
    </row>
    <row r="2467" spans="1:1" x14ac:dyDescent="0.2">
      <c r="A2467" s="1" t="s">
        <v>547</v>
      </c>
    </row>
    <row r="2468" spans="1:1" x14ac:dyDescent="0.2">
      <c r="A2468" s="1" t="s">
        <v>548</v>
      </c>
    </row>
    <row r="2469" spans="1:1" x14ac:dyDescent="0.2">
      <c r="A2469" s="1" t="s">
        <v>539</v>
      </c>
    </row>
    <row r="2470" spans="1:1" x14ac:dyDescent="0.2">
      <c r="A2470" s="1" t="s">
        <v>540</v>
      </c>
    </row>
    <row r="2471" spans="1:1" x14ac:dyDescent="0.2">
      <c r="A2471" s="1" t="s">
        <v>539</v>
      </c>
    </row>
    <row r="2472" spans="1:1" x14ac:dyDescent="0.2">
      <c r="A2472" s="1" t="s">
        <v>540</v>
      </c>
    </row>
    <row r="2473" spans="1:1" x14ac:dyDescent="0.2">
      <c r="A2473" s="1" t="s">
        <v>539</v>
      </c>
    </row>
    <row r="2474" spans="1:1" x14ac:dyDescent="0.2">
      <c r="A2474" s="1" t="s">
        <v>540</v>
      </c>
    </row>
    <row r="2475" spans="1:1" x14ac:dyDescent="0.2">
      <c r="A2475" s="1" t="s">
        <v>541</v>
      </c>
    </row>
    <row r="2476" spans="1:1" x14ac:dyDescent="0.2">
      <c r="A2476" s="1" t="s">
        <v>542</v>
      </c>
    </row>
    <row r="2477" spans="1:1" x14ac:dyDescent="0.2">
      <c r="A2477" s="1" t="s">
        <v>543</v>
      </c>
    </row>
    <row r="2478" spans="1:1" x14ac:dyDescent="0.2">
      <c r="A2478" s="1" t="s">
        <v>544</v>
      </c>
    </row>
    <row r="2479" spans="1:1" x14ac:dyDescent="0.2">
      <c r="A2479" s="1" t="s">
        <v>545</v>
      </c>
    </row>
    <row r="2480" spans="1:1" x14ac:dyDescent="0.2">
      <c r="A2480" s="1" t="s">
        <v>546</v>
      </c>
    </row>
    <row r="2481" spans="1:1" x14ac:dyDescent="0.2">
      <c r="A2481" s="1" t="s">
        <v>547</v>
      </c>
    </row>
    <row r="2482" spans="1:1" x14ac:dyDescent="0.2">
      <c r="A2482" s="1" t="s">
        <v>548</v>
      </c>
    </row>
    <row r="2483" spans="1:1" x14ac:dyDescent="0.2">
      <c r="A2483" s="1" t="s">
        <v>539</v>
      </c>
    </row>
    <row r="2484" spans="1:1" x14ac:dyDescent="0.2">
      <c r="A2484" s="1" t="s">
        <v>540</v>
      </c>
    </row>
    <row r="2485" spans="1:1" x14ac:dyDescent="0.2">
      <c r="A2485" s="1" t="s">
        <v>539</v>
      </c>
    </row>
    <row r="2486" spans="1:1" x14ac:dyDescent="0.2">
      <c r="A2486" s="1" t="s">
        <v>540</v>
      </c>
    </row>
    <row r="2487" spans="1:1" x14ac:dyDescent="0.2">
      <c r="A2487" s="1" t="s">
        <v>539</v>
      </c>
    </row>
    <row r="2488" spans="1:1" x14ac:dyDescent="0.2">
      <c r="A2488" s="1" t="s">
        <v>540</v>
      </c>
    </row>
    <row r="2489" spans="1:1" x14ac:dyDescent="0.2">
      <c r="A2489" s="1" t="s">
        <v>541</v>
      </c>
    </row>
    <row r="2490" spans="1:1" x14ac:dyDescent="0.2">
      <c r="A2490" s="1" t="s">
        <v>542</v>
      </c>
    </row>
    <row r="2491" spans="1:1" x14ac:dyDescent="0.2">
      <c r="A2491" s="1" t="s">
        <v>543</v>
      </c>
    </row>
    <row r="2492" spans="1:1" x14ac:dyDescent="0.2">
      <c r="A2492" s="1" t="s">
        <v>544</v>
      </c>
    </row>
    <row r="2493" spans="1:1" x14ac:dyDescent="0.2">
      <c r="A2493" s="1" t="s">
        <v>545</v>
      </c>
    </row>
    <row r="2494" spans="1:1" x14ac:dyDescent="0.2">
      <c r="A2494" s="1" t="s">
        <v>546</v>
      </c>
    </row>
    <row r="2495" spans="1:1" x14ac:dyDescent="0.2">
      <c r="A2495" s="1" t="s">
        <v>547</v>
      </c>
    </row>
    <row r="2496" spans="1:1" x14ac:dyDescent="0.2">
      <c r="A2496" s="1" t="s">
        <v>548</v>
      </c>
    </row>
    <row r="2497" spans="1:1" x14ac:dyDescent="0.2">
      <c r="A2497" s="1" t="s">
        <v>539</v>
      </c>
    </row>
    <row r="2498" spans="1:1" x14ac:dyDescent="0.2">
      <c r="A2498" s="1" t="s">
        <v>540</v>
      </c>
    </row>
    <row r="2499" spans="1:1" x14ac:dyDescent="0.2">
      <c r="A2499" s="1" t="s">
        <v>539</v>
      </c>
    </row>
    <row r="2500" spans="1:1" x14ac:dyDescent="0.2">
      <c r="A2500" s="1" t="s">
        <v>540</v>
      </c>
    </row>
    <row r="2501" spans="1:1" x14ac:dyDescent="0.2">
      <c r="A2501" s="1" t="s">
        <v>539</v>
      </c>
    </row>
    <row r="2502" spans="1:1" x14ac:dyDescent="0.2">
      <c r="A2502" s="1" t="s">
        <v>540</v>
      </c>
    </row>
    <row r="2503" spans="1:1" x14ac:dyDescent="0.2">
      <c r="A2503" s="1" t="s">
        <v>541</v>
      </c>
    </row>
    <row r="2504" spans="1:1" x14ac:dyDescent="0.2">
      <c r="A2504" s="1" t="s">
        <v>542</v>
      </c>
    </row>
    <row r="2505" spans="1:1" x14ac:dyDescent="0.2">
      <c r="A2505" s="1" t="s">
        <v>543</v>
      </c>
    </row>
    <row r="2506" spans="1:1" x14ac:dyDescent="0.2">
      <c r="A2506" s="1" t="s">
        <v>544</v>
      </c>
    </row>
    <row r="2507" spans="1:1" x14ac:dyDescent="0.2">
      <c r="A2507" s="1" t="s">
        <v>545</v>
      </c>
    </row>
    <row r="2508" spans="1:1" x14ac:dyDescent="0.2">
      <c r="A2508" s="1" t="s">
        <v>546</v>
      </c>
    </row>
    <row r="2509" spans="1:1" x14ac:dyDescent="0.2">
      <c r="A2509" s="1" t="s">
        <v>547</v>
      </c>
    </row>
    <row r="2510" spans="1:1" x14ac:dyDescent="0.2">
      <c r="A2510" s="1" t="s">
        <v>548</v>
      </c>
    </row>
    <row r="2511" spans="1:1" x14ac:dyDescent="0.2">
      <c r="A2511" s="1" t="s">
        <v>539</v>
      </c>
    </row>
    <row r="2512" spans="1:1" x14ac:dyDescent="0.2">
      <c r="A2512" s="1" t="s">
        <v>540</v>
      </c>
    </row>
    <row r="2513" spans="1:1" x14ac:dyDescent="0.2">
      <c r="A2513" s="1" t="s">
        <v>549</v>
      </c>
    </row>
    <row r="2514" spans="1:1" x14ac:dyDescent="0.2">
      <c r="A2514" s="1" t="s">
        <v>549</v>
      </c>
    </row>
    <row r="2515" spans="1:1" x14ac:dyDescent="0.2">
      <c r="A2515" s="1" t="s">
        <v>550</v>
      </c>
    </row>
    <row r="2516" spans="1:1" x14ac:dyDescent="0.2">
      <c r="A2516" s="1" t="s">
        <v>550</v>
      </c>
    </row>
    <row r="2517" spans="1:1" x14ac:dyDescent="0.2">
      <c r="A2517" s="1" t="s">
        <v>550</v>
      </c>
    </row>
    <row r="2518" spans="1:1" x14ac:dyDescent="0.2">
      <c r="A2518" s="1" t="s">
        <v>551</v>
      </c>
    </row>
    <row r="2519" spans="1:1" x14ac:dyDescent="0.2">
      <c r="A2519" s="1" t="s">
        <v>552</v>
      </c>
    </row>
    <row r="2520" spans="1:1" x14ac:dyDescent="0.2">
      <c r="A2520" s="1" t="s">
        <v>551</v>
      </c>
    </row>
    <row r="2521" spans="1:1" x14ac:dyDescent="0.2">
      <c r="A2521" s="1" t="s">
        <v>552</v>
      </c>
    </row>
    <row r="2522" spans="1:1" x14ac:dyDescent="0.2">
      <c r="A2522" s="1" t="s">
        <v>553</v>
      </c>
    </row>
    <row r="2523" spans="1:1" x14ac:dyDescent="0.2">
      <c r="A2523" s="1" t="s">
        <v>554</v>
      </c>
    </row>
    <row r="2524" spans="1:1" x14ac:dyDescent="0.2">
      <c r="A2524" s="1" t="s">
        <v>555</v>
      </c>
    </row>
    <row r="2525" spans="1:1" x14ac:dyDescent="0.2">
      <c r="A2525" s="1" t="s">
        <v>556</v>
      </c>
    </row>
    <row r="2526" spans="1:1" x14ac:dyDescent="0.2">
      <c r="A2526" s="1" t="s">
        <v>557</v>
      </c>
    </row>
    <row r="2527" spans="1:1" x14ac:dyDescent="0.2">
      <c r="A2527" s="1" t="s">
        <v>558</v>
      </c>
    </row>
    <row r="2528" spans="1:1" x14ac:dyDescent="0.2">
      <c r="A2528" s="1" t="s">
        <v>559</v>
      </c>
    </row>
    <row r="2529" spans="1:1" x14ac:dyDescent="0.2">
      <c r="A2529" s="1" t="s">
        <v>560</v>
      </c>
    </row>
    <row r="2530" spans="1:1" x14ac:dyDescent="0.2">
      <c r="A2530" s="1" t="s">
        <v>551</v>
      </c>
    </row>
    <row r="2531" spans="1:1" x14ac:dyDescent="0.2">
      <c r="A2531" s="1" t="s">
        <v>552</v>
      </c>
    </row>
    <row r="2532" spans="1:1" x14ac:dyDescent="0.2">
      <c r="A2532" s="1" t="s">
        <v>551</v>
      </c>
    </row>
    <row r="2533" spans="1:1" x14ac:dyDescent="0.2">
      <c r="A2533" s="1" t="s">
        <v>552</v>
      </c>
    </row>
    <row r="2534" spans="1:1" x14ac:dyDescent="0.2">
      <c r="A2534" s="1" t="s">
        <v>551</v>
      </c>
    </row>
    <row r="2535" spans="1:1" x14ac:dyDescent="0.2">
      <c r="A2535" s="1" t="s">
        <v>552</v>
      </c>
    </row>
    <row r="2536" spans="1:1" x14ac:dyDescent="0.2">
      <c r="A2536" s="1" t="s">
        <v>553</v>
      </c>
    </row>
    <row r="2537" spans="1:1" x14ac:dyDescent="0.2">
      <c r="A2537" s="1" t="s">
        <v>554</v>
      </c>
    </row>
    <row r="2538" spans="1:1" x14ac:dyDescent="0.2">
      <c r="A2538" s="1" t="s">
        <v>555</v>
      </c>
    </row>
    <row r="2539" spans="1:1" x14ac:dyDescent="0.2">
      <c r="A2539" s="1" t="s">
        <v>556</v>
      </c>
    </row>
    <row r="2540" spans="1:1" x14ac:dyDescent="0.2">
      <c r="A2540" s="1" t="s">
        <v>557</v>
      </c>
    </row>
    <row r="2541" spans="1:1" x14ac:dyDescent="0.2">
      <c r="A2541" s="1" t="s">
        <v>558</v>
      </c>
    </row>
    <row r="2542" spans="1:1" x14ac:dyDescent="0.2">
      <c r="A2542" s="1" t="s">
        <v>559</v>
      </c>
    </row>
    <row r="2543" spans="1:1" x14ac:dyDescent="0.2">
      <c r="A2543" s="1" t="s">
        <v>560</v>
      </c>
    </row>
    <row r="2544" spans="1:1" x14ac:dyDescent="0.2">
      <c r="A2544" s="1" t="s">
        <v>551</v>
      </c>
    </row>
    <row r="2545" spans="1:1" x14ac:dyDescent="0.2">
      <c r="A2545" s="1" t="s">
        <v>552</v>
      </c>
    </row>
    <row r="2546" spans="1:1" x14ac:dyDescent="0.2">
      <c r="A2546" s="1" t="s">
        <v>551</v>
      </c>
    </row>
    <row r="2547" spans="1:1" x14ac:dyDescent="0.2">
      <c r="A2547" s="1" t="s">
        <v>552</v>
      </c>
    </row>
    <row r="2548" spans="1:1" x14ac:dyDescent="0.2">
      <c r="A2548" s="1" t="s">
        <v>551</v>
      </c>
    </row>
    <row r="2549" spans="1:1" x14ac:dyDescent="0.2">
      <c r="A2549" s="1" t="s">
        <v>552</v>
      </c>
    </row>
    <row r="2550" spans="1:1" x14ac:dyDescent="0.2">
      <c r="A2550" s="1" t="s">
        <v>553</v>
      </c>
    </row>
    <row r="2551" spans="1:1" x14ac:dyDescent="0.2">
      <c r="A2551" s="1" t="s">
        <v>554</v>
      </c>
    </row>
    <row r="2552" spans="1:1" x14ac:dyDescent="0.2">
      <c r="A2552" s="1" t="s">
        <v>555</v>
      </c>
    </row>
    <row r="2553" spans="1:1" x14ac:dyDescent="0.2">
      <c r="A2553" s="1" t="s">
        <v>556</v>
      </c>
    </row>
    <row r="2554" spans="1:1" x14ac:dyDescent="0.2">
      <c r="A2554" s="1" t="s">
        <v>557</v>
      </c>
    </row>
    <row r="2555" spans="1:1" x14ac:dyDescent="0.2">
      <c r="A2555" s="1" t="s">
        <v>558</v>
      </c>
    </row>
    <row r="2556" spans="1:1" x14ac:dyDescent="0.2">
      <c r="A2556" s="1" t="s">
        <v>559</v>
      </c>
    </row>
    <row r="2557" spans="1:1" x14ac:dyDescent="0.2">
      <c r="A2557" s="1" t="s">
        <v>560</v>
      </c>
    </row>
    <row r="2558" spans="1:1" x14ac:dyDescent="0.2">
      <c r="A2558" s="1" t="s">
        <v>551</v>
      </c>
    </row>
    <row r="2559" spans="1:1" x14ac:dyDescent="0.2">
      <c r="A2559" s="1" t="s">
        <v>552</v>
      </c>
    </row>
    <row r="2560" spans="1:1" x14ac:dyDescent="0.2">
      <c r="A2560" s="1" t="s">
        <v>551</v>
      </c>
    </row>
    <row r="2561" spans="1:1" x14ac:dyDescent="0.2">
      <c r="A2561" s="1" t="s">
        <v>552</v>
      </c>
    </row>
    <row r="2562" spans="1:1" x14ac:dyDescent="0.2">
      <c r="A2562" s="1" t="s">
        <v>551</v>
      </c>
    </row>
    <row r="2563" spans="1:1" x14ac:dyDescent="0.2">
      <c r="A2563" s="1" t="s">
        <v>552</v>
      </c>
    </row>
    <row r="2564" spans="1:1" x14ac:dyDescent="0.2">
      <c r="A2564" s="1" t="s">
        <v>553</v>
      </c>
    </row>
    <row r="2565" spans="1:1" x14ac:dyDescent="0.2">
      <c r="A2565" s="1" t="s">
        <v>554</v>
      </c>
    </row>
    <row r="2566" spans="1:1" x14ac:dyDescent="0.2">
      <c r="A2566" s="1" t="s">
        <v>555</v>
      </c>
    </row>
    <row r="2567" spans="1:1" x14ac:dyDescent="0.2">
      <c r="A2567" s="1" t="s">
        <v>556</v>
      </c>
    </row>
    <row r="2568" spans="1:1" x14ac:dyDescent="0.2">
      <c r="A2568" s="1" t="s">
        <v>557</v>
      </c>
    </row>
    <row r="2569" spans="1:1" x14ac:dyDescent="0.2">
      <c r="A2569" s="1" t="s">
        <v>558</v>
      </c>
    </row>
    <row r="2570" spans="1:1" x14ac:dyDescent="0.2">
      <c r="A2570" s="1" t="s">
        <v>559</v>
      </c>
    </row>
    <row r="2571" spans="1:1" x14ac:dyDescent="0.2">
      <c r="A2571" s="1" t="s">
        <v>560</v>
      </c>
    </row>
    <row r="2572" spans="1:1" x14ac:dyDescent="0.2">
      <c r="A2572" s="1" t="s">
        <v>551</v>
      </c>
    </row>
    <row r="2573" spans="1:1" x14ac:dyDescent="0.2">
      <c r="A2573" s="1" t="s">
        <v>552</v>
      </c>
    </row>
    <row r="2574" spans="1:1" x14ac:dyDescent="0.2">
      <c r="A2574" s="1" t="s">
        <v>551</v>
      </c>
    </row>
    <row r="2575" spans="1:1" x14ac:dyDescent="0.2">
      <c r="A2575" s="1" t="s">
        <v>552</v>
      </c>
    </row>
    <row r="2576" spans="1:1" x14ac:dyDescent="0.2">
      <c r="A2576" s="1" t="s">
        <v>551</v>
      </c>
    </row>
    <row r="2577" spans="1:1" x14ac:dyDescent="0.2">
      <c r="A2577" s="1" t="s">
        <v>552</v>
      </c>
    </row>
    <row r="2578" spans="1:1" x14ac:dyDescent="0.2">
      <c r="A2578" s="1" t="s">
        <v>553</v>
      </c>
    </row>
    <row r="2579" spans="1:1" x14ac:dyDescent="0.2">
      <c r="A2579" s="1" t="s">
        <v>554</v>
      </c>
    </row>
    <row r="2580" spans="1:1" x14ac:dyDescent="0.2">
      <c r="A2580" s="1" t="s">
        <v>555</v>
      </c>
    </row>
    <row r="2581" spans="1:1" x14ac:dyDescent="0.2">
      <c r="A2581" s="1" t="s">
        <v>556</v>
      </c>
    </row>
    <row r="2582" spans="1:1" x14ac:dyDescent="0.2">
      <c r="A2582" s="1" t="s">
        <v>557</v>
      </c>
    </row>
    <row r="2583" spans="1:1" x14ac:dyDescent="0.2">
      <c r="A2583" s="1" t="s">
        <v>558</v>
      </c>
    </row>
    <row r="2584" spans="1:1" x14ac:dyDescent="0.2">
      <c r="A2584" s="1" t="s">
        <v>559</v>
      </c>
    </row>
    <row r="2585" spans="1:1" x14ac:dyDescent="0.2">
      <c r="A2585" s="1" t="s">
        <v>560</v>
      </c>
    </row>
    <row r="2586" spans="1:1" x14ac:dyDescent="0.2">
      <c r="A2586" s="1" t="s">
        <v>551</v>
      </c>
    </row>
    <row r="2587" spans="1:1" x14ac:dyDescent="0.2">
      <c r="A2587" s="1" t="s">
        <v>552</v>
      </c>
    </row>
    <row r="2588" spans="1:1" x14ac:dyDescent="0.2">
      <c r="A2588" s="1" t="s">
        <v>551</v>
      </c>
    </row>
    <row r="2589" spans="1:1" x14ac:dyDescent="0.2">
      <c r="A2589" s="1" t="s">
        <v>552</v>
      </c>
    </row>
    <row r="2590" spans="1:1" x14ac:dyDescent="0.2">
      <c r="A2590" s="1" t="s">
        <v>551</v>
      </c>
    </row>
    <row r="2591" spans="1:1" x14ac:dyDescent="0.2">
      <c r="A2591" s="1" t="s">
        <v>552</v>
      </c>
    </row>
    <row r="2592" spans="1:1" x14ac:dyDescent="0.2">
      <c r="A2592" s="1" t="s">
        <v>553</v>
      </c>
    </row>
    <row r="2593" spans="1:1" x14ac:dyDescent="0.2">
      <c r="A2593" s="1" t="s">
        <v>554</v>
      </c>
    </row>
    <row r="2594" spans="1:1" x14ac:dyDescent="0.2">
      <c r="A2594" s="1" t="s">
        <v>555</v>
      </c>
    </row>
    <row r="2595" spans="1:1" x14ac:dyDescent="0.2">
      <c r="A2595" s="1" t="s">
        <v>556</v>
      </c>
    </row>
    <row r="2596" spans="1:1" x14ac:dyDescent="0.2">
      <c r="A2596" s="1" t="s">
        <v>557</v>
      </c>
    </row>
    <row r="2597" spans="1:1" x14ac:dyDescent="0.2">
      <c r="A2597" s="1" t="s">
        <v>558</v>
      </c>
    </row>
    <row r="2598" spans="1:1" x14ac:dyDescent="0.2">
      <c r="A2598" s="1" t="s">
        <v>559</v>
      </c>
    </row>
    <row r="2599" spans="1:1" x14ac:dyDescent="0.2">
      <c r="A2599" s="1" t="s">
        <v>560</v>
      </c>
    </row>
    <row r="2600" spans="1:1" x14ac:dyDescent="0.2">
      <c r="A2600" s="1" t="s">
        <v>551</v>
      </c>
    </row>
    <row r="2601" spans="1:1" x14ac:dyDescent="0.2">
      <c r="A2601" s="1" t="s">
        <v>552</v>
      </c>
    </row>
    <row r="2602" spans="1:1" x14ac:dyDescent="0.2">
      <c r="A2602" s="1" t="s">
        <v>551</v>
      </c>
    </row>
    <row r="2603" spans="1:1" x14ac:dyDescent="0.2">
      <c r="A2603" s="1" t="s">
        <v>552</v>
      </c>
    </row>
    <row r="2604" spans="1:1" x14ac:dyDescent="0.2">
      <c r="A2604" s="1" t="s">
        <v>551</v>
      </c>
    </row>
    <row r="2605" spans="1:1" x14ac:dyDescent="0.2">
      <c r="A2605" s="1" t="s">
        <v>552</v>
      </c>
    </row>
    <row r="2606" spans="1:1" x14ac:dyDescent="0.2">
      <c r="A2606" s="1" t="s">
        <v>553</v>
      </c>
    </row>
    <row r="2607" spans="1:1" x14ac:dyDescent="0.2">
      <c r="A2607" s="1" t="s">
        <v>554</v>
      </c>
    </row>
    <row r="2608" spans="1:1" x14ac:dyDescent="0.2">
      <c r="A2608" s="1" t="s">
        <v>555</v>
      </c>
    </row>
    <row r="2609" spans="1:1" x14ac:dyDescent="0.2">
      <c r="A2609" s="1" t="s">
        <v>556</v>
      </c>
    </row>
    <row r="2610" spans="1:1" x14ac:dyDescent="0.2">
      <c r="A2610" s="1" t="s">
        <v>557</v>
      </c>
    </row>
    <row r="2611" spans="1:1" x14ac:dyDescent="0.2">
      <c r="A2611" s="1" t="s">
        <v>558</v>
      </c>
    </row>
    <row r="2612" spans="1:1" x14ac:dyDescent="0.2">
      <c r="A2612" s="1" t="s">
        <v>559</v>
      </c>
    </row>
    <row r="2613" spans="1:1" x14ac:dyDescent="0.2">
      <c r="A2613" s="1" t="s">
        <v>560</v>
      </c>
    </row>
    <row r="2614" spans="1:1" x14ac:dyDescent="0.2">
      <c r="A2614" s="1" t="s">
        <v>551</v>
      </c>
    </row>
    <row r="2615" spans="1:1" x14ac:dyDescent="0.2">
      <c r="A2615" s="1" t="s">
        <v>552</v>
      </c>
    </row>
    <row r="2616" spans="1:1" x14ac:dyDescent="0.2">
      <c r="A2616" s="1" t="s">
        <v>551</v>
      </c>
    </row>
    <row r="2617" spans="1:1" x14ac:dyDescent="0.2">
      <c r="A2617" s="1" t="s">
        <v>552</v>
      </c>
    </row>
    <row r="2618" spans="1:1" x14ac:dyDescent="0.2">
      <c r="A2618" s="1" t="s">
        <v>551</v>
      </c>
    </row>
    <row r="2619" spans="1:1" x14ac:dyDescent="0.2">
      <c r="A2619" s="1" t="s">
        <v>552</v>
      </c>
    </row>
    <row r="2620" spans="1:1" x14ac:dyDescent="0.2">
      <c r="A2620" s="1" t="s">
        <v>553</v>
      </c>
    </row>
    <row r="2621" spans="1:1" x14ac:dyDescent="0.2">
      <c r="A2621" s="1" t="s">
        <v>554</v>
      </c>
    </row>
    <row r="2622" spans="1:1" x14ac:dyDescent="0.2">
      <c r="A2622" s="1" t="s">
        <v>555</v>
      </c>
    </row>
    <row r="2623" spans="1:1" x14ac:dyDescent="0.2">
      <c r="A2623" s="1" t="s">
        <v>556</v>
      </c>
    </row>
    <row r="2624" spans="1:1" x14ac:dyDescent="0.2">
      <c r="A2624" s="1" t="s">
        <v>557</v>
      </c>
    </row>
    <row r="2625" spans="1:1" x14ac:dyDescent="0.2">
      <c r="A2625" s="1" t="s">
        <v>558</v>
      </c>
    </row>
    <row r="2626" spans="1:1" x14ac:dyDescent="0.2">
      <c r="A2626" s="1" t="s">
        <v>559</v>
      </c>
    </row>
    <row r="2627" spans="1:1" x14ac:dyDescent="0.2">
      <c r="A2627" s="1" t="s">
        <v>560</v>
      </c>
    </row>
    <row r="2628" spans="1:1" x14ac:dyDescent="0.2">
      <c r="A2628" s="1" t="s">
        <v>551</v>
      </c>
    </row>
    <row r="2629" spans="1:1" x14ac:dyDescent="0.2">
      <c r="A2629" s="1" t="s">
        <v>552</v>
      </c>
    </row>
    <row r="2630" spans="1:1" x14ac:dyDescent="0.2">
      <c r="A2630" s="1" t="s">
        <v>562</v>
      </c>
    </row>
    <row r="2631" spans="1:1" x14ac:dyDescent="0.2">
      <c r="A2631" s="1" t="s">
        <v>563</v>
      </c>
    </row>
    <row r="2632" spans="1:1" x14ac:dyDescent="0.2">
      <c r="A2632" s="1" t="s">
        <v>562</v>
      </c>
    </row>
    <row r="2633" spans="1:1" x14ac:dyDescent="0.2">
      <c r="A2633" s="1" t="s">
        <v>563</v>
      </c>
    </row>
    <row r="2634" spans="1:1" x14ac:dyDescent="0.2">
      <c r="A2634" s="1" t="s">
        <v>564</v>
      </c>
    </row>
    <row r="2635" spans="1:1" x14ac:dyDescent="0.2">
      <c r="A2635" s="1" t="s">
        <v>565</v>
      </c>
    </row>
    <row r="2636" spans="1:1" x14ac:dyDescent="0.2">
      <c r="A2636" s="1" t="s">
        <v>566</v>
      </c>
    </row>
    <row r="2637" spans="1:1" x14ac:dyDescent="0.2">
      <c r="A2637" s="1" t="s">
        <v>567</v>
      </c>
    </row>
    <row r="2638" spans="1:1" x14ac:dyDescent="0.2">
      <c r="A2638" s="1" t="s">
        <v>568</v>
      </c>
    </row>
    <row r="2639" spans="1:1" x14ac:dyDescent="0.2">
      <c r="A2639" s="1" t="s">
        <v>569</v>
      </c>
    </row>
    <row r="2640" spans="1:1" x14ac:dyDescent="0.2">
      <c r="A2640" s="1" t="s">
        <v>570</v>
      </c>
    </row>
    <row r="2641" spans="1:1" x14ac:dyDescent="0.2">
      <c r="A2641" s="1" t="s">
        <v>571</v>
      </c>
    </row>
    <row r="2642" spans="1:1" x14ac:dyDescent="0.2">
      <c r="A2642" s="1" t="s">
        <v>562</v>
      </c>
    </row>
    <row r="2643" spans="1:1" x14ac:dyDescent="0.2">
      <c r="A2643" s="1" t="s">
        <v>563</v>
      </c>
    </row>
    <row r="2644" spans="1:1" x14ac:dyDescent="0.2">
      <c r="A2644" s="1" t="s">
        <v>562</v>
      </c>
    </row>
    <row r="2645" spans="1:1" x14ac:dyDescent="0.2">
      <c r="A2645" s="1" t="s">
        <v>563</v>
      </c>
    </row>
    <row r="2646" spans="1:1" x14ac:dyDescent="0.2">
      <c r="A2646" s="1" t="s">
        <v>562</v>
      </c>
    </row>
    <row r="2647" spans="1:1" x14ac:dyDescent="0.2">
      <c r="A2647" s="1" t="s">
        <v>563</v>
      </c>
    </row>
    <row r="2648" spans="1:1" x14ac:dyDescent="0.2">
      <c r="A2648" s="1" t="s">
        <v>564</v>
      </c>
    </row>
    <row r="2649" spans="1:1" x14ac:dyDescent="0.2">
      <c r="A2649" s="1" t="s">
        <v>565</v>
      </c>
    </row>
    <row r="2650" spans="1:1" x14ac:dyDescent="0.2">
      <c r="A2650" s="1" t="s">
        <v>566</v>
      </c>
    </row>
    <row r="2651" spans="1:1" x14ac:dyDescent="0.2">
      <c r="A2651" s="1" t="s">
        <v>567</v>
      </c>
    </row>
    <row r="2652" spans="1:1" x14ac:dyDescent="0.2">
      <c r="A2652" s="1" t="s">
        <v>568</v>
      </c>
    </row>
    <row r="2653" spans="1:1" x14ac:dyDescent="0.2">
      <c r="A2653" s="1" t="s">
        <v>569</v>
      </c>
    </row>
    <row r="2654" spans="1:1" x14ac:dyDescent="0.2">
      <c r="A2654" s="1" t="s">
        <v>570</v>
      </c>
    </row>
    <row r="2655" spans="1:1" x14ac:dyDescent="0.2">
      <c r="A2655" s="1" t="s">
        <v>571</v>
      </c>
    </row>
    <row r="2656" spans="1:1" x14ac:dyDescent="0.2">
      <c r="A2656" s="1" t="s">
        <v>562</v>
      </c>
    </row>
    <row r="2657" spans="1:1" x14ac:dyDescent="0.2">
      <c r="A2657" s="1" t="s">
        <v>563</v>
      </c>
    </row>
    <row r="2658" spans="1:1" x14ac:dyDescent="0.2">
      <c r="A2658" s="1" t="s">
        <v>562</v>
      </c>
    </row>
    <row r="2659" spans="1:1" x14ac:dyDescent="0.2">
      <c r="A2659" s="1" t="s">
        <v>563</v>
      </c>
    </row>
    <row r="2660" spans="1:1" x14ac:dyDescent="0.2">
      <c r="A2660" s="1" t="s">
        <v>562</v>
      </c>
    </row>
    <row r="2661" spans="1:1" x14ac:dyDescent="0.2">
      <c r="A2661" s="1" t="s">
        <v>563</v>
      </c>
    </row>
    <row r="2662" spans="1:1" x14ac:dyDescent="0.2">
      <c r="A2662" s="1" t="s">
        <v>564</v>
      </c>
    </row>
    <row r="2663" spans="1:1" x14ac:dyDescent="0.2">
      <c r="A2663" s="1" t="s">
        <v>565</v>
      </c>
    </row>
    <row r="2664" spans="1:1" x14ac:dyDescent="0.2">
      <c r="A2664" s="1" t="s">
        <v>566</v>
      </c>
    </row>
    <row r="2665" spans="1:1" x14ac:dyDescent="0.2">
      <c r="A2665" s="1" t="s">
        <v>567</v>
      </c>
    </row>
    <row r="2666" spans="1:1" x14ac:dyDescent="0.2">
      <c r="A2666" s="1" t="s">
        <v>568</v>
      </c>
    </row>
    <row r="2667" spans="1:1" x14ac:dyDescent="0.2">
      <c r="A2667" s="1" t="s">
        <v>569</v>
      </c>
    </row>
    <row r="2668" spans="1:1" x14ac:dyDescent="0.2">
      <c r="A2668" s="1" t="s">
        <v>570</v>
      </c>
    </row>
    <row r="2669" spans="1:1" x14ac:dyDescent="0.2">
      <c r="A2669" s="1" t="s">
        <v>571</v>
      </c>
    </row>
    <row r="2670" spans="1:1" x14ac:dyDescent="0.2">
      <c r="A2670" s="1" t="s">
        <v>562</v>
      </c>
    </row>
    <row r="2671" spans="1:1" x14ac:dyDescent="0.2">
      <c r="A2671" s="1" t="s">
        <v>563</v>
      </c>
    </row>
    <row r="2672" spans="1:1" x14ac:dyDescent="0.2">
      <c r="A2672" s="1" t="s">
        <v>562</v>
      </c>
    </row>
    <row r="2673" spans="1:1" x14ac:dyDescent="0.2">
      <c r="A2673" s="1" t="s">
        <v>563</v>
      </c>
    </row>
    <row r="2674" spans="1:1" x14ac:dyDescent="0.2">
      <c r="A2674" s="1" t="s">
        <v>562</v>
      </c>
    </row>
    <row r="2675" spans="1:1" x14ac:dyDescent="0.2">
      <c r="A2675" s="1" t="s">
        <v>563</v>
      </c>
    </row>
    <row r="2676" spans="1:1" x14ac:dyDescent="0.2">
      <c r="A2676" s="1" t="s">
        <v>564</v>
      </c>
    </row>
    <row r="2677" spans="1:1" x14ac:dyDescent="0.2">
      <c r="A2677" s="1" t="s">
        <v>565</v>
      </c>
    </row>
    <row r="2678" spans="1:1" x14ac:dyDescent="0.2">
      <c r="A2678" s="1" t="s">
        <v>566</v>
      </c>
    </row>
    <row r="2679" spans="1:1" x14ac:dyDescent="0.2">
      <c r="A2679" s="1" t="s">
        <v>567</v>
      </c>
    </row>
    <row r="2680" spans="1:1" x14ac:dyDescent="0.2">
      <c r="A2680" s="1" t="s">
        <v>568</v>
      </c>
    </row>
    <row r="2681" spans="1:1" x14ac:dyDescent="0.2">
      <c r="A2681" s="1" t="s">
        <v>569</v>
      </c>
    </row>
    <row r="2682" spans="1:1" x14ac:dyDescent="0.2">
      <c r="A2682" s="1" t="s">
        <v>570</v>
      </c>
    </row>
    <row r="2683" spans="1:1" x14ac:dyDescent="0.2">
      <c r="A2683" s="1" t="s">
        <v>571</v>
      </c>
    </row>
    <row r="2684" spans="1:1" x14ac:dyDescent="0.2">
      <c r="A2684" s="1" t="s">
        <v>562</v>
      </c>
    </row>
    <row r="2685" spans="1:1" x14ac:dyDescent="0.2">
      <c r="A2685" s="1" t="s">
        <v>563</v>
      </c>
    </row>
    <row r="2686" spans="1:1" x14ac:dyDescent="0.2">
      <c r="A2686" s="1" t="s">
        <v>562</v>
      </c>
    </row>
    <row r="2687" spans="1:1" x14ac:dyDescent="0.2">
      <c r="A2687" s="1" t="s">
        <v>563</v>
      </c>
    </row>
    <row r="2688" spans="1:1" x14ac:dyDescent="0.2">
      <c r="A2688" s="1" t="s">
        <v>562</v>
      </c>
    </row>
    <row r="2689" spans="1:1" x14ac:dyDescent="0.2">
      <c r="A2689" s="1" t="s">
        <v>563</v>
      </c>
    </row>
    <row r="2690" spans="1:1" x14ac:dyDescent="0.2">
      <c r="A2690" s="1" t="s">
        <v>564</v>
      </c>
    </row>
    <row r="2691" spans="1:1" x14ac:dyDescent="0.2">
      <c r="A2691" s="1" t="s">
        <v>565</v>
      </c>
    </row>
    <row r="2692" spans="1:1" x14ac:dyDescent="0.2">
      <c r="A2692" s="1" t="s">
        <v>566</v>
      </c>
    </row>
    <row r="2693" spans="1:1" x14ac:dyDescent="0.2">
      <c r="A2693" s="1" t="s">
        <v>567</v>
      </c>
    </row>
    <row r="2694" spans="1:1" x14ac:dyDescent="0.2">
      <c r="A2694" s="1" t="s">
        <v>568</v>
      </c>
    </row>
    <row r="2695" spans="1:1" x14ac:dyDescent="0.2">
      <c r="A2695" s="1" t="s">
        <v>569</v>
      </c>
    </row>
    <row r="2696" spans="1:1" x14ac:dyDescent="0.2">
      <c r="A2696" s="1" t="s">
        <v>570</v>
      </c>
    </row>
    <row r="2697" spans="1:1" x14ac:dyDescent="0.2">
      <c r="A2697" s="1" t="s">
        <v>571</v>
      </c>
    </row>
    <row r="2698" spans="1:1" x14ac:dyDescent="0.2">
      <c r="A2698" s="1" t="s">
        <v>562</v>
      </c>
    </row>
    <row r="2699" spans="1:1" x14ac:dyDescent="0.2">
      <c r="A2699" s="1" t="s">
        <v>563</v>
      </c>
    </row>
    <row r="2700" spans="1:1" x14ac:dyDescent="0.2">
      <c r="A2700" s="1" t="s">
        <v>562</v>
      </c>
    </row>
    <row r="2701" spans="1:1" x14ac:dyDescent="0.2">
      <c r="A2701" s="1" t="s">
        <v>563</v>
      </c>
    </row>
    <row r="2702" spans="1:1" x14ac:dyDescent="0.2">
      <c r="A2702" s="1" t="s">
        <v>562</v>
      </c>
    </row>
    <row r="2703" spans="1:1" x14ac:dyDescent="0.2">
      <c r="A2703" s="1" t="s">
        <v>563</v>
      </c>
    </row>
    <row r="2704" spans="1:1" x14ac:dyDescent="0.2">
      <c r="A2704" s="1" t="s">
        <v>564</v>
      </c>
    </row>
    <row r="2705" spans="1:1" x14ac:dyDescent="0.2">
      <c r="A2705" s="1" t="s">
        <v>565</v>
      </c>
    </row>
    <row r="2706" spans="1:1" x14ac:dyDescent="0.2">
      <c r="A2706" s="1" t="s">
        <v>566</v>
      </c>
    </row>
    <row r="2707" spans="1:1" x14ac:dyDescent="0.2">
      <c r="A2707" s="1" t="s">
        <v>567</v>
      </c>
    </row>
    <row r="2708" spans="1:1" x14ac:dyDescent="0.2">
      <c r="A2708" s="1" t="s">
        <v>568</v>
      </c>
    </row>
    <row r="2709" spans="1:1" x14ac:dyDescent="0.2">
      <c r="A2709" s="1" t="s">
        <v>569</v>
      </c>
    </row>
    <row r="2710" spans="1:1" x14ac:dyDescent="0.2">
      <c r="A2710" s="1" t="s">
        <v>570</v>
      </c>
    </row>
    <row r="2711" spans="1:1" x14ac:dyDescent="0.2">
      <c r="A2711" s="1" t="s">
        <v>571</v>
      </c>
    </row>
    <row r="2712" spans="1:1" x14ac:dyDescent="0.2">
      <c r="A2712" s="1" t="s">
        <v>562</v>
      </c>
    </row>
    <row r="2713" spans="1:1" x14ac:dyDescent="0.2">
      <c r="A2713" s="1" t="s">
        <v>563</v>
      </c>
    </row>
    <row r="2714" spans="1:1" x14ac:dyDescent="0.2">
      <c r="A2714" s="1" t="s">
        <v>562</v>
      </c>
    </row>
    <row r="2715" spans="1:1" x14ac:dyDescent="0.2">
      <c r="A2715" s="1" t="s">
        <v>563</v>
      </c>
    </row>
    <row r="2716" spans="1:1" x14ac:dyDescent="0.2">
      <c r="A2716" s="1" t="s">
        <v>562</v>
      </c>
    </row>
    <row r="2717" spans="1:1" x14ac:dyDescent="0.2">
      <c r="A2717" s="1" t="s">
        <v>563</v>
      </c>
    </row>
    <row r="2718" spans="1:1" x14ac:dyDescent="0.2">
      <c r="A2718" s="1" t="s">
        <v>564</v>
      </c>
    </row>
    <row r="2719" spans="1:1" x14ac:dyDescent="0.2">
      <c r="A2719" s="1" t="s">
        <v>565</v>
      </c>
    </row>
    <row r="2720" spans="1:1" x14ac:dyDescent="0.2">
      <c r="A2720" s="1" t="s">
        <v>566</v>
      </c>
    </row>
    <row r="2721" spans="1:1" x14ac:dyDescent="0.2">
      <c r="A2721" s="1" t="s">
        <v>567</v>
      </c>
    </row>
    <row r="2722" spans="1:1" x14ac:dyDescent="0.2">
      <c r="A2722" s="1" t="s">
        <v>568</v>
      </c>
    </row>
    <row r="2723" spans="1:1" x14ac:dyDescent="0.2">
      <c r="A2723" s="1" t="s">
        <v>569</v>
      </c>
    </row>
    <row r="2724" spans="1:1" x14ac:dyDescent="0.2">
      <c r="A2724" s="1" t="s">
        <v>570</v>
      </c>
    </row>
    <row r="2725" spans="1:1" x14ac:dyDescent="0.2">
      <c r="A2725" s="1" t="s">
        <v>571</v>
      </c>
    </row>
    <row r="2726" spans="1:1" x14ac:dyDescent="0.2">
      <c r="A2726" s="1" t="s">
        <v>562</v>
      </c>
    </row>
    <row r="2727" spans="1:1" x14ac:dyDescent="0.2">
      <c r="A2727" s="1" t="s">
        <v>563</v>
      </c>
    </row>
    <row r="2728" spans="1:1" x14ac:dyDescent="0.2">
      <c r="A2728" s="1" t="s">
        <v>562</v>
      </c>
    </row>
    <row r="2729" spans="1:1" x14ac:dyDescent="0.2">
      <c r="A2729" s="1" t="s">
        <v>563</v>
      </c>
    </row>
    <row r="2730" spans="1:1" x14ac:dyDescent="0.2">
      <c r="A2730" s="1" t="s">
        <v>562</v>
      </c>
    </row>
    <row r="2731" spans="1:1" x14ac:dyDescent="0.2">
      <c r="A2731" s="1" t="s">
        <v>563</v>
      </c>
    </row>
    <row r="2732" spans="1:1" x14ac:dyDescent="0.2">
      <c r="A2732" s="1" t="s">
        <v>564</v>
      </c>
    </row>
    <row r="2733" spans="1:1" x14ac:dyDescent="0.2">
      <c r="A2733" s="1" t="s">
        <v>565</v>
      </c>
    </row>
    <row r="2734" spans="1:1" x14ac:dyDescent="0.2">
      <c r="A2734" s="1" t="s">
        <v>566</v>
      </c>
    </row>
    <row r="2735" spans="1:1" x14ac:dyDescent="0.2">
      <c r="A2735" s="1" t="s">
        <v>567</v>
      </c>
    </row>
    <row r="2736" spans="1:1" x14ac:dyDescent="0.2">
      <c r="A2736" s="1" t="s">
        <v>568</v>
      </c>
    </row>
    <row r="2737" spans="1:1" x14ac:dyDescent="0.2">
      <c r="A2737" s="1" t="s">
        <v>569</v>
      </c>
    </row>
    <row r="2738" spans="1:1" x14ac:dyDescent="0.2">
      <c r="A2738" s="1" t="s">
        <v>570</v>
      </c>
    </row>
    <row r="2739" spans="1:1" x14ac:dyDescent="0.2">
      <c r="A2739" s="1" t="s">
        <v>571</v>
      </c>
    </row>
    <row r="2740" spans="1:1" x14ac:dyDescent="0.2">
      <c r="A2740" s="1" t="s">
        <v>562</v>
      </c>
    </row>
    <row r="2741" spans="1:1" x14ac:dyDescent="0.2">
      <c r="A2741" s="1" t="s">
        <v>563</v>
      </c>
    </row>
    <row r="2742" spans="1:1" x14ac:dyDescent="0.2">
      <c r="A2742" s="1" t="s">
        <v>573</v>
      </c>
    </row>
    <row r="2743" spans="1:1" x14ac:dyDescent="0.2">
      <c r="A2743" s="1" t="s">
        <v>574</v>
      </c>
    </row>
    <row r="2744" spans="1:1" x14ac:dyDescent="0.2">
      <c r="A2744" s="1" t="s">
        <v>573</v>
      </c>
    </row>
    <row r="2745" spans="1:1" x14ac:dyDescent="0.2">
      <c r="A2745" s="1" t="s">
        <v>574</v>
      </c>
    </row>
    <row r="2746" spans="1:1" x14ac:dyDescent="0.2">
      <c r="A2746" s="1" t="s">
        <v>575</v>
      </c>
    </row>
    <row r="2747" spans="1:1" x14ac:dyDescent="0.2">
      <c r="A2747" s="1" t="s">
        <v>576</v>
      </c>
    </row>
    <row r="2748" spans="1:1" x14ac:dyDescent="0.2">
      <c r="A2748" s="1" t="s">
        <v>577</v>
      </c>
    </row>
    <row r="2749" spans="1:1" x14ac:dyDescent="0.2">
      <c r="A2749" s="1" t="s">
        <v>578</v>
      </c>
    </row>
    <row r="2750" spans="1:1" x14ac:dyDescent="0.2">
      <c r="A2750" s="1" t="s">
        <v>579</v>
      </c>
    </row>
    <row r="2751" spans="1:1" x14ac:dyDescent="0.2">
      <c r="A2751" s="1" t="s">
        <v>580</v>
      </c>
    </row>
    <row r="2752" spans="1:1" x14ac:dyDescent="0.2">
      <c r="A2752" s="1" t="s">
        <v>581</v>
      </c>
    </row>
    <row r="2753" spans="1:1" x14ac:dyDescent="0.2">
      <c r="A2753" s="1" t="s">
        <v>582</v>
      </c>
    </row>
    <row r="2754" spans="1:1" x14ac:dyDescent="0.2">
      <c r="A2754" s="1" t="s">
        <v>573</v>
      </c>
    </row>
    <row r="2755" spans="1:1" x14ac:dyDescent="0.2">
      <c r="A2755" s="1" t="s">
        <v>574</v>
      </c>
    </row>
    <row r="2756" spans="1:1" x14ac:dyDescent="0.2">
      <c r="A2756" s="1" t="s">
        <v>573</v>
      </c>
    </row>
    <row r="2757" spans="1:1" x14ac:dyDescent="0.2">
      <c r="A2757" s="1" t="s">
        <v>574</v>
      </c>
    </row>
    <row r="2758" spans="1:1" x14ac:dyDescent="0.2">
      <c r="A2758" s="1" t="s">
        <v>573</v>
      </c>
    </row>
    <row r="2759" spans="1:1" x14ac:dyDescent="0.2">
      <c r="A2759" s="1" t="s">
        <v>574</v>
      </c>
    </row>
    <row r="2760" spans="1:1" x14ac:dyDescent="0.2">
      <c r="A2760" s="1" t="s">
        <v>575</v>
      </c>
    </row>
    <row r="2761" spans="1:1" x14ac:dyDescent="0.2">
      <c r="A2761" s="1" t="s">
        <v>576</v>
      </c>
    </row>
    <row r="2762" spans="1:1" x14ac:dyDescent="0.2">
      <c r="A2762" s="1" t="s">
        <v>577</v>
      </c>
    </row>
    <row r="2763" spans="1:1" x14ac:dyDescent="0.2">
      <c r="A2763" s="1" t="s">
        <v>578</v>
      </c>
    </row>
    <row r="2764" spans="1:1" x14ac:dyDescent="0.2">
      <c r="A2764" s="1" t="s">
        <v>579</v>
      </c>
    </row>
    <row r="2765" spans="1:1" x14ac:dyDescent="0.2">
      <c r="A2765" s="1" t="s">
        <v>580</v>
      </c>
    </row>
    <row r="2766" spans="1:1" x14ac:dyDescent="0.2">
      <c r="A2766" s="1" t="s">
        <v>581</v>
      </c>
    </row>
    <row r="2767" spans="1:1" x14ac:dyDescent="0.2">
      <c r="A2767" s="1" t="s">
        <v>582</v>
      </c>
    </row>
    <row r="2768" spans="1:1" x14ac:dyDescent="0.2">
      <c r="A2768" s="1" t="s">
        <v>573</v>
      </c>
    </row>
    <row r="2769" spans="1:1" x14ac:dyDescent="0.2">
      <c r="A2769" s="1" t="s">
        <v>574</v>
      </c>
    </row>
    <row r="2770" spans="1:1" x14ac:dyDescent="0.2">
      <c r="A2770" s="1" t="s">
        <v>573</v>
      </c>
    </row>
    <row r="2771" spans="1:1" x14ac:dyDescent="0.2">
      <c r="A2771" s="1" t="s">
        <v>574</v>
      </c>
    </row>
    <row r="2772" spans="1:1" x14ac:dyDescent="0.2">
      <c r="A2772" s="1" t="s">
        <v>573</v>
      </c>
    </row>
    <row r="2773" spans="1:1" x14ac:dyDescent="0.2">
      <c r="A2773" s="1" t="s">
        <v>574</v>
      </c>
    </row>
    <row r="2774" spans="1:1" x14ac:dyDescent="0.2">
      <c r="A2774" s="1" t="s">
        <v>575</v>
      </c>
    </row>
    <row r="2775" spans="1:1" x14ac:dyDescent="0.2">
      <c r="A2775" s="1" t="s">
        <v>576</v>
      </c>
    </row>
    <row r="2776" spans="1:1" x14ac:dyDescent="0.2">
      <c r="A2776" s="1" t="s">
        <v>577</v>
      </c>
    </row>
    <row r="2777" spans="1:1" x14ac:dyDescent="0.2">
      <c r="A2777" s="1" t="s">
        <v>578</v>
      </c>
    </row>
    <row r="2778" spans="1:1" x14ac:dyDescent="0.2">
      <c r="A2778" s="1" t="s">
        <v>579</v>
      </c>
    </row>
    <row r="2779" spans="1:1" x14ac:dyDescent="0.2">
      <c r="A2779" s="1" t="s">
        <v>580</v>
      </c>
    </row>
    <row r="2780" spans="1:1" x14ac:dyDescent="0.2">
      <c r="A2780" s="1" t="s">
        <v>581</v>
      </c>
    </row>
    <row r="2781" spans="1:1" x14ac:dyDescent="0.2">
      <c r="A2781" s="1" t="s">
        <v>582</v>
      </c>
    </row>
    <row r="2782" spans="1:1" x14ac:dyDescent="0.2">
      <c r="A2782" s="1" t="s">
        <v>573</v>
      </c>
    </row>
    <row r="2783" spans="1:1" x14ac:dyDescent="0.2">
      <c r="A2783" s="1" t="s">
        <v>574</v>
      </c>
    </row>
    <row r="2784" spans="1:1" x14ac:dyDescent="0.2">
      <c r="A2784" s="1" t="s">
        <v>573</v>
      </c>
    </row>
    <row r="2785" spans="1:1" x14ac:dyDescent="0.2">
      <c r="A2785" s="1" t="s">
        <v>574</v>
      </c>
    </row>
    <row r="2786" spans="1:1" x14ac:dyDescent="0.2">
      <c r="A2786" s="1" t="s">
        <v>573</v>
      </c>
    </row>
    <row r="2787" spans="1:1" x14ac:dyDescent="0.2">
      <c r="A2787" s="1" t="s">
        <v>574</v>
      </c>
    </row>
    <row r="2788" spans="1:1" x14ac:dyDescent="0.2">
      <c r="A2788" s="1" t="s">
        <v>575</v>
      </c>
    </row>
    <row r="2789" spans="1:1" x14ac:dyDescent="0.2">
      <c r="A2789" s="1" t="s">
        <v>576</v>
      </c>
    </row>
    <row r="2790" spans="1:1" x14ac:dyDescent="0.2">
      <c r="A2790" s="1" t="s">
        <v>577</v>
      </c>
    </row>
    <row r="2791" spans="1:1" x14ac:dyDescent="0.2">
      <c r="A2791" s="1" t="s">
        <v>578</v>
      </c>
    </row>
    <row r="2792" spans="1:1" x14ac:dyDescent="0.2">
      <c r="A2792" s="1" t="s">
        <v>579</v>
      </c>
    </row>
    <row r="2793" spans="1:1" x14ac:dyDescent="0.2">
      <c r="A2793" s="1" t="s">
        <v>580</v>
      </c>
    </row>
    <row r="2794" spans="1:1" x14ac:dyDescent="0.2">
      <c r="A2794" s="1" t="s">
        <v>581</v>
      </c>
    </row>
    <row r="2795" spans="1:1" x14ac:dyDescent="0.2">
      <c r="A2795" s="1" t="s">
        <v>582</v>
      </c>
    </row>
    <row r="2796" spans="1:1" x14ac:dyDescent="0.2">
      <c r="A2796" s="1" t="s">
        <v>573</v>
      </c>
    </row>
    <row r="2797" spans="1:1" x14ac:dyDescent="0.2">
      <c r="A2797" s="1" t="s">
        <v>574</v>
      </c>
    </row>
    <row r="2798" spans="1:1" x14ac:dyDescent="0.2">
      <c r="A2798" s="1" t="s">
        <v>573</v>
      </c>
    </row>
    <row r="2799" spans="1:1" x14ac:dyDescent="0.2">
      <c r="A2799" s="1" t="s">
        <v>574</v>
      </c>
    </row>
    <row r="2800" spans="1:1" x14ac:dyDescent="0.2">
      <c r="A2800" s="1" t="s">
        <v>573</v>
      </c>
    </row>
    <row r="2801" spans="1:1" x14ac:dyDescent="0.2">
      <c r="A2801" s="1" t="s">
        <v>574</v>
      </c>
    </row>
    <row r="2802" spans="1:1" x14ac:dyDescent="0.2">
      <c r="A2802" s="1" t="s">
        <v>575</v>
      </c>
    </row>
    <row r="2803" spans="1:1" x14ac:dyDescent="0.2">
      <c r="A2803" s="1" t="s">
        <v>576</v>
      </c>
    </row>
    <row r="2804" spans="1:1" x14ac:dyDescent="0.2">
      <c r="A2804" s="1" t="s">
        <v>577</v>
      </c>
    </row>
    <row r="2805" spans="1:1" x14ac:dyDescent="0.2">
      <c r="A2805" s="1" t="s">
        <v>578</v>
      </c>
    </row>
    <row r="2806" spans="1:1" x14ac:dyDescent="0.2">
      <c r="A2806" s="1" t="s">
        <v>579</v>
      </c>
    </row>
    <row r="2807" spans="1:1" x14ac:dyDescent="0.2">
      <c r="A2807" s="1" t="s">
        <v>580</v>
      </c>
    </row>
    <row r="2808" spans="1:1" x14ac:dyDescent="0.2">
      <c r="A2808" s="1" t="s">
        <v>581</v>
      </c>
    </row>
    <row r="2809" spans="1:1" x14ac:dyDescent="0.2">
      <c r="A2809" s="1" t="s">
        <v>582</v>
      </c>
    </row>
    <row r="2810" spans="1:1" x14ac:dyDescent="0.2">
      <c r="A2810" s="1" t="s">
        <v>573</v>
      </c>
    </row>
    <row r="2811" spans="1:1" x14ac:dyDescent="0.2">
      <c r="A2811" s="1" t="s">
        <v>574</v>
      </c>
    </row>
    <row r="2812" spans="1:1" x14ac:dyDescent="0.2">
      <c r="A2812" s="1" t="s">
        <v>573</v>
      </c>
    </row>
    <row r="2813" spans="1:1" x14ac:dyDescent="0.2">
      <c r="A2813" s="1" t="s">
        <v>574</v>
      </c>
    </row>
    <row r="2814" spans="1:1" x14ac:dyDescent="0.2">
      <c r="A2814" s="1" t="s">
        <v>573</v>
      </c>
    </row>
    <row r="2815" spans="1:1" x14ac:dyDescent="0.2">
      <c r="A2815" s="1" t="s">
        <v>574</v>
      </c>
    </row>
    <row r="2816" spans="1:1" x14ac:dyDescent="0.2">
      <c r="A2816" s="1" t="s">
        <v>575</v>
      </c>
    </row>
    <row r="2817" spans="1:1" x14ac:dyDescent="0.2">
      <c r="A2817" s="1" t="s">
        <v>576</v>
      </c>
    </row>
    <row r="2818" spans="1:1" x14ac:dyDescent="0.2">
      <c r="A2818" s="1" t="s">
        <v>577</v>
      </c>
    </row>
    <row r="2819" spans="1:1" x14ac:dyDescent="0.2">
      <c r="A2819" s="1" t="s">
        <v>578</v>
      </c>
    </row>
    <row r="2820" spans="1:1" x14ac:dyDescent="0.2">
      <c r="A2820" s="1" t="s">
        <v>579</v>
      </c>
    </row>
    <row r="2821" spans="1:1" x14ac:dyDescent="0.2">
      <c r="A2821" s="1" t="s">
        <v>580</v>
      </c>
    </row>
    <row r="2822" spans="1:1" x14ac:dyDescent="0.2">
      <c r="A2822" s="1" t="s">
        <v>581</v>
      </c>
    </row>
    <row r="2823" spans="1:1" x14ac:dyDescent="0.2">
      <c r="A2823" s="1" t="s">
        <v>582</v>
      </c>
    </row>
    <row r="2824" spans="1:1" x14ac:dyDescent="0.2">
      <c r="A2824" s="1" t="s">
        <v>573</v>
      </c>
    </row>
    <row r="2825" spans="1:1" x14ac:dyDescent="0.2">
      <c r="A2825" s="1" t="s">
        <v>574</v>
      </c>
    </row>
    <row r="2826" spans="1:1" x14ac:dyDescent="0.2">
      <c r="A2826" s="1" t="s">
        <v>573</v>
      </c>
    </row>
    <row r="2827" spans="1:1" x14ac:dyDescent="0.2">
      <c r="A2827" s="1" t="s">
        <v>574</v>
      </c>
    </row>
    <row r="2828" spans="1:1" x14ac:dyDescent="0.2">
      <c r="A2828" s="1" t="s">
        <v>573</v>
      </c>
    </row>
    <row r="2829" spans="1:1" x14ac:dyDescent="0.2">
      <c r="A2829" s="1" t="s">
        <v>574</v>
      </c>
    </row>
    <row r="2830" spans="1:1" x14ac:dyDescent="0.2">
      <c r="A2830" s="1" t="s">
        <v>575</v>
      </c>
    </row>
    <row r="2831" spans="1:1" x14ac:dyDescent="0.2">
      <c r="A2831" s="1" t="s">
        <v>576</v>
      </c>
    </row>
    <row r="2832" spans="1:1" x14ac:dyDescent="0.2">
      <c r="A2832" s="1" t="s">
        <v>577</v>
      </c>
    </row>
    <row r="2833" spans="1:1" x14ac:dyDescent="0.2">
      <c r="A2833" s="1" t="s">
        <v>578</v>
      </c>
    </row>
    <row r="2834" spans="1:1" x14ac:dyDescent="0.2">
      <c r="A2834" s="1" t="s">
        <v>579</v>
      </c>
    </row>
    <row r="2835" spans="1:1" x14ac:dyDescent="0.2">
      <c r="A2835" s="1" t="s">
        <v>580</v>
      </c>
    </row>
    <row r="2836" spans="1:1" x14ac:dyDescent="0.2">
      <c r="A2836" s="1" t="s">
        <v>581</v>
      </c>
    </row>
    <row r="2837" spans="1:1" x14ac:dyDescent="0.2">
      <c r="A2837" s="1" t="s">
        <v>582</v>
      </c>
    </row>
    <row r="2838" spans="1:1" x14ac:dyDescent="0.2">
      <c r="A2838" s="1" t="s">
        <v>573</v>
      </c>
    </row>
    <row r="2839" spans="1:1" x14ac:dyDescent="0.2">
      <c r="A2839" s="1" t="s">
        <v>574</v>
      </c>
    </row>
    <row r="2840" spans="1:1" x14ac:dyDescent="0.2">
      <c r="A2840" s="1" t="s">
        <v>573</v>
      </c>
    </row>
    <row r="2841" spans="1:1" x14ac:dyDescent="0.2">
      <c r="A2841" s="1" t="s">
        <v>574</v>
      </c>
    </row>
    <row r="2842" spans="1:1" x14ac:dyDescent="0.2">
      <c r="A2842" s="1" t="s">
        <v>573</v>
      </c>
    </row>
    <row r="2843" spans="1:1" x14ac:dyDescent="0.2">
      <c r="A2843" s="1" t="s">
        <v>574</v>
      </c>
    </row>
    <row r="2844" spans="1:1" x14ac:dyDescent="0.2">
      <c r="A2844" s="1" t="s">
        <v>575</v>
      </c>
    </row>
    <row r="2845" spans="1:1" x14ac:dyDescent="0.2">
      <c r="A2845" s="1" t="s">
        <v>576</v>
      </c>
    </row>
    <row r="2846" spans="1:1" x14ac:dyDescent="0.2">
      <c r="A2846" s="1" t="s">
        <v>577</v>
      </c>
    </row>
    <row r="2847" spans="1:1" x14ac:dyDescent="0.2">
      <c r="A2847" s="1" t="s">
        <v>578</v>
      </c>
    </row>
    <row r="2848" spans="1:1" x14ac:dyDescent="0.2">
      <c r="A2848" s="1" t="s">
        <v>579</v>
      </c>
    </row>
    <row r="2849" spans="1:1" x14ac:dyDescent="0.2">
      <c r="A2849" s="1" t="s">
        <v>580</v>
      </c>
    </row>
    <row r="2850" spans="1:1" x14ac:dyDescent="0.2">
      <c r="A2850" s="1" t="s">
        <v>581</v>
      </c>
    </row>
    <row r="2851" spans="1:1" x14ac:dyDescent="0.2">
      <c r="A2851" s="1" t="s">
        <v>582</v>
      </c>
    </row>
    <row r="2852" spans="1:1" x14ac:dyDescent="0.2">
      <c r="A2852" s="1" t="s">
        <v>573</v>
      </c>
    </row>
    <row r="2853" spans="1:1" x14ac:dyDescent="0.2">
      <c r="A2853" s="1" t="s">
        <v>574</v>
      </c>
    </row>
    <row r="2854" spans="1:1" x14ac:dyDescent="0.2">
      <c r="A2854" s="1" t="s">
        <v>583</v>
      </c>
    </row>
    <row r="2855" spans="1:1" x14ac:dyDescent="0.2">
      <c r="A2855" s="1" t="s">
        <v>584</v>
      </c>
    </row>
    <row r="2856" spans="1:1" x14ac:dyDescent="0.2">
      <c r="A2856" s="1" t="s">
        <v>585</v>
      </c>
    </row>
    <row r="2857" spans="1:1" x14ac:dyDescent="0.2">
      <c r="A2857" s="1" t="s">
        <v>586</v>
      </c>
    </row>
    <row r="2858" spans="1:1" x14ac:dyDescent="0.2">
      <c r="A2858" s="1" t="s">
        <v>587</v>
      </c>
    </row>
    <row r="2859" spans="1:1" x14ac:dyDescent="0.2">
      <c r="A2859" s="1" t="s">
        <v>588</v>
      </c>
    </row>
    <row r="2860" spans="1:1" x14ac:dyDescent="0.2">
      <c r="A2860" s="1" t="s">
        <v>589</v>
      </c>
    </row>
    <row r="2861" spans="1:1" x14ac:dyDescent="0.2">
      <c r="A2861" s="1" t="s">
        <v>590</v>
      </c>
    </row>
    <row r="2862" spans="1:1" x14ac:dyDescent="0.2">
      <c r="A2862" s="1" t="s">
        <v>591</v>
      </c>
    </row>
    <row r="2863" spans="1:1" x14ac:dyDescent="0.2">
      <c r="A2863" s="1" t="s">
        <v>592</v>
      </c>
    </row>
    <row r="2864" spans="1:1" x14ac:dyDescent="0.2">
      <c r="A2864" s="1" t="s">
        <v>593</v>
      </c>
    </row>
    <row r="2865" spans="1:1" x14ac:dyDescent="0.2">
      <c r="A2865" s="1" t="s">
        <v>594</v>
      </c>
    </row>
    <row r="2866" spans="1:1" x14ac:dyDescent="0.2">
      <c r="A2866" s="1" t="s">
        <v>583</v>
      </c>
    </row>
    <row r="2867" spans="1:1" x14ac:dyDescent="0.2">
      <c r="A2867" s="1" t="s">
        <v>595</v>
      </c>
    </row>
    <row r="2868" spans="1:1" x14ac:dyDescent="0.2">
      <c r="A2868" s="1" t="s">
        <v>585</v>
      </c>
    </row>
    <row r="2869" spans="1:1" x14ac:dyDescent="0.2">
      <c r="A2869" s="1" t="s">
        <v>586</v>
      </c>
    </row>
    <row r="2870" spans="1:1" x14ac:dyDescent="0.2">
      <c r="A2870" s="1" t="s">
        <v>587</v>
      </c>
    </row>
    <row r="2871" spans="1:1" x14ac:dyDescent="0.2">
      <c r="A2871" s="1" t="s">
        <v>588</v>
      </c>
    </row>
    <row r="2872" spans="1:1" x14ac:dyDescent="0.2">
      <c r="A2872" s="1" t="s">
        <v>596</v>
      </c>
    </row>
    <row r="2873" spans="1:1" x14ac:dyDescent="0.2">
      <c r="A2873" s="1" t="s">
        <v>590</v>
      </c>
    </row>
    <row r="2874" spans="1:1" x14ac:dyDescent="0.2">
      <c r="A2874" s="1" t="s">
        <v>591</v>
      </c>
    </row>
    <row r="2875" spans="1:1" x14ac:dyDescent="0.2">
      <c r="A2875" s="1" t="s">
        <v>592</v>
      </c>
    </row>
    <row r="2876" spans="1:1" x14ac:dyDescent="0.2">
      <c r="A2876" s="1" t="s">
        <v>593</v>
      </c>
    </row>
    <row r="2877" spans="1:1" x14ac:dyDescent="0.2">
      <c r="A2877" s="1" t="s">
        <v>594</v>
      </c>
    </row>
    <row r="2878" spans="1:1" x14ac:dyDescent="0.2">
      <c r="A2878" s="1" t="s">
        <v>583</v>
      </c>
    </row>
    <row r="2879" spans="1:1" x14ac:dyDescent="0.2">
      <c r="A2879" s="1" t="s">
        <v>597</v>
      </c>
    </row>
    <row r="2880" spans="1:1" x14ac:dyDescent="0.2">
      <c r="A2880" s="1" t="s">
        <v>585</v>
      </c>
    </row>
    <row r="2881" spans="1:1" x14ac:dyDescent="0.2">
      <c r="A2881" s="1" t="s">
        <v>586</v>
      </c>
    </row>
    <row r="2882" spans="1:1" x14ac:dyDescent="0.2">
      <c r="A2882" s="1" t="s">
        <v>587</v>
      </c>
    </row>
    <row r="2883" spans="1:1" x14ac:dyDescent="0.2">
      <c r="A2883" s="1" t="s">
        <v>588</v>
      </c>
    </row>
    <row r="2884" spans="1:1" x14ac:dyDescent="0.2">
      <c r="A2884" s="1" t="s">
        <v>598</v>
      </c>
    </row>
    <row r="2885" spans="1:1" x14ac:dyDescent="0.2">
      <c r="A2885" s="1" t="s">
        <v>590</v>
      </c>
    </row>
    <row r="2886" spans="1:1" x14ac:dyDescent="0.2">
      <c r="A2886" s="1" t="s">
        <v>591</v>
      </c>
    </row>
    <row r="2887" spans="1:1" x14ac:dyDescent="0.2">
      <c r="A2887" s="1" t="s">
        <v>592</v>
      </c>
    </row>
    <row r="2888" spans="1:1" x14ac:dyDescent="0.2">
      <c r="A2888" s="1" t="s">
        <v>593</v>
      </c>
    </row>
    <row r="2889" spans="1:1" x14ac:dyDescent="0.2">
      <c r="A2889" s="1" t="s">
        <v>594</v>
      </c>
    </row>
    <row r="2890" spans="1:1" x14ac:dyDescent="0.2">
      <c r="A2890" s="1" t="s">
        <v>583</v>
      </c>
    </row>
    <row r="2891" spans="1:1" x14ac:dyDescent="0.2">
      <c r="A2891" s="1" t="s">
        <v>599</v>
      </c>
    </row>
    <row r="2892" spans="1:1" x14ac:dyDescent="0.2">
      <c r="A2892" s="1" t="s">
        <v>585</v>
      </c>
    </row>
    <row r="2893" spans="1:1" x14ac:dyDescent="0.2">
      <c r="A2893" s="1" t="s">
        <v>586</v>
      </c>
    </row>
    <row r="2894" spans="1:1" x14ac:dyDescent="0.2">
      <c r="A2894" s="1" t="s">
        <v>587</v>
      </c>
    </row>
    <row r="2895" spans="1:1" x14ac:dyDescent="0.2">
      <c r="A2895" s="1" t="s">
        <v>588</v>
      </c>
    </row>
    <row r="2896" spans="1:1" x14ac:dyDescent="0.2">
      <c r="A2896" s="1" t="s">
        <v>600</v>
      </c>
    </row>
    <row r="2897" spans="1:1" x14ac:dyDescent="0.2">
      <c r="A2897" s="1" t="s">
        <v>590</v>
      </c>
    </row>
    <row r="2898" spans="1:1" x14ac:dyDescent="0.2">
      <c r="A2898" s="1" t="s">
        <v>591</v>
      </c>
    </row>
    <row r="2899" spans="1:1" x14ac:dyDescent="0.2">
      <c r="A2899" s="1" t="s">
        <v>592</v>
      </c>
    </row>
    <row r="2900" spans="1:1" x14ac:dyDescent="0.2">
      <c r="A2900" s="1" t="s">
        <v>593</v>
      </c>
    </row>
    <row r="2901" spans="1:1" x14ac:dyDescent="0.2">
      <c r="A2901" s="1" t="s">
        <v>594</v>
      </c>
    </row>
    <row r="2902" spans="1:1" x14ac:dyDescent="0.2">
      <c r="A2902" s="1" t="s">
        <v>583</v>
      </c>
    </row>
    <row r="2903" spans="1:1" x14ac:dyDescent="0.2">
      <c r="A2903" s="1" t="s">
        <v>601</v>
      </c>
    </row>
    <row r="2904" spans="1:1" x14ac:dyDescent="0.2">
      <c r="A2904" s="1" t="s">
        <v>585</v>
      </c>
    </row>
    <row r="2905" spans="1:1" x14ac:dyDescent="0.2">
      <c r="A2905" s="1" t="s">
        <v>586</v>
      </c>
    </row>
    <row r="2906" spans="1:1" x14ac:dyDescent="0.2">
      <c r="A2906" s="1" t="s">
        <v>587</v>
      </c>
    </row>
    <row r="2907" spans="1:1" x14ac:dyDescent="0.2">
      <c r="A2907" s="1" t="s">
        <v>588</v>
      </c>
    </row>
    <row r="2908" spans="1:1" x14ac:dyDescent="0.2">
      <c r="A2908" s="1" t="s">
        <v>602</v>
      </c>
    </row>
    <row r="2909" spans="1:1" x14ac:dyDescent="0.2">
      <c r="A2909" s="1" t="s">
        <v>590</v>
      </c>
    </row>
    <row r="2910" spans="1:1" x14ac:dyDescent="0.2">
      <c r="A2910" s="1" t="s">
        <v>591</v>
      </c>
    </row>
    <row r="2911" spans="1:1" x14ac:dyDescent="0.2">
      <c r="A2911" s="1" t="s">
        <v>592</v>
      </c>
    </row>
    <row r="2912" spans="1:1" x14ac:dyDescent="0.2">
      <c r="A2912" s="1" t="s">
        <v>593</v>
      </c>
    </row>
    <row r="2913" spans="1:1" x14ac:dyDescent="0.2">
      <c r="A2913" s="1" t="s">
        <v>594</v>
      </c>
    </row>
    <row r="2914" spans="1:1" x14ac:dyDescent="0.2">
      <c r="A2914" s="1" t="s">
        <v>583</v>
      </c>
    </row>
    <row r="2915" spans="1:1" x14ac:dyDescent="0.2">
      <c r="A2915" s="1" t="s">
        <v>603</v>
      </c>
    </row>
    <row r="2916" spans="1:1" x14ac:dyDescent="0.2">
      <c r="A2916" s="1" t="s">
        <v>585</v>
      </c>
    </row>
    <row r="2917" spans="1:1" x14ac:dyDescent="0.2">
      <c r="A2917" s="1" t="s">
        <v>586</v>
      </c>
    </row>
    <row r="2918" spans="1:1" x14ac:dyDescent="0.2">
      <c r="A2918" s="1" t="s">
        <v>587</v>
      </c>
    </row>
    <row r="2919" spans="1:1" x14ac:dyDescent="0.2">
      <c r="A2919" s="1" t="s">
        <v>588</v>
      </c>
    </row>
    <row r="2920" spans="1:1" x14ac:dyDescent="0.2">
      <c r="A2920" s="1" t="s">
        <v>604</v>
      </c>
    </row>
    <row r="2921" spans="1:1" x14ac:dyDescent="0.2">
      <c r="A2921" s="1" t="s">
        <v>590</v>
      </c>
    </row>
    <row r="2922" spans="1:1" x14ac:dyDescent="0.2">
      <c r="A2922" s="1" t="s">
        <v>591</v>
      </c>
    </row>
    <row r="2923" spans="1:1" x14ac:dyDescent="0.2">
      <c r="A2923" s="1" t="s">
        <v>592</v>
      </c>
    </row>
    <row r="2924" spans="1:1" x14ac:dyDescent="0.2">
      <c r="A2924" s="1" t="s">
        <v>593</v>
      </c>
    </row>
    <row r="2925" spans="1:1" x14ac:dyDescent="0.2">
      <c r="A2925" s="1" t="s">
        <v>594</v>
      </c>
    </row>
    <row r="2926" spans="1:1" x14ac:dyDescent="0.2">
      <c r="A2926" s="1" t="s">
        <v>583</v>
      </c>
    </row>
    <row r="2927" spans="1:1" x14ac:dyDescent="0.2">
      <c r="A2927" s="1" t="s">
        <v>605</v>
      </c>
    </row>
    <row r="2928" spans="1:1" x14ac:dyDescent="0.2">
      <c r="A2928" s="1" t="s">
        <v>585</v>
      </c>
    </row>
    <row r="2929" spans="1:1" x14ac:dyDescent="0.2">
      <c r="A2929" s="1" t="s">
        <v>586</v>
      </c>
    </row>
    <row r="2930" spans="1:1" x14ac:dyDescent="0.2">
      <c r="A2930" s="1" t="s">
        <v>587</v>
      </c>
    </row>
    <row r="2931" spans="1:1" x14ac:dyDescent="0.2">
      <c r="A2931" s="1" t="s">
        <v>588</v>
      </c>
    </row>
    <row r="2932" spans="1:1" x14ac:dyDescent="0.2">
      <c r="A2932" s="1" t="s">
        <v>606</v>
      </c>
    </row>
    <row r="2933" spans="1:1" x14ac:dyDescent="0.2">
      <c r="A2933" s="1" t="s">
        <v>590</v>
      </c>
    </row>
    <row r="2934" spans="1:1" x14ac:dyDescent="0.2">
      <c r="A2934" s="1" t="s">
        <v>591</v>
      </c>
    </row>
    <row r="2935" spans="1:1" x14ac:dyDescent="0.2">
      <c r="A2935" s="1" t="s">
        <v>592</v>
      </c>
    </row>
    <row r="2936" spans="1:1" x14ac:dyDescent="0.2">
      <c r="A2936" s="1" t="s">
        <v>593</v>
      </c>
    </row>
    <row r="2937" spans="1:1" x14ac:dyDescent="0.2">
      <c r="A2937" s="1" t="s">
        <v>594</v>
      </c>
    </row>
    <row r="2938" spans="1:1" x14ac:dyDescent="0.2">
      <c r="A2938" s="1" t="s">
        <v>583</v>
      </c>
    </row>
    <row r="2939" spans="1:1" x14ac:dyDescent="0.2">
      <c r="A2939" s="1" t="s">
        <v>607</v>
      </c>
    </row>
    <row r="2940" spans="1:1" x14ac:dyDescent="0.2">
      <c r="A2940" s="1" t="s">
        <v>585</v>
      </c>
    </row>
    <row r="2941" spans="1:1" x14ac:dyDescent="0.2">
      <c r="A2941" s="1" t="s">
        <v>586</v>
      </c>
    </row>
    <row r="2942" spans="1:1" x14ac:dyDescent="0.2">
      <c r="A2942" s="1" t="s">
        <v>587</v>
      </c>
    </row>
    <row r="2943" spans="1:1" x14ac:dyDescent="0.2">
      <c r="A2943" s="1" t="s">
        <v>588</v>
      </c>
    </row>
    <row r="2944" spans="1:1" x14ac:dyDescent="0.2">
      <c r="A2944" s="1" t="s">
        <v>608</v>
      </c>
    </row>
    <row r="2945" spans="1:1" x14ac:dyDescent="0.2">
      <c r="A2945" s="1" t="s">
        <v>590</v>
      </c>
    </row>
    <row r="2946" spans="1:1" x14ac:dyDescent="0.2">
      <c r="A2946" s="1" t="s">
        <v>591</v>
      </c>
    </row>
    <row r="2947" spans="1:1" x14ac:dyDescent="0.2">
      <c r="A2947" s="1" t="s">
        <v>592</v>
      </c>
    </row>
    <row r="2948" spans="1:1" x14ac:dyDescent="0.2">
      <c r="A2948" s="1" t="s">
        <v>593</v>
      </c>
    </row>
    <row r="2949" spans="1:1" x14ac:dyDescent="0.2">
      <c r="A2949" s="1" t="s">
        <v>594</v>
      </c>
    </row>
    <row r="2950" spans="1:1" x14ac:dyDescent="0.2">
      <c r="A2950" s="1" t="s">
        <v>609</v>
      </c>
    </row>
    <row r="2951" spans="1:1" x14ac:dyDescent="0.2">
      <c r="A2951" s="1" t="s">
        <v>610</v>
      </c>
    </row>
    <row r="2952" spans="1:1" x14ac:dyDescent="0.2">
      <c r="A2952" s="1" t="s">
        <v>611</v>
      </c>
    </row>
    <row r="2953" spans="1:1" x14ac:dyDescent="0.2">
      <c r="A2953" s="1" t="s">
        <v>612</v>
      </c>
    </row>
    <row r="2954" spans="1:1" x14ac:dyDescent="0.2">
      <c r="A2954" s="1" t="s">
        <v>613</v>
      </c>
    </row>
    <row r="2955" spans="1:1" x14ac:dyDescent="0.2">
      <c r="A2955" s="1" t="s">
        <v>614</v>
      </c>
    </row>
    <row r="2956" spans="1:1" x14ac:dyDescent="0.2">
      <c r="A2956" s="1" t="s">
        <v>615</v>
      </c>
    </row>
    <row r="2957" spans="1:1" x14ac:dyDescent="0.2">
      <c r="A2957" s="1" t="s">
        <v>616</v>
      </c>
    </row>
    <row r="2958" spans="1:1" x14ac:dyDescent="0.2">
      <c r="A2958" s="1" t="s">
        <v>617</v>
      </c>
    </row>
    <row r="2959" spans="1:1" x14ac:dyDescent="0.2">
      <c r="A2959" s="1" t="s">
        <v>618</v>
      </c>
    </row>
    <row r="2960" spans="1:1" x14ac:dyDescent="0.2">
      <c r="A2960" s="1" t="s">
        <v>619</v>
      </c>
    </row>
    <row r="2961" spans="1:1" x14ac:dyDescent="0.2">
      <c r="A2961" s="1" t="s">
        <v>620</v>
      </c>
    </row>
    <row r="2962" spans="1:1" x14ac:dyDescent="0.2">
      <c r="A2962" s="1" t="s">
        <v>609</v>
      </c>
    </row>
    <row r="2963" spans="1:1" x14ac:dyDescent="0.2">
      <c r="A2963" s="1" t="s">
        <v>621</v>
      </c>
    </row>
    <row r="2964" spans="1:1" x14ac:dyDescent="0.2">
      <c r="A2964" s="1" t="s">
        <v>611</v>
      </c>
    </row>
    <row r="2965" spans="1:1" x14ac:dyDescent="0.2">
      <c r="A2965" s="1" t="s">
        <v>612</v>
      </c>
    </row>
    <row r="2966" spans="1:1" x14ac:dyDescent="0.2">
      <c r="A2966" s="1" t="s">
        <v>613</v>
      </c>
    </row>
    <row r="2967" spans="1:1" x14ac:dyDescent="0.2">
      <c r="A2967" s="1" t="s">
        <v>614</v>
      </c>
    </row>
    <row r="2968" spans="1:1" x14ac:dyDescent="0.2">
      <c r="A2968" s="1" t="s">
        <v>622</v>
      </c>
    </row>
    <row r="2969" spans="1:1" x14ac:dyDescent="0.2">
      <c r="A2969" s="1" t="s">
        <v>616</v>
      </c>
    </row>
    <row r="2970" spans="1:1" x14ac:dyDescent="0.2">
      <c r="A2970" s="1" t="s">
        <v>617</v>
      </c>
    </row>
    <row r="2971" spans="1:1" x14ac:dyDescent="0.2">
      <c r="A2971" s="1" t="s">
        <v>618</v>
      </c>
    </row>
    <row r="2972" spans="1:1" x14ac:dyDescent="0.2">
      <c r="A2972" s="1" t="s">
        <v>619</v>
      </c>
    </row>
    <row r="2973" spans="1:1" x14ac:dyDescent="0.2">
      <c r="A2973" s="1" t="s">
        <v>620</v>
      </c>
    </row>
    <row r="2974" spans="1:1" x14ac:dyDescent="0.2">
      <c r="A2974" s="1" t="s">
        <v>623</v>
      </c>
    </row>
    <row r="2975" spans="1:1" x14ac:dyDescent="0.2">
      <c r="A2975" s="1" t="s">
        <v>624</v>
      </c>
    </row>
    <row r="2976" spans="1:1" x14ac:dyDescent="0.2">
      <c r="A2976" s="1" t="s">
        <v>625</v>
      </c>
    </row>
    <row r="2977" spans="1:1" x14ac:dyDescent="0.2">
      <c r="A2977" s="1" t="s">
        <v>626</v>
      </c>
    </row>
    <row r="2978" spans="1:1" x14ac:dyDescent="0.2">
      <c r="A2978" s="1" t="s">
        <v>627</v>
      </c>
    </row>
    <row r="2979" spans="1:1" x14ac:dyDescent="0.2">
      <c r="A2979" s="1" t="s">
        <v>628</v>
      </c>
    </row>
    <row r="2980" spans="1:1" x14ac:dyDescent="0.2">
      <c r="A2980" s="1" t="s">
        <v>629</v>
      </c>
    </row>
    <row r="2981" spans="1:1" x14ac:dyDescent="0.2">
      <c r="A2981" s="1" t="s">
        <v>630</v>
      </c>
    </row>
    <row r="2982" spans="1:1" x14ac:dyDescent="0.2">
      <c r="A2982" s="1" t="s">
        <v>631</v>
      </c>
    </row>
    <row r="2983" spans="1:1" x14ac:dyDescent="0.2">
      <c r="A2983" s="1" t="s">
        <v>632</v>
      </c>
    </row>
    <row r="2984" spans="1:1" x14ac:dyDescent="0.2">
      <c r="A2984" s="1" t="s">
        <v>633</v>
      </c>
    </row>
    <row r="2985" spans="1:1" x14ac:dyDescent="0.2">
      <c r="A2985" s="1" t="s">
        <v>634</v>
      </c>
    </row>
    <row r="2986" spans="1:1" x14ac:dyDescent="0.2">
      <c r="A2986" s="1" t="s">
        <v>623</v>
      </c>
    </row>
    <row r="2987" spans="1:1" x14ac:dyDescent="0.2">
      <c r="A2987" s="1" t="s">
        <v>635</v>
      </c>
    </row>
    <row r="2988" spans="1:1" x14ac:dyDescent="0.2">
      <c r="A2988" s="1" t="s">
        <v>625</v>
      </c>
    </row>
    <row r="2989" spans="1:1" x14ac:dyDescent="0.2">
      <c r="A2989" s="1" t="s">
        <v>626</v>
      </c>
    </row>
    <row r="2990" spans="1:1" x14ac:dyDescent="0.2">
      <c r="A2990" s="1" t="s">
        <v>627</v>
      </c>
    </row>
    <row r="2991" spans="1:1" x14ac:dyDescent="0.2">
      <c r="A2991" s="1" t="s">
        <v>628</v>
      </c>
    </row>
    <row r="2992" spans="1:1" x14ac:dyDescent="0.2">
      <c r="A2992" s="1" t="s">
        <v>636</v>
      </c>
    </row>
    <row r="2993" spans="1:1" x14ac:dyDescent="0.2">
      <c r="A2993" s="1" t="s">
        <v>630</v>
      </c>
    </row>
    <row r="2994" spans="1:1" x14ac:dyDescent="0.2">
      <c r="A2994" s="1" t="s">
        <v>631</v>
      </c>
    </row>
    <row r="2995" spans="1:1" x14ac:dyDescent="0.2">
      <c r="A2995" s="1" t="s">
        <v>632</v>
      </c>
    </row>
    <row r="2996" spans="1:1" x14ac:dyDescent="0.2">
      <c r="A2996" s="1" t="s">
        <v>633</v>
      </c>
    </row>
    <row r="2997" spans="1:1" x14ac:dyDescent="0.2">
      <c r="A2997" s="1" t="s">
        <v>634</v>
      </c>
    </row>
    <row r="2998" spans="1:1" x14ac:dyDescent="0.2">
      <c r="A2998" s="1" t="s">
        <v>623</v>
      </c>
    </row>
    <row r="2999" spans="1:1" x14ac:dyDescent="0.2">
      <c r="A2999" s="1" t="s">
        <v>637</v>
      </c>
    </row>
    <row r="3000" spans="1:1" x14ac:dyDescent="0.2">
      <c r="A3000" s="1" t="s">
        <v>625</v>
      </c>
    </row>
    <row r="3001" spans="1:1" x14ac:dyDescent="0.2">
      <c r="A3001" s="1" t="s">
        <v>626</v>
      </c>
    </row>
    <row r="3002" spans="1:1" x14ac:dyDescent="0.2">
      <c r="A3002" s="1" t="s">
        <v>627</v>
      </c>
    </row>
    <row r="3003" spans="1:1" x14ac:dyDescent="0.2">
      <c r="A3003" s="1" t="s">
        <v>628</v>
      </c>
    </row>
    <row r="3004" spans="1:1" x14ac:dyDescent="0.2">
      <c r="A3004" s="1" t="s">
        <v>638</v>
      </c>
    </row>
    <row r="3005" spans="1:1" x14ac:dyDescent="0.2">
      <c r="A3005" s="1" t="s">
        <v>630</v>
      </c>
    </row>
    <row r="3006" spans="1:1" x14ac:dyDescent="0.2">
      <c r="A3006" s="1" t="s">
        <v>631</v>
      </c>
    </row>
    <row r="3007" spans="1:1" x14ac:dyDescent="0.2">
      <c r="A3007" s="1" t="s">
        <v>632</v>
      </c>
    </row>
    <row r="3008" spans="1:1" x14ac:dyDescent="0.2">
      <c r="A3008" s="1" t="s">
        <v>633</v>
      </c>
    </row>
    <row r="3009" spans="1:1" x14ac:dyDescent="0.2">
      <c r="A3009" s="1" t="s">
        <v>634</v>
      </c>
    </row>
    <row r="3010" spans="1:1" x14ac:dyDescent="0.2">
      <c r="A3010" s="1" t="s">
        <v>623</v>
      </c>
    </row>
    <row r="3011" spans="1:1" x14ac:dyDescent="0.2">
      <c r="A3011" s="1" t="s">
        <v>639</v>
      </c>
    </row>
    <row r="3012" spans="1:1" x14ac:dyDescent="0.2">
      <c r="A3012" s="1" t="s">
        <v>625</v>
      </c>
    </row>
    <row r="3013" spans="1:1" x14ac:dyDescent="0.2">
      <c r="A3013" s="1" t="s">
        <v>626</v>
      </c>
    </row>
    <row r="3014" spans="1:1" x14ac:dyDescent="0.2">
      <c r="A3014" s="1" t="s">
        <v>627</v>
      </c>
    </row>
    <row r="3015" spans="1:1" x14ac:dyDescent="0.2">
      <c r="A3015" s="1" t="s">
        <v>628</v>
      </c>
    </row>
    <row r="3016" spans="1:1" x14ac:dyDescent="0.2">
      <c r="A3016" s="1" t="s">
        <v>640</v>
      </c>
    </row>
    <row r="3017" spans="1:1" x14ac:dyDescent="0.2">
      <c r="A3017" s="1" t="s">
        <v>630</v>
      </c>
    </row>
    <row r="3018" spans="1:1" x14ac:dyDescent="0.2">
      <c r="A3018" s="1" t="s">
        <v>631</v>
      </c>
    </row>
    <row r="3019" spans="1:1" x14ac:dyDescent="0.2">
      <c r="A3019" s="1" t="s">
        <v>632</v>
      </c>
    </row>
    <row r="3020" spans="1:1" x14ac:dyDescent="0.2">
      <c r="A3020" s="1" t="s">
        <v>633</v>
      </c>
    </row>
    <row r="3021" spans="1:1" x14ac:dyDescent="0.2">
      <c r="A3021" s="1" t="s">
        <v>634</v>
      </c>
    </row>
    <row r="3022" spans="1:1" x14ac:dyDescent="0.2">
      <c r="A3022" s="1" t="s">
        <v>623</v>
      </c>
    </row>
    <row r="3023" spans="1:1" x14ac:dyDescent="0.2">
      <c r="A3023" s="1" t="s">
        <v>641</v>
      </c>
    </row>
    <row r="3024" spans="1:1" x14ac:dyDescent="0.2">
      <c r="A3024" s="1" t="s">
        <v>625</v>
      </c>
    </row>
    <row r="3025" spans="1:1" x14ac:dyDescent="0.2">
      <c r="A3025" s="1" t="s">
        <v>626</v>
      </c>
    </row>
    <row r="3026" spans="1:1" x14ac:dyDescent="0.2">
      <c r="A3026" s="1" t="s">
        <v>627</v>
      </c>
    </row>
    <row r="3027" spans="1:1" x14ac:dyDescent="0.2">
      <c r="A3027" s="1" t="s">
        <v>628</v>
      </c>
    </row>
    <row r="3028" spans="1:1" x14ac:dyDescent="0.2">
      <c r="A3028" s="1" t="s">
        <v>642</v>
      </c>
    </row>
    <row r="3029" spans="1:1" x14ac:dyDescent="0.2">
      <c r="A3029" s="1" t="s">
        <v>630</v>
      </c>
    </row>
    <row r="3030" spans="1:1" x14ac:dyDescent="0.2">
      <c r="A3030" s="1" t="s">
        <v>631</v>
      </c>
    </row>
    <row r="3031" spans="1:1" x14ac:dyDescent="0.2">
      <c r="A3031" s="1" t="s">
        <v>632</v>
      </c>
    </row>
    <row r="3032" spans="1:1" x14ac:dyDescent="0.2">
      <c r="A3032" s="1" t="s">
        <v>633</v>
      </c>
    </row>
    <row r="3033" spans="1:1" x14ac:dyDescent="0.2">
      <c r="A3033" s="1" t="s">
        <v>634</v>
      </c>
    </row>
    <row r="3034" spans="1:1" x14ac:dyDescent="0.2">
      <c r="A3034" s="1" t="s">
        <v>623</v>
      </c>
    </row>
    <row r="3035" spans="1:1" x14ac:dyDescent="0.2">
      <c r="A3035" s="1" t="s">
        <v>643</v>
      </c>
    </row>
    <row r="3036" spans="1:1" x14ac:dyDescent="0.2">
      <c r="A3036" s="1" t="s">
        <v>625</v>
      </c>
    </row>
    <row r="3037" spans="1:1" x14ac:dyDescent="0.2">
      <c r="A3037" s="1" t="s">
        <v>626</v>
      </c>
    </row>
    <row r="3038" spans="1:1" x14ac:dyDescent="0.2">
      <c r="A3038" s="1" t="s">
        <v>627</v>
      </c>
    </row>
    <row r="3039" spans="1:1" x14ac:dyDescent="0.2">
      <c r="A3039" s="1" t="s">
        <v>628</v>
      </c>
    </row>
    <row r="3040" spans="1:1" x14ac:dyDescent="0.2">
      <c r="A3040" s="1" t="s">
        <v>644</v>
      </c>
    </row>
    <row r="3041" spans="1:1" x14ac:dyDescent="0.2">
      <c r="A3041" s="1" t="s">
        <v>630</v>
      </c>
    </row>
    <row r="3042" spans="1:1" x14ac:dyDescent="0.2">
      <c r="A3042" s="1" t="s">
        <v>631</v>
      </c>
    </row>
    <row r="3043" spans="1:1" x14ac:dyDescent="0.2">
      <c r="A3043" s="1" t="s">
        <v>632</v>
      </c>
    </row>
    <row r="3044" spans="1:1" x14ac:dyDescent="0.2">
      <c r="A3044" s="1" t="s">
        <v>633</v>
      </c>
    </row>
    <row r="3045" spans="1:1" x14ac:dyDescent="0.2">
      <c r="A3045" s="1" t="s">
        <v>634</v>
      </c>
    </row>
    <row r="3046" spans="1:1" x14ac:dyDescent="0.2">
      <c r="A3046" s="1" t="s">
        <v>623</v>
      </c>
    </row>
    <row r="3047" spans="1:1" x14ac:dyDescent="0.2">
      <c r="A3047" s="1" t="s">
        <v>645</v>
      </c>
    </row>
    <row r="3048" spans="1:1" x14ac:dyDescent="0.2">
      <c r="A3048" s="1" t="s">
        <v>625</v>
      </c>
    </row>
    <row r="3049" spans="1:1" x14ac:dyDescent="0.2">
      <c r="A3049" s="1" t="s">
        <v>626</v>
      </c>
    </row>
    <row r="3050" spans="1:1" x14ac:dyDescent="0.2">
      <c r="A3050" s="1" t="s">
        <v>627</v>
      </c>
    </row>
    <row r="3051" spans="1:1" x14ac:dyDescent="0.2">
      <c r="A3051" s="1" t="s">
        <v>628</v>
      </c>
    </row>
    <row r="3052" spans="1:1" x14ac:dyDescent="0.2">
      <c r="A3052" s="1" t="s">
        <v>646</v>
      </c>
    </row>
    <row r="3053" spans="1:1" x14ac:dyDescent="0.2">
      <c r="A3053" s="1" t="s">
        <v>630</v>
      </c>
    </row>
    <row r="3054" spans="1:1" x14ac:dyDescent="0.2">
      <c r="A3054" s="1" t="s">
        <v>631</v>
      </c>
    </row>
    <row r="3055" spans="1:1" x14ac:dyDescent="0.2">
      <c r="A3055" s="1" t="s">
        <v>632</v>
      </c>
    </row>
    <row r="3056" spans="1:1" x14ac:dyDescent="0.2">
      <c r="A3056" s="1" t="s">
        <v>633</v>
      </c>
    </row>
    <row r="3057" spans="1:1" x14ac:dyDescent="0.2">
      <c r="A3057" s="1" t="s">
        <v>634</v>
      </c>
    </row>
    <row r="3058" spans="1:1" x14ac:dyDescent="0.2">
      <c r="A3058" s="1" t="s">
        <v>623</v>
      </c>
    </row>
    <row r="3059" spans="1:1" x14ac:dyDescent="0.2">
      <c r="A3059" s="1" t="s">
        <v>647</v>
      </c>
    </row>
    <row r="3060" spans="1:1" x14ac:dyDescent="0.2">
      <c r="A3060" s="1" t="s">
        <v>625</v>
      </c>
    </row>
    <row r="3061" spans="1:1" x14ac:dyDescent="0.2">
      <c r="A3061" s="1" t="s">
        <v>626</v>
      </c>
    </row>
    <row r="3062" spans="1:1" x14ac:dyDescent="0.2">
      <c r="A3062" s="1" t="s">
        <v>627</v>
      </c>
    </row>
    <row r="3063" spans="1:1" x14ac:dyDescent="0.2">
      <c r="A3063" s="1" t="s">
        <v>628</v>
      </c>
    </row>
    <row r="3064" spans="1:1" x14ac:dyDescent="0.2">
      <c r="A3064" s="1" t="s">
        <v>648</v>
      </c>
    </row>
    <row r="3065" spans="1:1" x14ac:dyDescent="0.2">
      <c r="A3065" s="1" t="s">
        <v>630</v>
      </c>
    </row>
    <row r="3066" spans="1:1" x14ac:dyDescent="0.2">
      <c r="A3066" s="1" t="s">
        <v>631</v>
      </c>
    </row>
    <row r="3067" spans="1:1" x14ac:dyDescent="0.2">
      <c r="A3067" s="1" t="s">
        <v>632</v>
      </c>
    </row>
    <row r="3068" spans="1:1" x14ac:dyDescent="0.2">
      <c r="A3068" s="1" t="s">
        <v>633</v>
      </c>
    </row>
    <row r="3069" spans="1:1" x14ac:dyDescent="0.2">
      <c r="A3069" s="1" t="s">
        <v>634</v>
      </c>
    </row>
    <row r="3070" spans="1:1" x14ac:dyDescent="0.2">
      <c r="A3070" s="1" t="s">
        <v>623</v>
      </c>
    </row>
    <row r="3071" spans="1:1" x14ac:dyDescent="0.2">
      <c r="A3071" s="1" t="s">
        <v>649</v>
      </c>
    </row>
    <row r="3072" spans="1:1" x14ac:dyDescent="0.2">
      <c r="A3072" s="1" t="s">
        <v>625</v>
      </c>
    </row>
    <row r="3073" spans="1:1" x14ac:dyDescent="0.2">
      <c r="A3073" s="1" t="s">
        <v>626</v>
      </c>
    </row>
    <row r="3074" spans="1:1" x14ac:dyDescent="0.2">
      <c r="A3074" s="1" t="s">
        <v>627</v>
      </c>
    </row>
    <row r="3075" spans="1:1" x14ac:dyDescent="0.2">
      <c r="A3075" s="1" t="s">
        <v>628</v>
      </c>
    </row>
    <row r="3076" spans="1:1" x14ac:dyDescent="0.2">
      <c r="A3076" s="1" t="s">
        <v>650</v>
      </c>
    </row>
    <row r="3077" spans="1:1" x14ac:dyDescent="0.2">
      <c r="A3077" s="1" t="s">
        <v>630</v>
      </c>
    </row>
    <row r="3078" spans="1:1" x14ac:dyDescent="0.2">
      <c r="A3078" s="1" t="s">
        <v>631</v>
      </c>
    </row>
    <row r="3079" spans="1:1" x14ac:dyDescent="0.2">
      <c r="A3079" s="1" t="s">
        <v>632</v>
      </c>
    </row>
    <row r="3080" spans="1:1" x14ac:dyDescent="0.2">
      <c r="A3080" s="1" t="s">
        <v>633</v>
      </c>
    </row>
    <row r="3081" spans="1:1" x14ac:dyDescent="0.2">
      <c r="A3081" s="1" t="s">
        <v>634</v>
      </c>
    </row>
    <row r="3082" spans="1:1" x14ac:dyDescent="0.2">
      <c r="A3082" s="1" t="s">
        <v>623</v>
      </c>
    </row>
    <row r="3083" spans="1:1" x14ac:dyDescent="0.2">
      <c r="A3083" s="1" t="s">
        <v>651</v>
      </c>
    </row>
    <row r="3084" spans="1:1" x14ac:dyDescent="0.2">
      <c r="A3084" s="1" t="s">
        <v>625</v>
      </c>
    </row>
    <row r="3085" spans="1:1" x14ac:dyDescent="0.2">
      <c r="A3085" s="1" t="s">
        <v>626</v>
      </c>
    </row>
    <row r="3086" spans="1:1" x14ac:dyDescent="0.2">
      <c r="A3086" s="1" t="s">
        <v>627</v>
      </c>
    </row>
    <row r="3087" spans="1:1" x14ac:dyDescent="0.2">
      <c r="A3087" s="1" t="s">
        <v>628</v>
      </c>
    </row>
    <row r="3088" spans="1:1" x14ac:dyDescent="0.2">
      <c r="A3088" s="1" t="s">
        <v>652</v>
      </c>
    </row>
    <row r="3089" spans="1:1" x14ac:dyDescent="0.2">
      <c r="A3089" s="1" t="s">
        <v>630</v>
      </c>
    </row>
    <row r="3090" spans="1:1" x14ac:dyDescent="0.2">
      <c r="A3090" s="1" t="s">
        <v>631</v>
      </c>
    </row>
    <row r="3091" spans="1:1" x14ac:dyDescent="0.2">
      <c r="A3091" s="1" t="s">
        <v>632</v>
      </c>
    </row>
    <row r="3092" spans="1:1" x14ac:dyDescent="0.2">
      <c r="A3092" s="1" t="s">
        <v>633</v>
      </c>
    </row>
    <row r="3093" spans="1:1" x14ac:dyDescent="0.2">
      <c r="A3093" s="1" t="s">
        <v>634</v>
      </c>
    </row>
    <row r="3094" spans="1:1" x14ac:dyDescent="0.2">
      <c r="A3094" s="1" t="s">
        <v>653</v>
      </c>
    </row>
    <row r="3095" spans="1:1" x14ac:dyDescent="0.2">
      <c r="A3095" s="1" t="s">
        <v>654</v>
      </c>
    </row>
    <row r="3096" spans="1:1" x14ac:dyDescent="0.2">
      <c r="A3096" s="1" t="s">
        <v>655</v>
      </c>
    </row>
    <row r="3097" spans="1:1" x14ac:dyDescent="0.2">
      <c r="A3097" s="1" t="s">
        <v>656</v>
      </c>
    </row>
    <row r="3098" spans="1:1" x14ac:dyDescent="0.2">
      <c r="A3098" s="1" t="s">
        <v>657</v>
      </c>
    </row>
    <row r="3099" spans="1:1" x14ac:dyDescent="0.2">
      <c r="A3099" s="1" t="s">
        <v>658</v>
      </c>
    </row>
    <row r="3100" spans="1:1" x14ac:dyDescent="0.2">
      <c r="A3100" s="1" t="s">
        <v>659</v>
      </c>
    </row>
    <row r="3101" spans="1:1" x14ac:dyDescent="0.2">
      <c r="A3101" s="1" t="s">
        <v>660</v>
      </c>
    </row>
    <row r="3102" spans="1:1" x14ac:dyDescent="0.2">
      <c r="A3102" s="1" t="s">
        <v>661</v>
      </c>
    </row>
    <row r="3103" spans="1:1" x14ac:dyDescent="0.2">
      <c r="A3103" s="1" t="s">
        <v>662</v>
      </c>
    </row>
    <row r="3104" spans="1:1" x14ac:dyDescent="0.2">
      <c r="A3104" s="1" t="s">
        <v>663</v>
      </c>
    </row>
    <row r="3105" spans="1:1" x14ac:dyDescent="0.2">
      <c r="A3105" s="1" t="s">
        <v>664</v>
      </c>
    </row>
    <row r="3106" spans="1:1" x14ac:dyDescent="0.2">
      <c r="A3106" s="1" t="s">
        <v>665</v>
      </c>
    </row>
    <row r="3107" spans="1:1" x14ac:dyDescent="0.2">
      <c r="A3107" s="1" t="s">
        <v>666</v>
      </c>
    </row>
    <row r="3108" spans="1:1" x14ac:dyDescent="0.2">
      <c r="A3108" s="1" t="s">
        <v>667</v>
      </c>
    </row>
    <row r="3109" spans="1:1" x14ac:dyDescent="0.2">
      <c r="A3109" s="1" t="s">
        <v>668</v>
      </c>
    </row>
    <row r="3110" spans="1:1" x14ac:dyDescent="0.2">
      <c r="A3110" s="1" t="s">
        <v>657</v>
      </c>
    </row>
    <row r="3111" spans="1:1" x14ac:dyDescent="0.2">
      <c r="A3111" s="1" t="s">
        <v>658</v>
      </c>
    </row>
    <row r="3112" spans="1:1" x14ac:dyDescent="0.2">
      <c r="A3112" s="1" t="s">
        <v>669</v>
      </c>
    </row>
    <row r="3113" spans="1:1" x14ac:dyDescent="0.2">
      <c r="A3113" s="1" t="s">
        <v>660</v>
      </c>
    </row>
    <row r="3114" spans="1:1" x14ac:dyDescent="0.2">
      <c r="A3114" s="1" t="s">
        <v>661</v>
      </c>
    </row>
    <row r="3115" spans="1:1" x14ac:dyDescent="0.2">
      <c r="A3115" s="1" t="s">
        <v>662</v>
      </c>
    </row>
    <row r="3116" spans="1:1" x14ac:dyDescent="0.2">
      <c r="A3116" s="1" t="s">
        <v>663</v>
      </c>
    </row>
    <row r="3117" spans="1:1" x14ac:dyDescent="0.2">
      <c r="A3117" s="1" t="s">
        <v>664</v>
      </c>
    </row>
    <row r="3118" spans="1:1" x14ac:dyDescent="0.2">
      <c r="A3118" s="1" t="s">
        <v>665</v>
      </c>
    </row>
    <row r="3119" spans="1:1" x14ac:dyDescent="0.2">
      <c r="A3119" s="1" t="s">
        <v>670</v>
      </c>
    </row>
    <row r="3120" spans="1:1" x14ac:dyDescent="0.2">
      <c r="A3120" s="1" t="s">
        <v>667</v>
      </c>
    </row>
    <row r="3121" spans="1:1" x14ac:dyDescent="0.2">
      <c r="A3121" s="1" t="s">
        <v>668</v>
      </c>
    </row>
    <row r="3122" spans="1:1" x14ac:dyDescent="0.2">
      <c r="A3122" s="1" t="s">
        <v>657</v>
      </c>
    </row>
    <row r="3123" spans="1:1" x14ac:dyDescent="0.2">
      <c r="A3123" s="1" t="s">
        <v>658</v>
      </c>
    </row>
    <row r="3124" spans="1:1" x14ac:dyDescent="0.2">
      <c r="A3124" s="1" t="s">
        <v>671</v>
      </c>
    </row>
    <row r="3125" spans="1:1" x14ac:dyDescent="0.2">
      <c r="A3125" s="1" t="s">
        <v>660</v>
      </c>
    </row>
    <row r="3126" spans="1:1" x14ac:dyDescent="0.2">
      <c r="A3126" s="1" t="s">
        <v>661</v>
      </c>
    </row>
    <row r="3127" spans="1:1" x14ac:dyDescent="0.2">
      <c r="A3127" s="1" t="s">
        <v>662</v>
      </c>
    </row>
    <row r="3128" spans="1:1" x14ac:dyDescent="0.2">
      <c r="A3128" s="1" t="s">
        <v>672</v>
      </c>
    </row>
    <row r="3129" spans="1:1" x14ac:dyDescent="0.2">
      <c r="A3129" s="1" t="s">
        <v>673</v>
      </c>
    </row>
    <row r="3130" spans="1:1" x14ac:dyDescent="0.2">
      <c r="A3130" s="1" t="s">
        <v>674</v>
      </c>
    </row>
    <row r="3131" spans="1:1" x14ac:dyDescent="0.2">
      <c r="A3131" s="1" t="s">
        <v>675</v>
      </c>
    </row>
    <row r="3132" spans="1:1" x14ac:dyDescent="0.2">
      <c r="A3132" s="1" t="s">
        <v>676</v>
      </c>
    </row>
    <row r="3133" spans="1:1" x14ac:dyDescent="0.2">
      <c r="A3133" s="1" t="s">
        <v>677</v>
      </c>
    </row>
    <row r="3134" spans="1:1" x14ac:dyDescent="0.2">
      <c r="A3134" s="1" t="s">
        <v>678</v>
      </c>
    </row>
    <row r="3135" spans="1:1" x14ac:dyDescent="0.2">
      <c r="A3135" s="1" t="s">
        <v>679</v>
      </c>
    </row>
    <row r="3136" spans="1:1" x14ac:dyDescent="0.2">
      <c r="A3136" s="1" t="s">
        <v>680</v>
      </c>
    </row>
    <row r="3137" spans="1:1" x14ac:dyDescent="0.2">
      <c r="A3137" s="1" t="s">
        <v>681</v>
      </c>
    </row>
    <row r="3138" spans="1:1" x14ac:dyDescent="0.2">
      <c r="A3138" s="1" t="s">
        <v>682</v>
      </c>
    </row>
    <row r="3139" spans="1:1" x14ac:dyDescent="0.2">
      <c r="A3139" s="1" t="s">
        <v>683</v>
      </c>
    </row>
    <row r="3140" spans="1:1" x14ac:dyDescent="0.2">
      <c r="A3140" s="1" t="s">
        <v>672</v>
      </c>
    </row>
    <row r="3141" spans="1:1" x14ac:dyDescent="0.2">
      <c r="A3141" s="1" t="s">
        <v>673</v>
      </c>
    </row>
    <row r="3142" spans="1:1" x14ac:dyDescent="0.2">
      <c r="A3142" s="1" t="s">
        <v>684</v>
      </c>
    </row>
    <row r="3143" spans="1:1" x14ac:dyDescent="0.2">
      <c r="A3143" s="1" t="s">
        <v>685</v>
      </c>
    </row>
    <row r="3144" spans="1:1" x14ac:dyDescent="0.2">
      <c r="A3144" s="1" t="s">
        <v>686</v>
      </c>
    </row>
    <row r="3145" spans="1:1" x14ac:dyDescent="0.2">
      <c r="A3145" s="1" t="s">
        <v>687</v>
      </c>
    </row>
    <row r="3146" spans="1:1" x14ac:dyDescent="0.2">
      <c r="A3146" s="1" t="s">
        <v>688</v>
      </c>
    </row>
    <row r="3147" spans="1:1" x14ac:dyDescent="0.2">
      <c r="A3147" s="1" t="s">
        <v>689</v>
      </c>
    </row>
    <row r="3148" spans="1:1" x14ac:dyDescent="0.2">
      <c r="A3148" s="1" t="s">
        <v>690</v>
      </c>
    </row>
    <row r="3149" spans="1:1" x14ac:dyDescent="0.2">
      <c r="A3149" s="1" t="s">
        <v>691</v>
      </c>
    </row>
    <row r="3150" spans="1:1" x14ac:dyDescent="0.2">
      <c r="A3150" s="1" t="s">
        <v>692</v>
      </c>
    </row>
    <row r="3151" spans="1:1" x14ac:dyDescent="0.2">
      <c r="A3151" s="1" t="s">
        <v>693</v>
      </c>
    </row>
    <row r="3152" spans="1:1" x14ac:dyDescent="0.2">
      <c r="A3152" s="1" t="s">
        <v>694</v>
      </c>
    </row>
    <row r="3153" spans="1:1" x14ac:dyDescent="0.2">
      <c r="A3153" s="1" t="s">
        <v>695</v>
      </c>
    </row>
    <row r="3154" spans="1:1" x14ac:dyDescent="0.2">
      <c r="A3154" s="1" t="s">
        <v>684</v>
      </c>
    </row>
    <row r="3155" spans="1:1" x14ac:dyDescent="0.2">
      <c r="A3155" s="1" t="s">
        <v>696</v>
      </c>
    </row>
    <row r="3156" spans="1:1" x14ac:dyDescent="0.2">
      <c r="A3156" s="1" t="s">
        <v>686</v>
      </c>
    </row>
    <row r="3157" spans="1:1" x14ac:dyDescent="0.2">
      <c r="A3157" s="1" t="s">
        <v>687</v>
      </c>
    </row>
    <row r="3158" spans="1:1" x14ac:dyDescent="0.2">
      <c r="A3158" s="1" t="s">
        <v>688</v>
      </c>
    </row>
    <row r="3159" spans="1:1" x14ac:dyDescent="0.2">
      <c r="A3159" s="1" t="s">
        <v>689</v>
      </c>
    </row>
    <row r="3160" spans="1:1" x14ac:dyDescent="0.2">
      <c r="A3160" s="1" t="s">
        <v>697</v>
      </c>
    </row>
    <row r="3161" spans="1:1" x14ac:dyDescent="0.2">
      <c r="A3161" s="1" t="s">
        <v>691</v>
      </c>
    </row>
    <row r="3162" spans="1:1" x14ac:dyDescent="0.2">
      <c r="A3162" s="1" t="s">
        <v>692</v>
      </c>
    </row>
    <row r="3163" spans="1:1" x14ac:dyDescent="0.2">
      <c r="A3163" s="1" t="s">
        <v>693</v>
      </c>
    </row>
    <row r="3164" spans="1:1" x14ac:dyDescent="0.2">
      <c r="A3164" s="1" t="s">
        <v>694</v>
      </c>
    </row>
    <row r="3165" spans="1:1" x14ac:dyDescent="0.2">
      <c r="A3165" s="1" t="s">
        <v>695</v>
      </c>
    </row>
    <row r="3166" spans="1:1" x14ac:dyDescent="0.2">
      <c r="A3166" s="1" t="s">
        <v>684</v>
      </c>
    </row>
    <row r="3167" spans="1:1" x14ac:dyDescent="0.2">
      <c r="A3167" s="1" t="s">
        <v>698</v>
      </c>
    </row>
    <row r="3168" spans="1:1" x14ac:dyDescent="0.2">
      <c r="A3168" s="1" t="s">
        <v>686</v>
      </c>
    </row>
    <row r="3169" spans="1:1" x14ac:dyDescent="0.2">
      <c r="A3169" s="1" t="s">
        <v>687</v>
      </c>
    </row>
    <row r="3170" spans="1:1" x14ac:dyDescent="0.2">
      <c r="A3170" s="1" t="s">
        <v>688</v>
      </c>
    </row>
    <row r="3171" spans="1:1" x14ac:dyDescent="0.2">
      <c r="A3171" s="1" t="s">
        <v>689</v>
      </c>
    </row>
    <row r="3172" spans="1:1" x14ac:dyDescent="0.2">
      <c r="A3172" s="1" t="s">
        <v>699</v>
      </c>
    </row>
    <row r="3173" spans="1:1" x14ac:dyDescent="0.2">
      <c r="A3173" s="1" t="s">
        <v>691</v>
      </c>
    </row>
    <row r="3174" spans="1:1" x14ac:dyDescent="0.2">
      <c r="A3174" s="1" t="s">
        <v>692</v>
      </c>
    </row>
    <row r="3175" spans="1:1" x14ac:dyDescent="0.2">
      <c r="A3175" s="1" t="s">
        <v>693</v>
      </c>
    </row>
    <row r="3176" spans="1:1" x14ac:dyDescent="0.2">
      <c r="A3176" s="1" t="s">
        <v>694</v>
      </c>
    </row>
    <row r="3177" spans="1:1" x14ac:dyDescent="0.2">
      <c r="A3177" s="1" t="s">
        <v>695</v>
      </c>
    </row>
    <row r="3178" spans="1:1" x14ac:dyDescent="0.2">
      <c r="A3178" s="1" t="s">
        <v>684</v>
      </c>
    </row>
    <row r="3179" spans="1:1" x14ac:dyDescent="0.2">
      <c r="A3179" s="1" t="s">
        <v>700</v>
      </c>
    </row>
    <row r="3180" spans="1:1" x14ac:dyDescent="0.2">
      <c r="A3180" s="1" t="s">
        <v>686</v>
      </c>
    </row>
    <row r="3181" spans="1:1" x14ac:dyDescent="0.2">
      <c r="A3181" s="1" t="s">
        <v>687</v>
      </c>
    </row>
    <row r="3182" spans="1:1" x14ac:dyDescent="0.2">
      <c r="A3182" s="1" t="s">
        <v>688</v>
      </c>
    </row>
    <row r="3183" spans="1:1" x14ac:dyDescent="0.2">
      <c r="A3183" s="1" t="s">
        <v>689</v>
      </c>
    </row>
    <row r="3184" spans="1:1" x14ac:dyDescent="0.2">
      <c r="A3184" s="1" t="s">
        <v>701</v>
      </c>
    </row>
    <row r="3185" spans="1:1" x14ac:dyDescent="0.2">
      <c r="A3185" s="1" t="s">
        <v>691</v>
      </c>
    </row>
    <row r="3186" spans="1:1" x14ac:dyDescent="0.2">
      <c r="A3186" s="1" t="s">
        <v>692</v>
      </c>
    </row>
    <row r="3187" spans="1:1" x14ac:dyDescent="0.2">
      <c r="A3187" s="1" t="s">
        <v>693</v>
      </c>
    </row>
    <row r="3188" spans="1:1" x14ac:dyDescent="0.2">
      <c r="A3188" s="1" t="s">
        <v>694</v>
      </c>
    </row>
    <row r="3189" spans="1:1" x14ac:dyDescent="0.2">
      <c r="A3189" s="1" t="s">
        <v>695</v>
      </c>
    </row>
    <row r="3190" spans="1:1" x14ac:dyDescent="0.2">
      <c r="A3190" s="1" t="s">
        <v>684</v>
      </c>
    </row>
    <row r="3191" spans="1:1" x14ac:dyDescent="0.2">
      <c r="A3191" s="1" t="s">
        <v>702</v>
      </c>
    </row>
    <row r="3192" spans="1:1" x14ac:dyDescent="0.2">
      <c r="A3192" s="1" t="s">
        <v>686</v>
      </c>
    </row>
    <row r="3193" spans="1:1" x14ac:dyDescent="0.2">
      <c r="A3193" s="1" t="s">
        <v>687</v>
      </c>
    </row>
    <row r="3194" spans="1:1" x14ac:dyDescent="0.2">
      <c r="A3194" s="1" t="s">
        <v>688</v>
      </c>
    </row>
    <row r="3195" spans="1:1" x14ac:dyDescent="0.2">
      <c r="A3195" s="1" t="s">
        <v>689</v>
      </c>
    </row>
    <row r="3196" spans="1:1" x14ac:dyDescent="0.2">
      <c r="A3196" s="1" t="s">
        <v>703</v>
      </c>
    </row>
    <row r="3197" spans="1:1" x14ac:dyDescent="0.2">
      <c r="A3197" s="1" t="s">
        <v>691</v>
      </c>
    </row>
    <row r="3198" spans="1:1" x14ac:dyDescent="0.2">
      <c r="A3198" s="1" t="s">
        <v>692</v>
      </c>
    </row>
    <row r="3199" spans="1:1" x14ac:dyDescent="0.2">
      <c r="A3199" s="1" t="s">
        <v>693</v>
      </c>
    </row>
    <row r="3200" spans="1:1" x14ac:dyDescent="0.2">
      <c r="A3200" s="1" t="s">
        <v>694</v>
      </c>
    </row>
    <row r="3201" spans="1:1" x14ac:dyDescent="0.2">
      <c r="A3201" s="1" t="s">
        <v>695</v>
      </c>
    </row>
    <row r="3202" spans="1:1" x14ac:dyDescent="0.2">
      <c r="A3202" s="1" t="s">
        <v>684</v>
      </c>
    </row>
    <row r="3203" spans="1:1" x14ac:dyDescent="0.2">
      <c r="A3203" s="1" t="s">
        <v>704</v>
      </c>
    </row>
    <row r="3204" spans="1:1" x14ac:dyDescent="0.2">
      <c r="A3204" s="1" t="s">
        <v>686</v>
      </c>
    </row>
    <row r="3205" spans="1:1" x14ac:dyDescent="0.2">
      <c r="A3205" s="1" t="s">
        <v>687</v>
      </c>
    </row>
    <row r="3206" spans="1:1" x14ac:dyDescent="0.2">
      <c r="A3206" s="1" t="s">
        <v>688</v>
      </c>
    </row>
    <row r="3207" spans="1:1" x14ac:dyDescent="0.2">
      <c r="A3207" s="1" t="s">
        <v>689</v>
      </c>
    </row>
    <row r="3208" spans="1:1" x14ac:dyDescent="0.2">
      <c r="A3208" s="1" t="s">
        <v>705</v>
      </c>
    </row>
    <row r="3209" spans="1:1" x14ac:dyDescent="0.2">
      <c r="A3209" s="1" t="s">
        <v>691</v>
      </c>
    </row>
    <row r="3210" spans="1:1" x14ac:dyDescent="0.2">
      <c r="A3210" s="1" t="s">
        <v>692</v>
      </c>
    </row>
    <row r="3211" spans="1:1" x14ac:dyDescent="0.2">
      <c r="A3211" s="1" t="s">
        <v>693</v>
      </c>
    </row>
    <row r="3212" spans="1:1" x14ac:dyDescent="0.2">
      <c r="A3212" s="1" t="s">
        <v>694</v>
      </c>
    </row>
    <row r="3213" spans="1:1" x14ac:dyDescent="0.2">
      <c r="A3213" s="1" t="s">
        <v>695</v>
      </c>
    </row>
    <row r="3214" spans="1:1" x14ac:dyDescent="0.2">
      <c r="A3214" s="1" t="s">
        <v>706</v>
      </c>
    </row>
    <row r="3215" spans="1:1" x14ac:dyDescent="0.2">
      <c r="A3215" s="1" t="s">
        <v>707</v>
      </c>
    </row>
    <row r="3216" spans="1:1" x14ac:dyDescent="0.2">
      <c r="A3216" s="1" t="s">
        <v>708</v>
      </c>
    </row>
    <row r="3217" spans="1:1" x14ac:dyDescent="0.2">
      <c r="A3217" s="1" t="s">
        <v>709</v>
      </c>
    </row>
    <row r="3218" spans="1:1" x14ac:dyDescent="0.2">
      <c r="A3218" s="1" t="s">
        <v>710</v>
      </c>
    </row>
    <row r="3219" spans="1:1" x14ac:dyDescent="0.2">
      <c r="A3219" s="1" t="s">
        <v>711</v>
      </c>
    </row>
    <row r="3220" spans="1:1" x14ac:dyDescent="0.2">
      <c r="A3220" s="1" t="s">
        <v>712</v>
      </c>
    </row>
    <row r="3221" spans="1:1" x14ac:dyDescent="0.2">
      <c r="A3221" s="1" t="s">
        <v>713</v>
      </c>
    </row>
    <row r="3222" spans="1:1" x14ac:dyDescent="0.2">
      <c r="A3222" s="1" t="s">
        <v>714</v>
      </c>
    </row>
    <row r="3223" spans="1:1" x14ac:dyDescent="0.2">
      <c r="A3223" s="1" t="s">
        <v>715</v>
      </c>
    </row>
    <row r="3224" spans="1:1" x14ac:dyDescent="0.2">
      <c r="A3224" s="1" t="s">
        <v>716</v>
      </c>
    </row>
    <row r="3225" spans="1:1" x14ac:dyDescent="0.2">
      <c r="A3225" s="1" t="s">
        <v>717</v>
      </c>
    </row>
    <row r="3226" spans="1:1" x14ac:dyDescent="0.2">
      <c r="A3226" s="1" t="s">
        <v>706</v>
      </c>
    </row>
    <row r="3227" spans="1:1" x14ac:dyDescent="0.2">
      <c r="A3227" s="1" t="s">
        <v>718</v>
      </c>
    </row>
    <row r="3228" spans="1:1" x14ac:dyDescent="0.2">
      <c r="A3228" s="1" t="s">
        <v>708</v>
      </c>
    </row>
    <row r="3229" spans="1:1" x14ac:dyDescent="0.2">
      <c r="A3229" s="1" t="s">
        <v>709</v>
      </c>
    </row>
    <row r="3230" spans="1:1" x14ac:dyDescent="0.2">
      <c r="A3230" s="1" t="s">
        <v>710</v>
      </c>
    </row>
    <row r="3231" spans="1:1" x14ac:dyDescent="0.2">
      <c r="A3231" s="1" t="s">
        <v>711</v>
      </c>
    </row>
    <row r="3232" spans="1:1" x14ac:dyDescent="0.2">
      <c r="A3232" s="1" t="s">
        <v>719</v>
      </c>
    </row>
    <row r="3233" spans="1:1" x14ac:dyDescent="0.2">
      <c r="A3233" s="1" t="s">
        <v>713</v>
      </c>
    </row>
    <row r="3234" spans="1:1" x14ac:dyDescent="0.2">
      <c r="A3234" s="1" t="s">
        <v>714</v>
      </c>
    </row>
    <row r="3235" spans="1:1" x14ac:dyDescent="0.2">
      <c r="A3235" s="1" t="s">
        <v>715</v>
      </c>
    </row>
    <row r="3236" spans="1:1" x14ac:dyDescent="0.2">
      <c r="A3236" s="1" t="s">
        <v>716</v>
      </c>
    </row>
    <row r="3237" spans="1:1" x14ac:dyDescent="0.2">
      <c r="A3237" s="1" t="s">
        <v>717</v>
      </c>
    </row>
    <row r="3238" spans="1:1" x14ac:dyDescent="0.2">
      <c r="A3238" s="1" t="s">
        <v>706</v>
      </c>
    </row>
    <row r="3239" spans="1:1" x14ac:dyDescent="0.2">
      <c r="A3239" s="1" t="s">
        <v>720</v>
      </c>
    </row>
    <row r="3240" spans="1:1" x14ac:dyDescent="0.2">
      <c r="A3240" s="1" t="s">
        <v>708</v>
      </c>
    </row>
    <row r="3241" spans="1:1" x14ac:dyDescent="0.2">
      <c r="A3241" s="1" t="s">
        <v>709</v>
      </c>
    </row>
    <row r="3242" spans="1:1" x14ac:dyDescent="0.2">
      <c r="A3242" s="1" t="s">
        <v>710</v>
      </c>
    </row>
    <row r="3243" spans="1:1" x14ac:dyDescent="0.2">
      <c r="A3243" s="1" t="s">
        <v>711</v>
      </c>
    </row>
    <row r="3244" spans="1:1" x14ac:dyDescent="0.2">
      <c r="A3244" s="1" t="s">
        <v>721</v>
      </c>
    </row>
    <row r="3245" spans="1:1" x14ac:dyDescent="0.2">
      <c r="A3245" s="1" t="s">
        <v>713</v>
      </c>
    </row>
    <row r="3246" spans="1:1" x14ac:dyDescent="0.2">
      <c r="A3246" s="1" t="s">
        <v>714</v>
      </c>
    </row>
    <row r="3247" spans="1:1" x14ac:dyDescent="0.2">
      <c r="A3247" s="1" t="s">
        <v>715</v>
      </c>
    </row>
    <row r="3248" spans="1:1" x14ac:dyDescent="0.2">
      <c r="A3248" s="1" t="s">
        <v>716</v>
      </c>
    </row>
    <row r="3249" spans="1:1" x14ac:dyDescent="0.2">
      <c r="A3249" s="1" t="s">
        <v>717</v>
      </c>
    </row>
    <row r="3250" spans="1:1" x14ac:dyDescent="0.2">
      <c r="A3250" s="1" t="s">
        <v>706</v>
      </c>
    </row>
    <row r="3251" spans="1:1" x14ac:dyDescent="0.2">
      <c r="A3251" s="1" t="s">
        <v>722</v>
      </c>
    </row>
    <row r="3252" spans="1:1" x14ac:dyDescent="0.2">
      <c r="A3252" s="1" t="s">
        <v>708</v>
      </c>
    </row>
    <row r="3253" spans="1:1" x14ac:dyDescent="0.2">
      <c r="A3253" s="1" t="s">
        <v>709</v>
      </c>
    </row>
    <row r="3254" spans="1:1" x14ac:dyDescent="0.2">
      <c r="A3254" s="1" t="s">
        <v>710</v>
      </c>
    </row>
    <row r="3255" spans="1:1" x14ac:dyDescent="0.2">
      <c r="A3255" s="1" t="s">
        <v>711</v>
      </c>
    </row>
    <row r="3256" spans="1:1" x14ac:dyDescent="0.2">
      <c r="A3256" s="1" t="s">
        <v>723</v>
      </c>
    </row>
    <row r="3257" spans="1:1" x14ac:dyDescent="0.2">
      <c r="A3257" s="1" t="s">
        <v>713</v>
      </c>
    </row>
    <row r="3258" spans="1:1" x14ac:dyDescent="0.2">
      <c r="A3258" s="1" t="s">
        <v>714</v>
      </c>
    </row>
    <row r="3259" spans="1:1" x14ac:dyDescent="0.2">
      <c r="A3259" s="1" t="s">
        <v>715</v>
      </c>
    </row>
    <row r="3260" spans="1:1" x14ac:dyDescent="0.2">
      <c r="A3260" s="1" t="s">
        <v>716</v>
      </c>
    </row>
    <row r="3261" spans="1:1" x14ac:dyDescent="0.2">
      <c r="A3261" s="1" t="s">
        <v>717</v>
      </c>
    </row>
    <row r="3262" spans="1:1" x14ac:dyDescent="0.2">
      <c r="A3262" s="1" t="s">
        <v>724</v>
      </c>
    </row>
    <row r="3263" spans="1:1" x14ac:dyDescent="0.2">
      <c r="A3263" s="1" t="s">
        <v>725</v>
      </c>
    </row>
    <row r="3264" spans="1:1" x14ac:dyDescent="0.2">
      <c r="A3264" s="1" t="s">
        <v>726</v>
      </c>
    </row>
    <row r="3265" spans="1:1" x14ac:dyDescent="0.2">
      <c r="A3265" s="1" t="s">
        <v>727</v>
      </c>
    </row>
    <row r="3266" spans="1:1" x14ac:dyDescent="0.2">
      <c r="A3266" s="1" t="s">
        <v>728</v>
      </c>
    </row>
    <row r="3267" spans="1:1" x14ac:dyDescent="0.2">
      <c r="A3267" s="1" t="s">
        <v>729</v>
      </c>
    </row>
    <row r="3268" spans="1:1" x14ac:dyDescent="0.2">
      <c r="A3268" s="1" t="s">
        <v>730</v>
      </c>
    </row>
    <row r="3269" spans="1:1" x14ac:dyDescent="0.2">
      <c r="A3269" s="1" t="s">
        <v>731</v>
      </c>
    </row>
    <row r="3270" spans="1:1" x14ac:dyDescent="0.2">
      <c r="A3270" s="1" t="s">
        <v>732</v>
      </c>
    </row>
    <row r="3271" spans="1:1" x14ac:dyDescent="0.2">
      <c r="A3271" s="1" t="s">
        <v>733</v>
      </c>
    </row>
    <row r="3272" spans="1:1" x14ac:dyDescent="0.2">
      <c r="A3272" s="1" t="s">
        <v>734</v>
      </c>
    </row>
    <row r="3273" spans="1:1" x14ac:dyDescent="0.2">
      <c r="A3273" s="1" t="s">
        <v>735</v>
      </c>
    </row>
    <row r="3274" spans="1:1" x14ac:dyDescent="0.2">
      <c r="A3274" s="1" t="s">
        <v>724</v>
      </c>
    </row>
    <row r="3275" spans="1:1" x14ac:dyDescent="0.2">
      <c r="A3275" s="1" t="s">
        <v>736</v>
      </c>
    </row>
    <row r="3276" spans="1:1" x14ac:dyDescent="0.2">
      <c r="A3276" s="1" t="s">
        <v>726</v>
      </c>
    </row>
    <row r="3277" spans="1:1" x14ac:dyDescent="0.2">
      <c r="A3277" s="1" t="s">
        <v>727</v>
      </c>
    </row>
    <row r="3278" spans="1:1" x14ac:dyDescent="0.2">
      <c r="A3278" s="1" t="s">
        <v>728</v>
      </c>
    </row>
    <row r="3279" spans="1:1" x14ac:dyDescent="0.2">
      <c r="A3279" s="1" t="s">
        <v>729</v>
      </c>
    </row>
    <row r="3280" spans="1:1" x14ac:dyDescent="0.2">
      <c r="A3280" s="1" t="s">
        <v>737</v>
      </c>
    </row>
    <row r="3281" spans="1:1" x14ac:dyDescent="0.2">
      <c r="A3281" s="1" t="s">
        <v>731</v>
      </c>
    </row>
    <row r="3282" spans="1:1" x14ac:dyDescent="0.2">
      <c r="A3282" s="1" t="s">
        <v>732</v>
      </c>
    </row>
    <row r="3283" spans="1:1" x14ac:dyDescent="0.2">
      <c r="A3283" s="1" t="s">
        <v>733</v>
      </c>
    </row>
    <row r="3284" spans="1:1" x14ac:dyDescent="0.2">
      <c r="A3284" s="1" t="s">
        <v>734</v>
      </c>
    </row>
    <row r="3285" spans="1:1" x14ac:dyDescent="0.2">
      <c r="A3285" s="1" t="s">
        <v>735</v>
      </c>
    </row>
    <row r="3286" spans="1:1" x14ac:dyDescent="0.2">
      <c r="A3286" s="1" t="s">
        <v>738</v>
      </c>
    </row>
    <row r="3287" spans="1:1" x14ac:dyDescent="0.2">
      <c r="A3287" s="1" t="s">
        <v>739</v>
      </c>
    </row>
    <row r="3288" spans="1:1" x14ac:dyDescent="0.2">
      <c r="A3288" s="1" t="s">
        <v>740</v>
      </c>
    </row>
    <row r="3289" spans="1:1" x14ac:dyDescent="0.2">
      <c r="A3289" s="1" t="s">
        <v>741</v>
      </c>
    </row>
    <row r="3290" spans="1:1" x14ac:dyDescent="0.2">
      <c r="A3290" s="1" t="s">
        <v>742</v>
      </c>
    </row>
    <row r="3291" spans="1:1" x14ac:dyDescent="0.2">
      <c r="A3291" s="1" t="s">
        <v>743</v>
      </c>
    </row>
    <row r="3292" spans="1:1" x14ac:dyDescent="0.2">
      <c r="A3292" s="1" t="s">
        <v>744</v>
      </c>
    </row>
    <row r="3293" spans="1:1" x14ac:dyDescent="0.2">
      <c r="A3293" s="1" t="s">
        <v>745</v>
      </c>
    </row>
    <row r="3294" spans="1:1" x14ac:dyDescent="0.2">
      <c r="A3294" s="1" t="s">
        <v>746</v>
      </c>
    </row>
    <row r="3295" spans="1:1" x14ac:dyDescent="0.2">
      <c r="A3295" s="1" t="s">
        <v>747</v>
      </c>
    </row>
    <row r="3296" spans="1:1" x14ac:dyDescent="0.2">
      <c r="A3296" s="1" t="s">
        <v>748</v>
      </c>
    </row>
    <row r="3297" spans="1:1" x14ac:dyDescent="0.2">
      <c r="A3297" s="1" t="s">
        <v>749</v>
      </c>
    </row>
    <row r="3298" spans="1:1" x14ac:dyDescent="0.2">
      <c r="A3298" s="1" t="s">
        <v>738</v>
      </c>
    </row>
    <row r="3299" spans="1:1" x14ac:dyDescent="0.2">
      <c r="A3299" s="1" t="s">
        <v>750</v>
      </c>
    </row>
    <row r="3300" spans="1:1" x14ac:dyDescent="0.2">
      <c r="A3300" s="1" t="s">
        <v>740</v>
      </c>
    </row>
    <row r="3301" spans="1:1" x14ac:dyDescent="0.2">
      <c r="A3301" s="1" t="s">
        <v>741</v>
      </c>
    </row>
    <row r="3302" spans="1:1" x14ac:dyDescent="0.2">
      <c r="A3302" s="1" t="s">
        <v>742</v>
      </c>
    </row>
    <row r="3303" spans="1:1" x14ac:dyDescent="0.2">
      <c r="A3303" s="1" t="s">
        <v>743</v>
      </c>
    </row>
    <row r="3304" spans="1:1" x14ac:dyDescent="0.2">
      <c r="A3304" s="1" t="s">
        <v>751</v>
      </c>
    </row>
    <row r="3305" spans="1:1" x14ac:dyDescent="0.2">
      <c r="A3305" s="1" t="s">
        <v>745</v>
      </c>
    </row>
    <row r="3306" spans="1:1" x14ac:dyDescent="0.2">
      <c r="A3306" s="1" t="s">
        <v>746</v>
      </c>
    </row>
    <row r="3307" spans="1:1" x14ac:dyDescent="0.2">
      <c r="A3307" s="1" t="s">
        <v>747</v>
      </c>
    </row>
    <row r="3308" spans="1:1" x14ac:dyDescent="0.2">
      <c r="A3308" s="1" t="s">
        <v>748</v>
      </c>
    </row>
    <row r="3309" spans="1:1" x14ac:dyDescent="0.2">
      <c r="A3309" s="1" t="s">
        <v>749</v>
      </c>
    </row>
    <row r="3310" spans="1:1" x14ac:dyDescent="0.2">
      <c r="A3310" s="1" t="s">
        <v>738</v>
      </c>
    </row>
    <row r="3311" spans="1:1" x14ac:dyDescent="0.2">
      <c r="A3311" s="1" t="s">
        <v>752</v>
      </c>
    </row>
    <row r="3312" spans="1:1" x14ac:dyDescent="0.2">
      <c r="A3312" s="1" t="s">
        <v>740</v>
      </c>
    </row>
    <row r="3313" spans="1:1" x14ac:dyDescent="0.2">
      <c r="A3313" s="1" t="s">
        <v>741</v>
      </c>
    </row>
    <row r="3314" spans="1:1" x14ac:dyDescent="0.2">
      <c r="A3314" s="1" t="s">
        <v>742</v>
      </c>
    </row>
    <row r="3315" spans="1:1" x14ac:dyDescent="0.2">
      <c r="A3315" s="1" t="s">
        <v>743</v>
      </c>
    </row>
    <row r="3316" spans="1:1" x14ac:dyDescent="0.2">
      <c r="A3316" s="1" t="s">
        <v>753</v>
      </c>
    </row>
    <row r="3317" spans="1:1" x14ac:dyDescent="0.2">
      <c r="A3317" s="1" t="s">
        <v>745</v>
      </c>
    </row>
    <row r="3318" spans="1:1" x14ac:dyDescent="0.2">
      <c r="A3318" s="1" t="s">
        <v>746</v>
      </c>
    </row>
    <row r="3319" spans="1:1" x14ac:dyDescent="0.2">
      <c r="A3319" s="1" t="s">
        <v>747</v>
      </c>
    </row>
    <row r="3320" spans="1:1" x14ac:dyDescent="0.2">
      <c r="A3320" s="1" t="s">
        <v>748</v>
      </c>
    </row>
    <row r="3321" spans="1:1" x14ac:dyDescent="0.2">
      <c r="A3321" s="1" t="s">
        <v>749</v>
      </c>
    </row>
    <row r="3322" spans="1:1" x14ac:dyDescent="0.2">
      <c r="A3322" s="1" t="s">
        <v>738</v>
      </c>
    </row>
    <row r="3323" spans="1:1" x14ac:dyDescent="0.2">
      <c r="A3323" s="1" t="s">
        <v>754</v>
      </c>
    </row>
    <row r="3324" spans="1:1" x14ac:dyDescent="0.2">
      <c r="A3324" s="1" t="s">
        <v>740</v>
      </c>
    </row>
    <row r="3325" spans="1:1" x14ac:dyDescent="0.2">
      <c r="A3325" s="1" t="s">
        <v>741</v>
      </c>
    </row>
    <row r="3326" spans="1:1" x14ac:dyDescent="0.2">
      <c r="A3326" s="1" t="s">
        <v>742</v>
      </c>
    </row>
    <row r="3327" spans="1:1" x14ac:dyDescent="0.2">
      <c r="A3327" s="1" t="s">
        <v>743</v>
      </c>
    </row>
    <row r="3328" spans="1:1" x14ac:dyDescent="0.2">
      <c r="A3328" s="1" t="s">
        <v>755</v>
      </c>
    </row>
    <row r="3329" spans="1:1" x14ac:dyDescent="0.2">
      <c r="A3329" s="1" t="s">
        <v>745</v>
      </c>
    </row>
    <row r="3330" spans="1:1" x14ac:dyDescent="0.2">
      <c r="A3330" s="1" t="s">
        <v>746</v>
      </c>
    </row>
    <row r="3331" spans="1:1" x14ac:dyDescent="0.2">
      <c r="A3331" s="1" t="s">
        <v>747</v>
      </c>
    </row>
    <row r="3332" spans="1:1" x14ac:dyDescent="0.2">
      <c r="A3332" s="1" t="s">
        <v>748</v>
      </c>
    </row>
    <row r="3333" spans="1:1" x14ac:dyDescent="0.2">
      <c r="A3333" s="1" t="s">
        <v>749</v>
      </c>
    </row>
    <row r="3334" spans="1:1" x14ac:dyDescent="0.2">
      <c r="A3334" s="1" t="s">
        <v>738</v>
      </c>
    </row>
    <row r="3335" spans="1:1" x14ac:dyDescent="0.2">
      <c r="A3335" s="1" t="s">
        <v>756</v>
      </c>
    </row>
    <row r="3336" spans="1:1" x14ac:dyDescent="0.2">
      <c r="A3336" s="1" t="s">
        <v>740</v>
      </c>
    </row>
    <row r="3337" spans="1:1" x14ac:dyDescent="0.2">
      <c r="A3337" s="1" t="s">
        <v>741</v>
      </c>
    </row>
    <row r="3338" spans="1:1" x14ac:dyDescent="0.2">
      <c r="A3338" s="1" t="s">
        <v>742</v>
      </c>
    </row>
    <row r="3339" spans="1:1" x14ac:dyDescent="0.2">
      <c r="A3339" s="1" t="s">
        <v>743</v>
      </c>
    </row>
    <row r="3340" spans="1:1" x14ac:dyDescent="0.2">
      <c r="A3340" s="1" t="s">
        <v>757</v>
      </c>
    </row>
    <row r="3341" spans="1:1" x14ac:dyDescent="0.2">
      <c r="A3341" s="1" t="s">
        <v>745</v>
      </c>
    </row>
    <row r="3342" spans="1:1" x14ac:dyDescent="0.2">
      <c r="A3342" s="1" t="s">
        <v>746</v>
      </c>
    </row>
    <row r="3343" spans="1:1" x14ac:dyDescent="0.2">
      <c r="A3343" s="1" t="s">
        <v>747</v>
      </c>
    </row>
    <row r="3344" spans="1:1" x14ac:dyDescent="0.2">
      <c r="A3344" s="1" t="s">
        <v>748</v>
      </c>
    </row>
    <row r="3345" spans="1:1" x14ac:dyDescent="0.2">
      <c r="A3345" s="1" t="s">
        <v>749</v>
      </c>
    </row>
    <row r="3346" spans="1:1" x14ac:dyDescent="0.2">
      <c r="A3346" s="1" t="s">
        <v>738</v>
      </c>
    </row>
    <row r="3347" spans="1:1" x14ac:dyDescent="0.2">
      <c r="A3347" s="1" t="s">
        <v>758</v>
      </c>
    </row>
    <row r="3348" spans="1:1" x14ac:dyDescent="0.2">
      <c r="A3348" s="1" t="s">
        <v>740</v>
      </c>
    </row>
    <row r="3349" spans="1:1" x14ac:dyDescent="0.2">
      <c r="A3349" s="1" t="s">
        <v>741</v>
      </c>
    </row>
    <row r="3350" spans="1:1" x14ac:dyDescent="0.2">
      <c r="A3350" s="1" t="s">
        <v>742</v>
      </c>
    </row>
    <row r="3351" spans="1:1" x14ac:dyDescent="0.2">
      <c r="A3351" s="1" t="s">
        <v>743</v>
      </c>
    </row>
    <row r="3352" spans="1:1" x14ac:dyDescent="0.2">
      <c r="A3352" s="1" t="s">
        <v>759</v>
      </c>
    </row>
    <row r="3353" spans="1:1" x14ac:dyDescent="0.2">
      <c r="A3353" s="1" t="s">
        <v>745</v>
      </c>
    </row>
    <row r="3354" spans="1:1" x14ac:dyDescent="0.2">
      <c r="A3354" s="1" t="s">
        <v>746</v>
      </c>
    </row>
    <row r="3355" spans="1:1" x14ac:dyDescent="0.2">
      <c r="A3355" s="1" t="s">
        <v>747</v>
      </c>
    </row>
    <row r="3356" spans="1:1" x14ac:dyDescent="0.2">
      <c r="A3356" s="1" t="s">
        <v>748</v>
      </c>
    </row>
    <row r="3357" spans="1:1" x14ac:dyDescent="0.2">
      <c r="A3357" s="1" t="s">
        <v>749</v>
      </c>
    </row>
    <row r="3358" spans="1:1" x14ac:dyDescent="0.2">
      <c r="A3358" s="1" t="s">
        <v>760</v>
      </c>
    </row>
    <row r="3359" spans="1:1" x14ac:dyDescent="0.2">
      <c r="A3359" s="1" t="s">
        <v>761</v>
      </c>
    </row>
    <row r="3360" spans="1:1" x14ac:dyDescent="0.2">
      <c r="A3360" s="1" t="s">
        <v>762</v>
      </c>
    </row>
    <row r="3361" spans="1:1" x14ac:dyDescent="0.2">
      <c r="A3361" s="1" t="s">
        <v>763</v>
      </c>
    </row>
    <row r="3362" spans="1:1" x14ac:dyDescent="0.2">
      <c r="A3362" s="1" t="s">
        <v>764</v>
      </c>
    </row>
    <row r="3363" spans="1:1" x14ac:dyDescent="0.2">
      <c r="A3363" s="1" t="s">
        <v>765</v>
      </c>
    </row>
    <row r="3364" spans="1:1" x14ac:dyDescent="0.2">
      <c r="A3364" s="1" t="s">
        <v>766</v>
      </c>
    </row>
    <row r="3365" spans="1:1" x14ac:dyDescent="0.2">
      <c r="A3365" s="1" t="s">
        <v>767</v>
      </c>
    </row>
    <row r="3366" spans="1:1" x14ac:dyDescent="0.2">
      <c r="A3366" s="1" t="s">
        <v>768</v>
      </c>
    </row>
    <row r="3367" spans="1:1" x14ac:dyDescent="0.2">
      <c r="A3367" s="1" t="s">
        <v>769</v>
      </c>
    </row>
    <row r="3368" spans="1:1" x14ac:dyDescent="0.2">
      <c r="A3368" s="1" t="s">
        <v>770</v>
      </c>
    </row>
    <row r="3369" spans="1:1" x14ac:dyDescent="0.2">
      <c r="A3369" s="1" t="s">
        <v>771</v>
      </c>
    </row>
    <row r="3370" spans="1:1" x14ac:dyDescent="0.2">
      <c r="A3370" s="1" t="s">
        <v>760</v>
      </c>
    </row>
    <row r="3371" spans="1:1" x14ac:dyDescent="0.2">
      <c r="A3371" s="1" t="s">
        <v>772</v>
      </c>
    </row>
    <row r="3372" spans="1:1" x14ac:dyDescent="0.2">
      <c r="A3372" s="1" t="s">
        <v>762</v>
      </c>
    </row>
    <row r="3373" spans="1:1" x14ac:dyDescent="0.2">
      <c r="A3373" s="1" t="s">
        <v>763</v>
      </c>
    </row>
    <row r="3374" spans="1:1" x14ac:dyDescent="0.2">
      <c r="A3374" s="1" t="s">
        <v>764</v>
      </c>
    </row>
    <row r="3375" spans="1:1" x14ac:dyDescent="0.2">
      <c r="A3375" s="1" t="s">
        <v>765</v>
      </c>
    </row>
    <row r="3376" spans="1:1" x14ac:dyDescent="0.2">
      <c r="A3376" s="1" t="s">
        <v>773</v>
      </c>
    </row>
    <row r="3377" spans="1:1" x14ac:dyDescent="0.2">
      <c r="A3377" s="1" t="s">
        <v>767</v>
      </c>
    </row>
    <row r="3378" spans="1:1" x14ac:dyDescent="0.2">
      <c r="A3378" s="1" t="s">
        <v>768</v>
      </c>
    </row>
    <row r="3379" spans="1:1" x14ac:dyDescent="0.2">
      <c r="A3379" s="1" t="s">
        <v>769</v>
      </c>
    </row>
    <row r="3380" spans="1:1" x14ac:dyDescent="0.2">
      <c r="A3380" s="1" t="s">
        <v>770</v>
      </c>
    </row>
    <row r="3381" spans="1:1" x14ac:dyDescent="0.2">
      <c r="A3381" s="1" t="s">
        <v>771</v>
      </c>
    </row>
    <row r="3382" spans="1:1" x14ac:dyDescent="0.2">
      <c r="A3382" s="1" t="s">
        <v>774</v>
      </c>
    </row>
    <row r="3383" spans="1:1" x14ac:dyDescent="0.2">
      <c r="A3383" s="1" t="s">
        <v>775</v>
      </c>
    </row>
    <row r="3384" spans="1:1" x14ac:dyDescent="0.2">
      <c r="A3384" s="1" t="s">
        <v>776</v>
      </c>
    </row>
    <row r="3385" spans="1:1" x14ac:dyDescent="0.2">
      <c r="A3385" s="1" t="s">
        <v>777</v>
      </c>
    </row>
    <row r="3386" spans="1:1" x14ac:dyDescent="0.2">
      <c r="A3386" s="1" t="s">
        <v>778</v>
      </c>
    </row>
    <row r="3387" spans="1:1" x14ac:dyDescent="0.2">
      <c r="A3387" s="1" t="s">
        <v>779</v>
      </c>
    </row>
    <row r="3388" spans="1:1" x14ac:dyDescent="0.2">
      <c r="A3388" s="1" t="s">
        <v>780</v>
      </c>
    </row>
    <row r="3389" spans="1:1" x14ac:dyDescent="0.2">
      <c r="A3389" s="1" t="s">
        <v>781</v>
      </c>
    </row>
    <row r="3390" spans="1:1" x14ac:dyDescent="0.2">
      <c r="A3390" s="1" t="s">
        <v>782</v>
      </c>
    </row>
    <row r="3391" spans="1:1" x14ac:dyDescent="0.2">
      <c r="A3391" s="1" t="s">
        <v>783</v>
      </c>
    </row>
    <row r="3392" spans="1:1" x14ac:dyDescent="0.2">
      <c r="A3392" s="1" t="s">
        <v>784</v>
      </c>
    </row>
    <row r="3393" spans="1:1" x14ac:dyDescent="0.2">
      <c r="A3393" s="1" t="s">
        <v>785</v>
      </c>
    </row>
    <row r="3394" spans="1:1" x14ac:dyDescent="0.2">
      <c r="A3394" s="1" t="s">
        <v>786</v>
      </c>
    </row>
    <row r="3395" spans="1:1" x14ac:dyDescent="0.2">
      <c r="A3395" s="1" t="s">
        <v>787</v>
      </c>
    </row>
    <row r="3396" spans="1:1" x14ac:dyDescent="0.2">
      <c r="A3396" s="1" t="s">
        <v>788</v>
      </c>
    </row>
    <row r="3397" spans="1:1" x14ac:dyDescent="0.2">
      <c r="A3397" s="1" t="s">
        <v>789</v>
      </c>
    </row>
    <row r="3398" spans="1:1" x14ac:dyDescent="0.2">
      <c r="A3398" s="1" t="s">
        <v>790</v>
      </c>
    </row>
    <row r="3399" spans="1:1" x14ac:dyDescent="0.2">
      <c r="A3399" s="1" t="s">
        <v>791</v>
      </c>
    </row>
    <row r="3400" spans="1:1" x14ac:dyDescent="0.2">
      <c r="A3400" s="1" t="s">
        <v>792</v>
      </c>
    </row>
    <row r="3401" spans="1:1" x14ac:dyDescent="0.2">
      <c r="A3401" s="1" t="s">
        <v>781</v>
      </c>
    </row>
    <row r="3402" spans="1:1" x14ac:dyDescent="0.2">
      <c r="A3402" s="1" t="s">
        <v>782</v>
      </c>
    </row>
    <row r="3403" spans="1:1" x14ac:dyDescent="0.2">
      <c r="A3403" s="1" t="s">
        <v>783</v>
      </c>
    </row>
    <row r="3404" spans="1:1" x14ac:dyDescent="0.2">
      <c r="A3404" s="1" t="s">
        <v>784</v>
      </c>
    </row>
    <row r="3405" spans="1:1" x14ac:dyDescent="0.2">
      <c r="A3405" s="1" t="s">
        <v>785</v>
      </c>
    </row>
    <row r="3406" spans="1:1" x14ac:dyDescent="0.2">
      <c r="A3406" s="1" t="s">
        <v>786</v>
      </c>
    </row>
    <row r="3407" spans="1:1" x14ac:dyDescent="0.2">
      <c r="A3407" s="1" t="s">
        <v>793</v>
      </c>
    </row>
    <row r="3408" spans="1:1" x14ac:dyDescent="0.2">
      <c r="A3408" s="1" t="s">
        <v>788</v>
      </c>
    </row>
    <row r="3409" spans="1:1" x14ac:dyDescent="0.2">
      <c r="A3409" s="1" t="s">
        <v>789</v>
      </c>
    </row>
    <row r="3410" spans="1:1" x14ac:dyDescent="0.2">
      <c r="A3410" s="1" t="s">
        <v>790</v>
      </c>
    </row>
    <row r="3411" spans="1:1" x14ac:dyDescent="0.2">
      <c r="A3411" s="1" t="s">
        <v>791</v>
      </c>
    </row>
    <row r="3412" spans="1:1" x14ac:dyDescent="0.2">
      <c r="A3412" s="1" t="s">
        <v>794</v>
      </c>
    </row>
    <row r="3413" spans="1:1" x14ac:dyDescent="0.2">
      <c r="A3413" s="1" t="s">
        <v>781</v>
      </c>
    </row>
    <row r="3414" spans="1:1" x14ac:dyDescent="0.2">
      <c r="A3414" s="1" t="s">
        <v>782</v>
      </c>
    </row>
    <row r="3415" spans="1:1" x14ac:dyDescent="0.2">
      <c r="A3415" s="1" t="s">
        <v>783</v>
      </c>
    </row>
    <row r="3416" spans="1:1" x14ac:dyDescent="0.2">
      <c r="A3416" s="1" t="s">
        <v>784</v>
      </c>
    </row>
    <row r="3417" spans="1:1" x14ac:dyDescent="0.2">
      <c r="A3417" s="1" t="s">
        <v>785</v>
      </c>
    </row>
    <row r="3418" spans="1:1" x14ac:dyDescent="0.2">
      <c r="A3418" s="1" t="s">
        <v>786</v>
      </c>
    </row>
    <row r="3419" spans="1:1" x14ac:dyDescent="0.2">
      <c r="A3419" s="1" t="s">
        <v>795</v>
      </c>
    </row>
    <row r="3420" spans="1:1" x14ac:dyDescent="0.2">
      <c r="A3420" s="1" t="s">
        <v>788</v>
      </c>
    </row>
    <row r="3421" spans="1:1" x14ac:dyDescent="0.2">
      <c r="A3421" s="1" t="s">
        <v>789</v>
      </c>
    </row>
    <row r="3422" spans="1:1" x14ac:dyDescent="0.2">
      <c r="A3422" s="1" t="s">
        <v>790</v>
      </c>
    </row>
    <row r="3423" spans="1:1" x14ac:dyDescent="0.2">
      <c r="A3423" s="1" t="s">
        <v>791</v>
      </c>
    </row>
    <row r="3424" spans="1:1" x14ac:dyDescent="0.2">
      <c r="A3424" s="1" t="s">
        <v>796</v>
      </c>
    </row>
    <row r="3425" spans="1:1" x14ac:dyDescent="0.2">
      <c r="A3425" s="1" t="s">
        <v>781</v>
      </c>
    </row>
    <row r="3426" spans="1:1" x14ac:dyDescent="0.2">
      <c r="A3426" s="1" t="s">
        <v>782</v>
      </c>
    </row>
    <row r="3427" spans="1:1" x14ac:dyDescent="0.2">
      <c r="A3427" s="1" t="s">
        <v>783</v>
      </c>
    </row>
    <row r="3428" spans="1:1" x14ac:dyDescent="0.2">
      <c r="A3428" s="1" t="s">
        <v>784</v>
      </c>
    </row>
    <row r="3429" spans="1:1" x14ac:dyDescent="0.2">
      <c r="A3429" s="1" t="s">
        <v>785</v>
      </c>
    </row>
    <row r="3430" spans="1:1" x14ac:dyDescent="0.2">
      <c r="A3430" s="1" t="s">
        <v>786</v>
      </c>
    </row>
    <row r="3431" spans="1:1" x14ac:dyDescent="0.2">
      <c r="A3431" s="1" t="s">
        <v>797</v>
      </c>
    </row>
    <row r="3432" spans="1:1" x14ac:dyDescent="0.2">
      <c r="A3432" s="1" t="s">
        <v>788</v>
      </c>
    </row>
    <row r="3433" spans="1:1" x14ac:dyDescent="0.2">
      <c r="A3433" s="1" t="s">
        <v>789</v>
      </c>
    </row>
    <row r="3434" spans="1:1" x14ac:dyDescent="0.2">
      <c r="A3434" s="1" t="s">
        <v>790</v>
      </c>
    </row>
    <row r="3435" spans="1:1" x14ac:dyDescent="0.2">
      <c r="A3435" s="1" t="s">
        <v>791</v>
      </c>
    </row>
    <row r="3436" spans="1:1" x14ac:dyDescent="0.2">
      <c r="A3436" s="1" t="s">
        <v>798</v>
      </c>
    </row>
    <row r="3437" spans="1:1" x14ac:dyDescent="0.2">
      <c r="A3437" s="1" t="s">
        <v>781</v>
      </c>
    </row>
    <row r="3438" spans="1:1" x14ac:dyDescent="0.2">
      <c r="A3438" s="1" t="s">
        <v>782</v>
      </c>
    </row>
    <row r="3439" spans="1:1" x14ac:dyDescent="0.2">
      <c r="A3439" s="1" t="s">
        <v>783</v>
      </c>
    </row>
    <row r="3440" spans="1:1" x14ac:dyDescent="0.2">
      <c r="A3440" s="1" t="s">
        <v>784</v>
      </c>
    </row>
    <row r="3441" spans="1:1" x14ac:dyDescent="0.2">
      <c r="A3441" s="1" t="s">
        <v>785</v>
      </c>
    </row>
    <row r="3442" spans="1:1" x14ac:dyDescent="0.2">
      <c r="A3442" s="1" t="s">
        <v>786</v>
      </c>
    </row>
    <row r="3443" spans="1:1" x14ac:dyDescent="0.2">
      <c r="A3443" s="1" t="s">
        <v>799</v>
      </c>
    </row>
    <row r="3444" spans="1:1" x14ac:dyDescent="0.2">
      <c r="A3444" s="1" t="s">
        <v>788</v>
      </c>
    </row>
    <row r="3445" spans="1:1" x14ac:dyDescent="0.2">
      <c r="A3445" s="1" t="s">
        <v>789</v>
      </c>
    </row>
    <row r="3446" spans="1:1" x14ac:dyDescent="0.2">
      <c r="A3446" s="1" t="s">
        <v>790</v>
      </c>
    </row>
    <row r="3447" spans="1:1" x14ac:dyDescent="0.2">
      <c r="A3447" s="1" t="s">
        <v>791</v>
      </c>
    </row>
    <row r="3448" spans="1:1" x14ac:dyDescent="0.2">
      <c r="A3448" s="1" t="s">
        <v>800</v>
      </c>
    </row>
    <row r="3449" spans="1:1" x14ac:dyDescent="0.2">
      <c r="A3449" s="1" t="s">
        <v>781</v>
      </c>
    </row>
    <row r="3450" spans="1:1" x14ac:dyDescent="0.2">
      <c r="A3450" s="1" t="s">
        <v>782</v>
      </c>
    </row>
    <row r="3451" spans="1:1" x14ac:dyDescent="0.2">
      <c r="A3451" s="1" t="s">
        <v>783</v>
      </c>
    </row>
    <row r="3452" spans="1:1" x14ac:dyDescent="0.2">
      <c r="A3452" s="1" t="s">
        <v>784</v>
      </c>
    </row>
    <row r="3453" spans="1:1" x14ac:dyDescent="0.2">
      <c r="A3453" s="1" t="s">
        <v>785</v>
      </c>
    </row>
    <row r="3454" spans="1:1" x14ac:dyDescent="0.2">
      <c r="A3454" s="1" t="s">
        <v>786</v>
      </c>
    </row>
    <row r="3455" spans="1:1" x14ac:dyDescent="0.2">
      <c r="A3455" s="1" t="s">
        <v>801</v>
      </c>
    </row>
    <row r="3456" spans="1:1" x14ac:dyDescent="0.2">
      <c r="A3456" s="1" t="s">
        <v>788</v>
      </c>
    </row>
    <row r="3457" spans="1:1" x14ac:dyDescent="0.2">
      <c r="A3457" s="1" t="s">
        <v>789</v>
      </c>
    </row>
    <row r="3458" spans="1:1" x14ac:dyDescent="0.2">
      <c r="A3458" s="1" t="s">
        <v>790</v>
      </c>
    </row>
    <row r="3459" spans="1:1" x14ac:dyDescent="0.2">
      <c r="A3459" s="1" t="s">
        <v>791</v>
      </c>
    </row>
    <row r="3460" spans="1:1" x14ac:dyDescent="0.2">
      <c r="A3460" s="1" t="s">
        <v>802</v>
      </c>
    </row>
    <row r="3461" spans="1:1" x14ac:dyDescent="0.2">
      <c r="A3461" s="1" t="s">
        <v>781</v>
      </c>
    </row>
    <row r="3462" spans="1:1" x14ac:dyDescent="0.2">
      <c r="A3462" s="1" t="s">
        <v>782</v>
      </c>
    </row>
    <row r="3463" spans="1:1" x14ac:dyDescent="0.2">
      <c r="A3463" s="1" t="s">
        <v>783</v>
      </c>
    </row>
    <row r="3464" spans="1:1" x14ac:dyDescent="0.2">
      <c r="A3464" s="1" t="s">
        <v>784</v>
      </c>
    </row>
    <row r="3465" spans="1:1" x14ac:dyDescent="0.2">
      <c r="A3465" s="1" t="s">
        <v>785</v>
      </c>
    </row>
    <row r="3466" spans="1:1" x14ac:dyDescent="0.2">
      <c r="A3466" s="1" t="s">
        <v>786</v>
      </c>
    </row>
    <row r="3467" spans="1:1" x14ac:dyDescent="0.2">
      <c r="A3467" s="1" t="s">
        <v>803</v>
      </c>
    </row>
    <row r="3468" spans="1:1" x14ac:dyDescent="0.2">
      <c r="A3468" s="1" t="s">
        <v>788</v>
      </c>
    </row>
    <row r="3469" spans="1:1" x14ac:dyDescent="0.2">
      <c r="A3469" s="1" t="s">
        <v>789</v>
      </c>
    </row>
    <row r="3470" spans="1:1" x14ac:dyDescent="0.2">
      <c r="A3470" s="1" t="s">
        <v>790</v>
      </c>
    </row>
    <row r="3471" spans="1:1" x14ac:dyDescent="0.2">
      <c r="A3471" s="1" t="s">
        <v>791</v>
      </c>
    </row>
    <row r="3472" spans="1:1" x14ac:dyDescent="0.2">
      <c r="A3472" s="1" t="s">
        <v>804</v>
      </c>
    </row>
    <row r="3473" spans="1:1" x14ac:dyDescent="0.2">
      <c r="A3473" s="1" t="s">
        <v>781</v>
      </c>
    </row>
    <row r="3474" spans="1:1" x14ac:dyDescent="0.2">
      <c r="A3474" s="1" t="s">
        <v>782</v>
      </c>
    </row>
    <row r="3475" spans="1:1" x14ac:dyDescent="0.2">
      <c r="A3475" s="1" t="s">
        <v>783</v>
      </c>
    </row>
    <row r="3476" spans="1:1" x14ac:dyDescent="0.2">
      <c r="A3476" s="1" t="s">
        <v>784</v>
      </c>
    </row>
    <row r="3477" spans="1:1" x14ac:dyDescent="0.2">
      <c r="A3477" s="1" t="s">
        <v>785</v>
      </c>
    </row>
    <row r="3478" spans="1:1" x14ac:dyDescent="0.2">
      <c r="A3478" s="1" t="s">
        <v>786</v>
      </c>
    </row>
    <row r="3479" spans="1:1" x14ac:dyDescent="0.2">
      <c r="A3479" s="1" t="s">
        <v>805</v>
      </c>
    </row>
    <row r="3480" spans="1:1" x14ac:dyDescent="0.2">
      <c r="A3480" s="1" t="s">
        <v>788</v>
      </c>
    </row>
    <row r="3481" spans="1:1" x14ac:dyDescent="0.2">
      <c r="A3481" s="1" t="s">
        <v>789</v>
      </c>
    </row>
    <row r="3482" spans="1:1" x14ac:dyDescent="0.2">
      <c r="A3482" s="1" t="s">
        <v>790</v>
      </c>
    </row>
    <row r="3483" spans="1:1" x14ac:dyDescent="0.2">
      <c r="A3483" s="1" t="s">
        <v>791</v>
      </c>
    </row>
    <row r="3484" spans="1:1" x14ac:dyDescent="0.2">
      <c r="A3484" s="1" t="s">
        <v>806</v>
      </c>
    </row>
    <row r="3485" spans="1:1" x14ac:dyDescent="0.2">
      <c r="A3485" s="1" t="s">
        <v>781</v>
      </c>
    </row>
    <row r="3486" spans="1:1" x14ac:dyDescent="0.2">
      <c r="A3486" s="1" t="s">
        <v>782</v>
      </c>
    </row>
    <row r="3487" spans="1:1" x14ac:dyDescent="0.2">
      <c r="A3487" s="1" t="s">
        <v>783</v>
      </c>
    </row>
    <row r="3488" spans="1:1" x14ac:dyDescent="0.2">
      <c r="A3488" s="1" t="s">
        <v>784</v>
      </c>
    </row>
    <row r="3489" spans="1:1" x14ac:dyDescent="0.2">
      <c r="A3489" s="1" t="s">
        <v>785</v>
      </c>
    </row>
    <row r="3490" spans="1:1" x14ac:dyDescent="0.2">
      <c r="A3490" s="1" t="s">
        <v>786</v>
      </c>
    </row>
    <row r="3491" spans="1:1" x14ac:dyDescent="0.2">
      <c r="A3491" s="1" t="s">
        <v>807</v>
      </c>
    </row>
    <row r="3492" spans="1:1" x14ac:dyDescent="0.2">
      <c r="A3492" s="1" t="s">
        <v>788</v>
      </c>
    </row>
    <row r="3493" spans="1:1" x14ac:dyDescent="0.2">
      <c r="A3493" s="1" t="s">
        <v>789</v>
      </c>
    </row>
    <row r="3494" spans="1:1" x14ac:dyDescent="0.2">
      <c r="A3494" s="1" t="s">
        <v>790</v>
      </c>
    </row>
    <row r="3495" spans="1:1" x14ac:dyDescent="0.2">
      <c r="A3495" s="1" t="s">
        <v>791</v>
      </c>
    </row>
    <row r="3496" spans="1:1" x14ac:dyDescent="0.2">
      <c r="A3496" s="1" t="s">
        <v>808</v>
      </c>
    </row>
    <row r="3497" spans="1:1" x14ac:dyDescent="0.2">
      <c r="A3497" s="1" t="s">
        <v>781</v>
      </c>
    </row>
    <row r="3498" spans="1:1" x14ac:dyDescent="0.2">
      <c r="A3498" s="1" t="s">
        <v>782</v>
      </c>
    </row>
    <row r="3499" spans="1:1" x14ac:dyDescent="0.2">
      <c r="A3499" s="1" t="s">
        <v>783</v>
      </c>
    </row>
    <row r="3500" spans="1:1" x14ac:dyDescent="0.2">
      <c r="A3500" s="1" t="s">
        <v>784</v>
      </c>
    </row>
    <row r="3501" spans="1:1" x14ac:dyDescent="0.2">
      <c r="A3501" s="1" t="s">
        <v>785</v>
      </c>
    </row>
    <row r="3502" spans="1:1" x14ac:dyDescent="0.2">
      <c r="A3502" s="1" t="s">
        <v>809</v>
      </c>
    </row>
    <row r="3503" spans="1:1" x14ac:dyDescent="0.2">
      <c r="A3503" s="1" t="s">
        <v>810</v>
      </c>
    </row>
    <row r="3504" spans="1:1" x14ac:dyDescent="0.2">
      <c r="A3504" s="1" t="s">
        <v>811</v>
      </c>
    </row>
    <row r="3505" spans="1:1" x14ac:dyDescent="0.2">
      <c r="A3505" s="1" t="s">
        <v>812</v>
      </c>
    </row>
    <row r="3506" spans="1:1" x14ac:dyDescent="0.2">
      <c r="A3506" s="1" t="s">
        <v>813</v>
      </c>
    </row>
    <row r="3507" spans="1:1" x14ac:dyDescent="0.2">
      <c r="A3507" s="1" t="s">
        <v>814</v>
      </c>
    </row>
    <row r="3508" spans="1:1" x14ac:dyDescent="0.2">
      <c r="A3508" s="1" t="s">
        <v>815</v>
      </c>
    </row>
    <row r="3509" spans="1:1" x14ac:dyDescent="0.2">
      <c r="A3509" s="1" t="s">
        <v>816</v>
      </c>
    </row>
    <row r="3510" spans="1:1" x14ac:dyDescent="0.2">
      <c r="A3510" s="1" t="s">
        <v>817</v>
      </c>
    </row>
    <row r="3511" spans="1:1" x14ac:dyDescent="0.2">
      <c r="A3511" s="1" t="s">
        <v>818</v>
      </c>
    </row>
    <row r="3512" spans="1:1" x14ac:dyDescent="0.2">
      <c r="A3512" s="1" t="s">
        <v>819</v>
      </c>
    </row>
    <row r="3513" spans="1:1" x14ac:dyDescent="0.2">
      <c r="A3513" s="1" t="s">
        <v>820</v>
      </c>
    </row>
    <row r="3514" spans="1:1" x14ac:dyDescent="0.2">
      <c r="A3514" s="1" t="s">
        <v>809</v>
      </c>
    </row>
    <row r="3515" spans="1:1" x14ac:dyDescent="0.2">
      <c r="A3515" s="1" t="s">
        <v>821</v>
      </c>
    </row>
    <row r="3516" spans="1:1" x14ac:dyDescent="0.2">
      <c r="A3516" s="1" t="s">
        <v>811</v>
      </c>
    </row>
    <row r="3517" spans="1:1" x14ac:dyDescent="0.2">
      <c r="A3517" s="1" t="s">
        <v>812</v>
      </c>
    </row>
    <row r="3518" spans="1:1" x14ac:dyDescent="0.2">
      <c r="A3518" s="1" t="s">
        <v>813</v>
      </c>
    </row>
    <row r="3519" spans="1:1" x14ac:dyDescent="0.2">
      <c r="A3519" s="1" t="s">
        <v>814</v>
      </c>
    </row>
    <row r="3520" spans="1:1" x14ac:dyDescent="0.2">
      <c r="A3520" s="1" t="s">
        <v>822</v>
      </c>
    </row>
    <row r="3521" spans="1:1" x14ac:dyDescent="0.2">
      <c r="A3521" s="1" t="s">
        <v>816</v>
      </c>
    </row>
    <row r="3522" spans="1:1" x14ac:dyDescent="0.2">
      <c r="A3522" s="1" t="s">
        <v>817</v>
      </c>
    </row>
    <row r="3523" spans="1:1" x14ac:dyDescent="0.2">
      <c r="A3523" s="1" t="s">
        <v>818</v>
      </c>
    </row>
    <row r="3524" spans="1:1" x14ac:dyDescent="0.2">
      <c r="A3524" s="1" t="s">
        <v>819</v>
      </c>
    </row>
    <row r="3525" spans="1:1" x14ac:dyDescent="0.2">
      <c r="A3525" s="1" t="s">
        <v>820</v>
      </c>
    </row>
    <row r="3526" spans="1:1" x14ac:dyDescent="0.2">
      <c r="A3526" s="1" t="s">
        <v>809</v>
      </c>
    </row>
    <row r="3527" spans="1:1" x14ac:dyDescent="0.2">
      <c r="A3527" s="1" t="s">
        <v>823</v>
      </c>
    </row>
    <row r="3528" spans="1:1" x14ac:dyDescent="0.2">
      <c r="A3528" s="1" t="s">
        <v>811</v>
      </c>
    </row>
    <row r="3529" spans="1:1" x14ac:dyDescent="0.2">
      <c r="A3529" s="1" t="s">
        <v>812</v>
      </c>
    </row>
    <row r="3530" spans="1:1" x14ac:dyDescent="0.2">
      <c r="A3530" s="1" t="s">
        <v>813</v>
      </c>
    </row>
    <row r="3531" spans="1:1" x14ac:dyDescent="0.2">
      <c r="A3531" s="1" t="s">
        <v>814</v>
      </c>
    </row>
    <row r="3532" spans="1:1" x14ac:dyDescent="0.2">
      <c r="A3532" s="1" t="s">
        <v>824</v>
      </c>
    </row>
    <row r="3533" spans="1:1" x14ac:dyDescent="0.2">
      <c r="A3533" s="1" t="s">
        <v>816</v>
      </c>
    </row>
    <row r="3534" spans="1:1" x14ac:dyDescent="0.2">
      <c r="A3534" s="1" t="s">
        <v>817</v>
      </c>
    </row>
    <row r="3535" spans="1:1" x14ac:dyDescent="0.2">
      <c r="A3535" s="1" t="s">
        <v>818</v>
      </c>
    </row>
    <row r="3536" spans="1:1" x14ac:dyDescent="0.2">
      <c r="A3536" s="1" t="s">
        <v>819</v>
      </c>
    </row>
    <row r="3537" spans="1:1" x14ac:dyDescent="0.2">
      <c r="A3537" s="1" t="s">
        <v>820</v>
      </c>
    </row>
    <row r="3538" spans="1:1" x14ac:dyDescent="0.2">
      <c r="A3538" s="1" t="s">
        <v>809</v>
      </c>
    </row>
    <row r="3539" spans="1:1" x14ac:dyDescent="0.2">
      <c r="A3539" s="1" t="s">
        <v>825</v>
      </c>
    </row>
    <row r="3540" spans="1:1" x14ac:dyDescent="0.2">
      <c r="A3540" s="1" t="s">
        <v>811</v>
      </c>
    </row>
    <row r="3541" spans="1:1" x14ac:dyDescent="0.2">
      <c r="A3541" s="1" t="s">
        <v>812</v>
      </c>
    </row>
    <row r="3542" spans="1:1" x14ac:dyDescent="0.2">
      <c r="A3542" s="1" t="s">
        <v>813</v>
      </c>
    </row>
    <row r="3543" spans="1:1" x14ac:dyDescent="0.2">
      <c r="A3543" s="1" t="s">
        <v>814</v>
      </c>
    </row>
    <row r="3544" spans="1:1" x14ac:dyDescent="0.2">
      <c r="A3544" s="1" t="s">
        <v>826</v>
      </c>
    </row>
    <row r="3545" spans="1:1" x14ac:dyDescent="0.2">
      <c r="A3545" s="1" t="s">
        <v>816</v>
      </c>
    </row>
    <row r="3546" spans="1:1" x14ac:dyDescent="0.2">
      <c r="A3546" s="1" t="s">
        <v>817</v>
      </c>
    </row>
    <row r="3547" spans="1:1" x14ac:dyDescent="0.2">
      <c r="A3547" s="1" t="s">
        <v>818</v>
      </c>
    </row>
    <row r="3548" spans="1:1" x14ac:dyDescent="0.2">
      <c r="A3548" s="1" t="s">
        <v>819</v>
      </c>
    </row>
    <row r="3549" spans="1:1" x14ac:dyDescent="0.2">
      <c r="A3549" s="1" t="s">
        <v>820</v>
      </c>
    </row>
    <row r="3550" spans="1:1" x14ac:dyDescent="0.2">
      <c r="A3550" s="1" t="s">
        <v>809</v>
      </c>
    </row>
    <row r="3551" spans="1:1" x14ac:dyDescent="0.2">
      <c r="A3551" s="1" t="s">
        <v>827</v>
      </c>
    </row>
    <row r="3552" spans="1:1" x14ac:dyDescent="0.2">
      <c r="A3552" s="1" t="s">
        <v>811</v>
      </c>
    </row>
    <row r="3553" spans="1:1" x14ac:dyDescent="0.2">
      <c r="A3553" s="1" t="s">
        <v>812</v>
      </c>
    </row>
    <row r="3554" spans="1:1" x14ac:dyDescent="0.2">
      <c r="A3554" s="1" t="s">
        <v>813</v>
      </c>
    </row>
    <row r="3555" spans="1:1" x14ac:dyDescent="0.2">
      <c r="A3555" s="1" t="s">
        <v>814</v>
      </c>
    </row>
    <row r="3556" spans="1:1" x14ac:dyDescent="0.2">
      <c r="A3556" s="1" t="s">
        <v>828</v>
      </c>
    </row>
    <row r="3557" spans="1:1" x14ac:dyDescent="0.2">
      <c r="A3557" s="1" t="s">
        <v>816</v>
      </c>
    </row>
    <row r="3558" spans="1:1" x14ac:dyDescent="0.2">
      <c r="A3558" s="1" t="s">
        <v>817</v>
      </c>
    </row>
    <row r="3559" spans="1:1" x14ac:dyDescent="0.2">
      <c r="A3559" s="1" t="s">
        <v>818</v>
      </c>
    </row>
    <row r="3560" spans="1:1" x14ac:dyDescent="0.2">
      <c r="A3560" s="1" t="s">
        <v>819</v>
      </c>
    </row>
    <row r="3561" spans="1:1" x14ac:dyDescent="0.2">
      <c r="A3561" s="1" t="s">
        <v>820</v>
      </c>
    </row>
    <row r="3562" spans="1:1" x14ac:dyDescent="0.2">
      <c r="A3562" s="1" t="s">
        <v>809</v>
      </c>
    </row>
    <row r="3563" spans="1:1" x14ac:dyDescent="0.2">
      <c r="A3563" s="1" t="s">
        <v>829</v>
      </c>
    </row>
    <row r="3564" spans="1:1" x14ac:dyDescent="0.2">
      <c r="A3564" s="1" t="s">
        <v>811</v>
      </c>
    </row>
    <row r="3565" spans="1:1" x14ac:dyDescent="0.2">
      <c r="A3565" s="1" t="s">
        <v>812</v>
      </c>
    </row>
    <row r="3566" spans="1:1" x14ac:dyDescent="0.2">
      <c r="A3566" s="1" t="s">
        <v>813</v>
      </c>
    </row>
    <row r="3567" spans="1:1" x14ac:dyDescent="0.2">
      <c r="A3567" s="1" t="s">
        <v>814</v>
      </c>
    </row>
    <row r="3568" spans="1:1" x14ac:dyDescent="0.2">
      <c r="A3568" s="1" t="s">
        <v>830</v>
      </c>
    </row>
    <row r="3569" spans="1:1" x14ac:dyDescent="0.2">
      <c r="A3569" s="1" t="s">
        <v>816</v>
      </c>
    </row>
    <row r="3570" spans="1:1" x14ac:dyDescent="0.2">
      <c r="A3570" s="1" t="s">
        <v>817</v>
      </c>
    </row>
    <row r="3571" spans="1:1" x14ac:dyDescent="0.2">
      <c r="A3571" s="1" t="s">
        <v>818</v>
      </c>
    </row>
    <row r="3572" spans="1:1" x14ac:dyDescent="0.2">
      <c r="A3572" s="1" t="s">
        <v>819</v>
      </c>
    </row>
    <row r="3573" spans="1:1" x14ac:dyDescent="0.2">
      <c r="A3573" s="1" t="s">
        <v>820</v>
      </c>
    </row>
    <row r="3574" spans="1:1" x14ac:dyDescent="0.2">
      <c r="A3574" s="1" t="s">
        <v>809</v>
      </c>
    </row>
    <row r="3575" spans="1:1" x14ac:dyDescent="0.2">
      <c r="A3575" s="1" t="s">
        <v>831</v>
      </c>
    </row>
    <row r="3576" spans="1:1" x14ac:dyDescent="0.2">
      <c r="A3576" s="1" t="s">
        <v>811</v>
      </c>
    </row>
    <row r="3577" spans="1:1" x14ac:dyDescent="0.2">
      <c r="A3577" s="1" t="s">
        <v>812</v>
      </c>
    </row>
    <row r="3578" spans="1:1" x14ac:dyDescent="0.2">
      <c r="A3578" s="1" t="s">
        <v>813</v>
      </c>
    </row>
    <row r="3579" spans="1:1" x14ac:dyDescent="0.2">
      <c r="A3579" s="1" t="s">
        <v>814</v>
      </c>
    </row>
    <row r="3580" spans="1:1" x14ac:dyDescent="0.2">
      <c r="A3580" s="1" t="s">
        <v>832</v>
      </c>
    </row>
    <row r="3581" spans="1:1" x14ac:dyDescent="0.2">
      <c r="A3581" s="1" t="s">
        <v>816</v>
      </c>
    </row>
    <row r="3582" spans="1:1" x14ac:dyDescent="0.2">
      <c r="A3582" s="1" t="s">
        <v>817</v>
      </c>
    </row>
    <row r="3583" spans="1:1" x14ac:dyDescent="0.2">
      <c r="A3583" s="1" t="s">
        <v>818</v>
      </c>
    </row>
    <row r="3584" spans="1:1" x14ac:dyDescent="0.2">
      <c r="A3584" s="1" t="s">
        <v>819</v>
      </c>
    </row>
    <row r="3585" spans="1:1" x14ac:dyDescent="0.2">
      <c r="A3585" s="1" t="s">
        <v>820</v>
      </c>
    </row>
    <row r="3586" spans="1:1" x14ac:dyDescent="0.2">
      <c r="A3586" s="1" t="s">
        <v>809</v>
      </c>
    </row>
    <row r="3587" spans="1:1" x14ac:dyDescent="0.2">
      <c r="A3587" s="1" t="s">
        <v>833</v>
      </c>
    </row>
    <row r="3588" spans="1:1" x14ac:dyDescent="0.2">
      <c r="A3588" s="1" t="s">
        <v>811</v>
      </c>
    </row>
    <row r="3589" spans="1:1" x14ac:dyDescent="0.2">
      <c r="A3589" s="1" t="s">
        <v>812</v>
      </c>
    </row>
    <row r="3590" spans="1:1" x14ac:dyDescent="0.2">
      <c r="A3590" s="1" t="s">
        <v>813</v>
      </c>
    </row>
    <row r="3591" spans="1:1" x14ac:dyDescent="0.2">
      <c r="A3591" s="1" t="s">
        <v>814</v>
      </c>
    </row>
    <row r="3592" spans="1:1" x14ac:dyDescent="0.2">
      <c r="A3592" s="1" t="s">
        <v>834</v>
      </c>
    </row>
    <row r="3593" spans="1:1" x14ac:dyDescent="0.2">
      <c r="A3593" s="1" t="s">
        <v>816</v>
      </c>
    </row>
    <row r="3594" spans="1:1" x14ac:dyDescent="0.2">
      <c r="A3594" s="1" t="s">
        <v>817</v>
      </c>
    </row>
    <row r="3595" spans="1:1" x14ac:dyDescent="0.2">
      <c r="A3595" s="1" t="s">
        <v>818</v>
      </c>
    </row>
    <row r="3596" spans="1:1" x14ac:dyDescent="0.2">
      <c r="A3596" s="1" t="s">
        <v>819</v>
      </c>
    </row>
    <row r="3597" spans="1:1" x14ac:dyDescent="0.2">
      <c r="A3597" s="1" t="s">
        <v>820</v>
      </c>
    </row>
    <row r="3598" spans="1:1" x14ac:dyDescent="0.2">
      <c r="A3598" s="1" t="s">
        <v>809</v>
      </c>
    </row>
    <row r="3599" spans="1:1" x14ac:dyDescent="0.2">
      <c r="A3599" s="1" t="s">
        <v>835</v>
      </c>
    </row>
    <row r="3600" spans="1:1" x14ac:dyDescent="0.2">
      <c r="A3600" s="1" t="s">
        <v>811</v>
      </c>
    </row>
    <row r="3601" spans="1:1" x14ac:dyDescent="0.2">
      <c r="A3601" s="1" t="s">
        <v>812</v>
      </c>
    </row>
    <row r="3602" spans="1:1" x14ac:dyDescent="0.2">
      <c r="A3602" s="1" t="s">
        <v>813</v>
      </c>
    </row>
    <row r="3603" spans="1:1" x14ac:dyDescent="0.2">
      <c r="A3603" s="1" t="s">
        <v>814</v>
      </c>
    </row>
    <row r="3604" spans="1:1" x14ac:dyDescent="0.2">
      <c r="A3604" s="1" t="s">
        <v>836</v>
      </c>
    </row>
    <row r="3605" spans="1:1" x14ac:dyDescent="0.2">
      <c r="A3605" s="1" t="s">
        <v>816</v>
      </c>
    </row>
    <row r="3606" spans="1:1" x14ac:dyDescent="0.2">
      <c r="A3606" s="1" t="s">
        <v>817</v>
      </c>
    </row>
    <row r="3607" spans="1:1" x14ac:dyDescent="0.2">
      <c r="A3607" s="1" t="s">
        <v>818</v>
      </c>
    </row>
    <row r="3608" spans="1:1" x14ac:dyDescent="0.2">
      <c r="A3608" s="1" t="s">
        <v>819</v>
      </c>
    </row>
    <row r="3609" spans="1:1" x14ac:dyDescent="0.2">
      <c r="A3609" s="1" t="s">
        <v>820</v>
      </c>
    </row>
    <row r="3610" spans="1:1" x14ac:dyDescent="0.2">
      <c r="A3610" s="1" t="s">
        <v>809</v>
      </c>
    </row>
    <row r="3611" spans="1:1" x14ac:dyDescent="0.2">
      <c r="A3611" s="1" t="s">
        <v>837</v>
      </c>
    </row>
    <row r="3612" spans="1:1" x14ac:dyDescent="0.2">
      <c r="A3612" s="1" t="s">
        <v>811</v>
      </c>
    </row>
    <row r="3613" spans="1:1" x14ac:dyDescent="0.2">
      <c r="A3613" s="1" t="s">
        <v>812</v>
      </c>
    </row>
    <row r="3614" spans="1:1" x14ac:dyDescent="0.2">
      <c r="A3614" s="1" t="s">
        <v>813</v>
      </c>
    </row>
    <row r="3615" spans="1:1" x14ac:dyDescent="0.2">
      <c r="A3615" s="1" t="s">
        <v>814</v>
      </c>
    </row>
    <row r="3616" spans="1:1" x14ac:dyDescent="0.2">
      <c r="A3616" s="1" t="s">
        <v>838</v>
      </c>
    </row>
    <row r="3617" spans="1:1" x14ac:dyDescent="0.2">
      <c r="A3617" s="1" t="s">
        <v>816</v>
      </c>
    </row>
    <row r="3618" spans="1:1" x14ac:dyDescent="0.2">
      <c r="A3618" s="1" t="s">
        <v>817</v>
      </c>
    </row>
    <row r="3619" spans="1:1" x14ac:dyDescent="0.2">
      <c r="A3619" s="1" t="s">
        <v>818</v>
      </c>
    </row>
    <row r="3620" spans="1:1" x14ac:dyDescent="0.2">
      <c r="A3620" s="1" t="s">
        <v>819</v>
      </c>
    </row>
    <row r="3621" spans="1:1" x14ac:dyDescent="0.2">
      <c r="A3621" s="1" t="s">
        <v>820</v>
      </c>
    </row>
    <row r="3622" spans="1:1" x14ac:dyDescent="0.2">
      <c r="A3622" s="1" t="s">
        <v>840</v>
      </c>
    </row>
    <row r="3623" spans="1:1" x14ac:dyDescent="0.2">
      <c r="A3623" s="1" t="s">
        <v>841</v>
      </c>
    </row>
    <row r="3624" spans="1:1" x14ac:dyDescent="0.2">
      <c r="A3624" s="1" t="s">
        <v>840</v>
      </c>
    </row>
    <row r="3625" spans="1:1" x14ac:dyDescent="0.2">
      <c r="A3625" s="1" t="s">
        <v>841</v>
      </c>
    </row>
    <row r="3626" spans="1:1" x14ac:dyDescent="0.2">
      <c r="A3626" s="1" t="s">
        <v>842</v>
      </c>
    </row>
    <row r="3627" spans="1:1" x14ac:dyDescent="0.2">
      <c r="A3627" s="1" t="s">
        <v>843</v>
      </c>
    </row>
    <row r="3628" spans="1:1" x14ac:dyDescent="0.2">
      <c r="A3628" s="1" t="s">
        <v>844</v>
      </c>
    </row>
    <row r="3629" spans="1:1" x14ac:dyDescent="0.2">
      <c r="A3629" s="1" t="s">
        <v>845</v>
      </c>
    </row>
    <row r="3630" spans="1:1" x14ac:dyDescent="0.2">
      <c r="A3630" s="1" t="s">
        <v>846</v>
      </c>
    </row>
    <row r="3631" spans="1:1" x14ac:dyDescent="0.2">
      <c r="A3631" s="1" t="s">
        <v>847</v>
      </c>
    </row>
    <row r="3632" spans="1:1" x14ac:dyDescent="0.2">
      <c r="A3632" s="1" t="s">
        <v>848</v>
      </c>
    </row>
    <row r="3633" spans="1:1" x14ac:dyDescent="0.2">
      <c r="A3633" s="1" t="s">
        <v>849</v>
      </c>
    </row>
    <row r="3634" spans="1:1" x14ac:dyDescent="0.2">
      <c r="A3634" s="1" t="s">
        <v>840</v>
      </c>
    </row>
    <row r="3635" spans="1:1" x14ac:dyDescent="0.2">
      <c r="A3635" s="1" t="s">
        <v>841</v>
      </c>
    </row>
    <row r="3636" spans="1:1" x14ac:dyDescent="0.2">
      <c r="A3636" s="1" t="s">
        <v>840</v>
      </c>
    </row>
    <row r="3637" spans="1:1" x14ac:dyDescent="0.2">
      <c r="A3637" s="1" t="s">
        <v>841</v>
      </c>
    </row>
    <row r="3638" spans="1:1" x14ac:dyDescent="0.2">
      <c r="A3638" s="1" t="s">
        <v>840</v>
      </c>
    </row>
    <row r="3639" spans="1:1" x14ac:dyDescent="0.2">
      <c r="A3639" s="1" t="s">
        <v>841</v>
      </c>
    </row>
    <row r="3640" spans="1:1" x14ac:dyDescent="0.2">
      <c r="A3640" s="1" t="s">
        <v>842</v>
      </c>
    </row>
    <row r="3641" spans="1:1" x14ac:dyDescent="0.2">
      <c r="A3641" s="1" t="s">
        <v>843</v>
      </c>
    </row>
    <row r="3642" spans="1:1" x14ac:dyDescent="0.2">
      <c r="A3642" s="1" t="s">
        <v>844</v>
      </c>
    </row>
    <row r="3643" spans="1:1" x14ac:dyDescent="0.2">
      <c r="A3643" s="1" t="s">
        <v>845</v>
      </c>
    </row>
    <row r="3644" spans="1:1" x14ac:dyDescent="0.2">
      <c r="A3644" s="1" t="s">
        <v>846</v>
      </c>
    </row>
    <row r="3645" spans="1:1" x14ac:dyDescent="0.2">
      <c r="A3645" s="1" t="s">
        <v>847</v>
      </c>
    </row>
    <row r="3646" spans="1:1" x14ac:dyDescent="0.2">
      <c r="A3646" s="1" t="s">
        <v>848</v>
      </c>
    </row>
    <row r="3647" spans="1:1" x14ac:dyDescent="0.2">
      <c r="A3647" s="1" t="s">
        <v>849</v>
      </c>
    </row>
    <row r="3648" spans="1:1" x14ac:dyDescent="0.2">
      <c r="A3648" s="1" t="s">
        <v>840</v>
      </c>
    </row>
    <row r="3649" spans="1:1" x14ac:dyDescent="0.2">
      <c r="A3649" s="1" t="s">
        <v>841</v>
      </c>
    </row>
    <row r="3650" spans="1:1" x14ac:dyDescent="0.2">
      <c r="A3650" s="1" t="s">
        <v>840</v>
      </c>
    </row>
    <row r="3651" spans="1:1" x14ac:dyDescent="0.2">
      <c r="A3651" s="1" t="s">
        <v>841</v>
      </c>
    </row>
    <row r="3652" spans="1:1" x14ac:dyDescent="0.2">
      <c r="A3652" s="1" t="s">
        <v>840</v>
      </c>
    </row>
    <row r="3653" spans="1:1" x14ac:dyDescent="0.2">
      <c r="A3653" s="1" t="s">
        <v>841</v>
      </c>
    </row>
    <row r="3654" spans="1:1" x14ac:dyDescent="0.2">
      <c r="A3654" s="1" t="s">
        <v>842</v>
      </c>
    </row>
    <row r="3655" spans="1:1" x14ac:dyDescent="0.2">
      <c r="A3655" s="1" t="s">
        <v>843</v>
      </c>
    </row>
    <row r="3656" spans="1:1" x14ac:dyDescent="0.2">
      <c r="A3656" s="1" t="s">
        <v>844</v>
      </c>
    </row>
    <row r="3657" spans="1:1" x14ac:dyDescent="0.2">
      <c r="A3657" s="1" t="s">
        <v>845</v>
      </c>
    </row>
    <row r="3658" spans="1:1" x14ac:dyDescent="0.2">
      <c r="A3658" s="1" t="s">
        <v>846</v>
      </c>
    </row>
    <row r="3659" spans="1:1" x14ac:dyDescent="0.2">
      <c r="A3659" s="1" t="s">
        <v>847</v>
      </c>
    </row>
    <row r="3660" spans="1:1" x14ac:dyDescent="0.2">
      <c r="A3660" s="1" t="s">
        <v>848</v>
      </c>
    </row>
    <row r="3661" spans="1:1" x14ac:dyDescent="0.2">
      <c r="A3661" s="1" t="s">
        <v>849</v>
      </c>
    </row>
    <row r="3662" spans="1:1" x14ac:dyDescent="0.2">
      <c r="A3662" s="1" t="s">
        <v>840</v>
      </c>
    </row>
    <row r="3663" spans="1:1" x14ac:dyDescent="0.2">
      <c r="A3663" s="1" t="s">
        <v>841</v>
      </c>
    </row>
    <row r="3664" spans="1:1" x14ac:dyDescent="0.2">
      <c r="A3664" s="1" t="s">
        <v>840</v>
      </c>
    </row>
    <row r="3665" spans="1:1" x14ac:dyDescent="0.2">
      <c r="A3665" s="1" t="s">
        <v>841</v>
      </c>
    </row>
    <row r="3666" spans="1:1" x14ac:dyDescent="0.2">
      <c r="A3666" s="1" t="s">
        <v>840</v>
      </c>
    </row>
    <row r="3667" spans="1:1" x14ac:dyDescent="0.2">
      <c r="A3667" s="1" t="s">
        <v>841</v>
      </c>
    </row>
    <row r="3668" spans="1:1" x14ac:dyDescent="0.2">
      <c r="A3668" s="1" t="s">
        <v>842</v>
      </c>
    </row>
    <row r="3669" spans="1:1" x14ac:dyDescent="0.2">
      <c r="A3669" s="1" t="s">
        <v>843</v>
      </c>
    </row>
    <row r="3670" spans="1:1" x14ac:dyDescent="0.2">
      <c r="A3670" s="1" t="s">
        <v>844</v>
      </c>
    </row>
    <row r="3671" spans="1:1" x14ac:dyDescent="0.2">
      <c r="A3671" s="1" t="s">
        <v>845</v>
      </c>
    </row>
    <row r="3672" spans="1:1" x14ac:dyDescent="0.2">
      <c r="A3672" s="1" t="s">
        <v>846</v>
      </c>
    </row>
    <row r="3673" spans="1:1" x14ac:dyDescent="0.2">
      <c r="A3673" s="1" t="s">
        <v>847</v>
      </c>
    </row>
    <row r="3674" spans="1:1" x14ac:dyDescent="0.2">
      <c r="A3674" s="1" t="s">
        <v>848</v>
      </c>
    </row>
    <row r="3675" spans="1:1" x14ac:dyDescent="0.2">
      <c r="A3675" s="1" t="s">
        <v>849</v>
      </c>
    </row>
    <row r="3676" spans="1:1" x14ac:dyDescent="0.2">
      <c r="A3676" s="1" t="s">
        <v>840</v>
      </c>
    </row>
    <row r="3677" spans="1:1" x14ac:dyDescent="0.2">
      <c r="A3677" s="1" t="s">
        <v>841</v>
      </c>
    </row>
    <row r="3678" spans="1:1" x14ac:dyDescent="0.2">
      <c r="A3678" s="1" t="s">
        <v>840</v>
      </c>
    </row>
    <row r="3679" spans="1:1" x14ac:dyDescent="0.2">
      <c r="A3679" s="1" t="s">
        <v>841</v>
      </c>
    </row>
    <row r="3680" spans="1:1" x14ac:dyDescent="0.2">
      <c r="A3680" s="1" t="s">
        <v>840</v>
      </c>
    </row>
    <row r="3681" spans="1:1" x14ac:dyDescent="0.2">
      <c r="A3681" s="1" t="s">
        <v>841</v>
      </c>
    </row>
    <row r="3682" spans="1:1" x14ac:dyDescent="0.2">
      <c r="A3682" s="1" t="s">
        <v>842</v>
      </c>
    </row>
    <row r="3683" spans="1:1" x14ac:dyDescent="0.2">
      <c r="A3683" s="1" t="s">
        <v>843</v>
      </c>
    </row>
    <row r="3684" spans="1:1" x14ac:dyDescent="0.2">
      <c r="A3684" s="1" t="s">
        <v>844</v>
      </c>
    </row>
    <row r="3685" spans="1:1" x14ac:dyDescent="0.2">
      <c r="A3685" s="1" t="s">
        <v>845</v>
      </c>
    </row>
    <row r="3686" spans="1:1" x14ac:dyDescent="0.2">
      <c r="A3686" s="1" t="s">
        <v>846</v>
      </c>
    </row>
    <row r="3687" spans="1:1" x14ac:dyDescent="0.2">
      <c r="A3687" s="1" t="s">
        <v>847</v>
      </c>
    </row>
    <row r="3688" spans="1:1" x14ac:dyDescent="0.2">
      <c r="A3688" s="1" t="s">
        <v>848</v>
      </c>
    </row>
    <row r="3689" spans="1:1" x14ac:dyDescent="0.2">
      <c r="A3689" s="1" t="s">
        <v>849</v>
      </c>
    </row>
    <row r="3690" spans="1:1" x14ac:dyDescent="0.2">
      <c r="A3690" s="1" t="s">
        <v>840</v>
      </c>
    </row>
    <row r="3691" spans="1:1" x14ac:dyDescent="0.2">
      <c r="A3691" s="1" t="s">
        <v>841</v>
      </c>
    </row>
    <row r="3692" spans="1:1" x14ac:dyDescent="0.2">
      <c r="A3692" s="1" t="s">
        <v>840</v>
      </c>
    </row>
    <row r="3693" spans="1:1" x14ac:dyDescent="0.2">
      <c r="A3693" s="1" t="s">
        <v>841</v>
      </c>
    </row>
    <row r="3694" spans="1:1" x14ac:dyDescent="0.2">
      <c r="A3694" s="1" t="s">
        <v>840</v>
      </c>
    </row>
    <row r="3695" spans="1:1" x14ac:dyDescent="0.2">
      <c r="A3695" s="1" t="s">
        <v>841</v>
      </c>
    </row>
    <row r="3696" spans="1:1" x14ac:dyDescent="0.2">
      <c r="A3696" s="1" t="s">
        <v>842</v>
      </c>
    </row>
    <row r="3697" spans="1:1" x14ac:dyDescent="0.2">
      <c r="A3697" s="1" t="s">
        <v>843</v>
      </c>
    </row>
    <row r="3698" spans="1:1" x14ac:dyDescent="0.2">
      <c r="A3698" s="1" t="s">
        <v>844</v>
      </c>
    </row>
    <row r="3699" spans="1:1" x14ac:dyDescent="0.2">
      <c r="A3699" s="1" t="s">
        <v>845</v>
      </c>
    </row>
    <row r="3700" spans="1:1" x14ac:dyDescent="0.2">
      <c r="A3700" s="1" t="s">
        <v>846</v>
      </c>
    </row>
    <row r="3701" spans="1:1" x14ac:dyDescent="0.2">
      <c r="A3701" s="1" t="s">
        <v>847</v>
      </c>
    </row>
    <row r="3702" spans="1:1" x14ac:dyDescent="0.2">
      <c r="A3702" s="1" t="s">
        <v>848</v>
      </c>
    </row>
    <row r="3703" spans="1:1" x14ac:dyDescent="0.2">
      <c r="A3703" s="1" t="s">
        <v>849</v>
      </c>
    </row>
    <row r="3704" spans="1:1" x14ac:dyDescent="0.2">
      <c r="A3704" s="1" t="s">
        <v>840</v>
      </c>
    </row>
    <row r="3705" spans="1:1" x14ac:dyDescent="0.2">
      <c r="A3705" s="1" t="s">
        <v>841</v>
      </c>
    </row>
    <row r="3706" spans="1:1" x14ac:dyDescent="0.2">
      <c r="A3706" s="1" t="s">
        <v>840</v>
      </c>
    </row>
    <row r="3707" spans="1:1" x14ac:dyDescent="0.2">
      <c r="A3707" s="1" t="s">
        <v>841</v>
      </c>
    </row>
    <row r="3708" spans="1:1" x14ac:dyDescent="0.2">
      <c r="A3708" s="1" t="s">
        <v>840</v>
      </c>
    </row>
    <row r="3709" spans="1:1" x14ac:dyDescent="0.2">
      <c r="A3709" s="1" t="s">
        <v>841</v>
      </c>
    </row>
    <row r="3710" spans="1:1" x14ac:dyDescent="0.2">
      <c r="A3710" s="1" t="s">
        <v>842</v>
      </c>
    </row>
    <row r="3711" spans="1:1" x14ac:dyDescent="0.2">
      <c r="A3711" s="1" t="s">
        <v>843</v>
      </c>
    </row>
    <row r="3712" spans="1:1" x14ac:dyDescent="0.2">
      <c r="A3712" s="1" t="s">
        <v>844</v>
      </c>
    </row>
    <row r="3713" spans="1:1" x14ac:dyDescent="0.2">
      <c r="A3713" s="1" t="s">
        <v>845</v>
      </c>
    </row>
    <row r="3714" spans="1:1" x14ac:dyDescent="0.2">
      <c r="A3714" s="1" t="s">
        <v>846</v>
      </c>
    </row>
    <row r="3715" spans="1:1" x14ac:dyDescent="0.2">
      <c r="A3715" s="1" t="s">
        <v>847</v>
      </c>
    </row>
    <row r="3716" spans="1:1" x14ac:dyDescent="0.2">
      <c r="A3716" s="1" t="s">
        <v>848</v>
      </c>
    </row>
    <row r="3717" spans="1:1" x14ac:dyDescent="0.2">
      <c r="A3717" s="1" t="s">
        <v>849</v>
      </c>
    </row>
    <row r="3718" spans="1:1" x14ac:dyDescent="0.2">
      <c r="A3718" s="1" t="s">
        <v>840</v>
      </c>
    </row>
    <row r="3719" spans="1:1" x14ac:dyDescent="0.2">
      <c r="A3719" s="1" t="s">
        <v>841</v>
      </c>
    </row>
    <row r="3720" spans="1:1" x14ac:dyDescent="0.2">
      <c r="A3720" s="1" t="s">
        <v>840</v>
      </c>
    </row>
    <row r="3721" spans="1:1" x14ac:dyDescent="0.2">
      <c r="A3721" s="1" t="s">
        <v>841</v>
      </c>
    </row>
    <row r="3722" spans="1:1" x14ac:dyDescent="0.2">
      <c r="A3722" s="1" t="s">
        <v>840</v>
      </c>
    </row>
    <row r="3723" spans="1:1" x14ac:dyDescent="0.2">
      <c r="A3723" s="1" t="s">
        <v>841</v>
      </c>
    </row>
    <row r="3724" spans="1:1" x14ac:dyDescent="0.2">
      <c r="A3724" s="1" t="s">
        <v>842</v>
      </c>
    </row>
    <row r="3725" spans="1:1" x14ac:dyDescent="0.2">
      <c r="A3725" s="1" t="s">
        <v>843</v>
      </c>
    </row>
    <row r="3726" spans="1:1" x14ac:dyDescent="0.2">
      <c r="A3726" s="1" t="s">
        <v>844</v>
      </c>
    </row>
    <row r="3727" spans="1:1" x14ac:dyDescent="0.2">
      <c r="A3727" s="1" t="s">
        <v>845</v>
      </c>
    </row>
    <row r="3728" spans="1:1" x14ac:dyDescent="0.2">
      <c r="A3728" s="1" t="s">
        <v>846</v>
      </c>
    </row>
    <row r="3729" spans="1:1" x14ac:dyDescent="0.2">
      <c r="A3729" s="1" t="s">
        <v>847</v>
      </c>
    </row>
    <row r="3730" spans="1:1" x14ac:dyDescent="0.2">
      <c r="A3730" s="1" t="s">
        <v>848</v>
      </c>
    </row>
    <row r="3731" spans="1:1" x14ac:dyDescent="0.2">
      <c r="A3731" s="1" t="s">
        <v>849</v>
      </c>
    </row>
    <row r="3732" spans="1:1" x14ac:dyDescent="0.2">
      <c r="A3732" s="1" t="s">
        <v>840</v>
      </c>
    </row>
    <row r="3733" spans="1:1" x14ac:dyDescent="0.2">
      <c r="A3733" s="1" t="s">
        <v>841</v>
      </c>
    </row>
    <row r="3734" spans="1:1" x14ac:dyDescent="0.2">
      <c r="A3734" s="1" t="s">
        <v>850</v>
      </c>
    </row>
    <row r="3735" spans="1:1" x14ac:dyDescent="0.2">
      <c r="A3735" s="1" t="s">
        <v>851</v>
      </c>
    </row>
    <row r="3736" spans="1:1" x14ac:dyDescent="0.2">
      <c r="A3736" s="1" t="s">
        <v>850</v>
      </c>
    </row>
    <row r="3737" spans="1:1" x14ac:dyDescent="0.2">
      <c r="A3737" s="1" t="s">
        <v>851</v>
      </c>
    </row>
    <row r="3738" spans="1:1" x14ac:dyDescent="0.2">
      <c r="A3738" s="1" t="s">
        <v>852</v>
      </c>
    </row>
    <row r="3739" spans="1:1" x14ac:dyDescent="0.2">
      <c r="A3739" s="1" t="s">
        <v>853</v>
      </c>
    </row>
    <row r="3740" spans="1:1" x14ac:dyDescent="0.2">
      <c r="A3740" s="1" t="s">
        <v>854</v>
      </c>
    </row>
    <row r="3741" spans="1:1" x14ac:dyDescent="0.2">
      <c r="A3741" s="1" t="s">
        <v>855</v>
      </c>
    </row>
    <row r="3742" spans="1:1" x14ac:dyDescent="0.2">
      <c r="A3742" s="1" t="s">
        <v>856</v>
      </c>
    </row>
    <row r="3743" spans="1:1" x14ac:dyDescent="0.2">
      <c r="A3743" s="1" t="s">
        <v>857</v>
      </c>
    </row>
    <row r="3744" spans="1:1" x14ac:dyDescent="0.2">
      <c r="A3744" s="1" t="s">
        <v>858</v>
      </c>
    </row>
    <row r="3745" spans="1:1" x14ac:dyDescent="0.2">
      <c r="A3745" s="1" t="s">
        <v>859</v>
      </c>
    </row>
    <row r="3746" spans="1:1" x14ac:dyDescent="0.2">
      <c r="A3746" s="1" t="s">
        <v>850</v>
      </c>
    </row>
    <row r="3747" spans="1:1" x14ac:dyDescent="0.2">
      <c r="A3747" s="1" t="s">
        <v>851</v>
      </c>
    </row>
    <row r="3748" spans="1:1" x14ac:dyDescent="0.2">
      <c r="A3748" s="1" t="s">
        <v>850</v>
      </c>
    </row>
    <row r="3749" spans="1:1" x14ac:dyDescent="0.2">
      <c r="A3749" s="1" t="s">
        <v>851</v>
      </c>
    </row>
    <row r="3750" spans="1:1" x14ac:dyDescent="0.2">
      <c r="A3750" s="1" t="s">
        <v>850</v>
      </c>
    </row>
    <row r="3751" spans="1:1" x14ac:dyDescent="0.2">
      <c r="A3751" s="1" t="s">
        <v>851</v>
      </c>
    </row>
    <row r="3752" spans="1:1" x14ac:dyDescent="0.2">
      <c r="A3752" s="1" t="s">
        <v>852</v>
      </c>
    </row>
    <row r="3753" spans="1:1" x14ac:dyDescent="0.2">
      <c r="A3753" s="1" t="s">
        <v>853</v>
      </c>
    </row>
    <row r="3754" spans="1:1" x14ac:dyDescent="0.2">
      <c r="A3754" s="1" t="s">
        <v>854</v>
      </c>
    </row>
    <row r="3755" spans="1:1" x14ac:dyDescent="0.2">
      <c r="A3755" s="1" t="s">
        <v>855</v>
      </c>
    </row>
    <row r="3756" spans="1:1" x14ac:dyDescent="0.2">
      <c r="A3756" s="1" t="s">
        <v>856</v>
      </c>
    </row>
    <row r="3757" spans="1:1" x14ac:dyDescent="0.2">
      <c r="A3757" s="1" t="s">
        <v>857</v>
      </c>
    </row>
    <row r="3758" spans="1:1" x14ac:dyDescent="0.2">
      <c r="A3758" s="1" t="s">
        <v>858</v>
      </c>
    </row>
    <row r="3759" spans="1:1" x14ac:dyDescent="0.2">
      <c r="A3759" s="1" t="s">
        <v>859</v>
      </c>
    </row>
    <row r="3760" spans="1:1" x14ac:dyDescent="0.2">
      <c r="A3760" s="1" t="s">
        <v>850</v>
      </c>
    </row>
    <row r="3761" spans="1:1" x14ac:dyDescent="0.2">
      <c r="A3761" s="1" t="s">
        <v>851</v>
      </c>
    </row>
    <row r="3762" spans="1:1" x14ac:dyDescent="0.2">
      <c r="A3762" s="1" t="s">
        <v>850</v>
      </c>
    </row>
    <row r="3763" spans="1:1" x14ac:dyDescent="0.2">
      <c r="A3763" s="1" t="s">
        <v>851</v>
      </c>
    </row>
    <row r="3764" spans="1:1" x14ac:dyDescent="0.2">
      <c r="A3764" s="1" t="s">
        <v>850</v>
      </c>
    </row>
    <row r="3765" spans="1:1" x14ac:dyDescent="0.2">
      <c r="A3765" s="1" t="s">
        <v>851</v>
      </c>
    </row>
    <row r="3766" spans="1:1" x14ac:dyDescent="0.2">
      <c r="A3766" s="1" t="s">
        <v>852</v>
      </c>
    </row>
    <row r="3767" spans="1:1" x14ac:dyDescent="0.2">
      <c r="A3767" s="1" t="s">
        <v>853</v>
      </c>
    </row>
    <row r="3768" spans="1:1" x14ac:dyDescent="0.2">
      <c r="A3768" s="1" t="s">
        <v>854</v>
      </c>
    </row>
    <row r="3769" spans="1:1" x14ac:dyDescent="0.2">
      <c r="A3769" s="1" t="s">
        <v>855</v>
      </c>
    </row>
    <row r="3770" spans="1:1" x14ac:dyDescent="0.2">
      <c r="A3770" s="1" t="s">
        <v>856</v>
      </c>
    </row>
    <row r="3771" spans="1:1" x14ac:dyDescent="0.2">
      <c r="A3771" s="1" t="s">
        <v>857</v>
      </c>
    </row>
    <row r="3772" spans="1:1" x14ac:dyDescent="0.2">
      <c r="A3772" s="1" t="s">
        <v>858</v>
      </c>
    </row>
    <row r="3773" spans="1:1" x14ac:dyDescent="0.2">
      <c r="A3773" s="1" t="s">
        <v>859</v>
      </c>
    </row>
    <row r="3774" spans="1:1" x14ac:dyDescent="0.2">
      <c r="A3774" s="1" t="s">
        <v>850</v>
      </c>
    </row>
    <row r="3775" spans="1:1" x14ac:dyDescent="0.2">
      <c r="A3775" s="1" t="s">
        <v>851</v>
      </c>
    </row>
    <row r="3776" spans="1:1" x14ac:dyDescent="0.2">
      <c r="A3776" s="1" t="s">
        <v>850</v>
      </c>
    </row>
    <row r="3777" spans="1:1" x14ac:dyDescent="0.2">
      <c r="A3777" s="1" t="s">
        <v>851</v>
      </c>
    </row>
    <row r="3778" spans="1:1" x14ac:dyDescent="0.2">
      <c r="A3778" s="1" t="s">
        <v>850</v>
      </c>
    </row>
    <row r="3779" spans="1:1" x14ac:dyDescent="0.2">
      <c r="A3779" s="1" t="s">
        <v>851</v>
      </c>
    </row>
    <row r="3780" spans="1:1" x14ac:dyDescent="0.2">
      <c r="A3780" s="1" t="s">
        <v>852</v>
      </c>
    </row>
    <row r="3781" spans="1:1" x14ac:dyDescent="0.2">
      <c r="A3781" s="1" t="s">
        <v>853</v>
      </c>
    </row>
    <row r="3782" spans="1:1" x14ac:dyDescent="0.2">
      <c r="A3782" s="1" t="s">
        <v>854</v>
      </c>
    </row>
    <row r="3783" spans="1:1" x14ac:dyDescent="0.2">
      <c r="A3783" s="1" t="s">
        <v>855</v>
      </c>
    </row>
    <row r="3784" spans="1:1" x14ac:dyDescent="0.2">
      <c r="A3784" s="1" t="s">
        <v>856</v>
      </c>
    </row>
    <row r="3785" spans="1:1" x14ac:dyDescent="0.2">
      <c r="A3785" s="1" t="s">
        <v>857</v>
      </c>
    </row>
    <row r="3786" spans="1:1" x14ac:dyDescent="0.2">
      <c r="A3786" s="1" t="s">
        <v>858</v>
      </c>
    </row>
    <row r="3787" spans="1:1" x14ac:dyDescent="0.2">
      <c r="A3787" s="1" t="s">
        <v>859</v>
      </c>
    </row>
    <row r="3788" spans="1:1" x14ac:dyDescent="0.2">
      <c r="A3788" s="1" t="s">
        <v>850</v>
      </c>
    </row>
    <row r="3789" spans="1:1" x14ac:dyDescent="0.2">
      <c r="A3789" s="1" t="s">
        <v>851</v>
      </c>
    </row>
    <row r="3790" spans="1:1" x14ac:dyDescent="0.2">
      <c r="A3790" s="1" t="s">
        <v>850</v>
      </c>
    </row>
    <row r="3791" spans="1:1" x14ac:dyDescent="0.2">
      <c r="A3791" s="1" t="s">
        <v>851</v>
      </c>
    </row>
    <row r="3792" spans="1:1" x14ac:dyDescent="0.2">
      <c r="A3792" s="1" t="s">
        <v>850</v>
      </c>
    </row>
    <row r="3793" spans="1:1" x14ac:dyDescent="0.2">
      <c r="A3793" s="1" t="s">
        <v>851</v>
      </c>
    </row>
    <row r="3794" spans="1:1" x14ac:dyDescent="0.2">
      <c r="A3794" s="1" t="s">
        <v>852</v>
      </c>
    </row>
    <row r="3795" spans="1:1" x14ac:dyDescent="0.2">
      <c r="A3795" s="1" t="s">
        <v>853</v>
      </c>
    </row>
    <row r="3796" spans="1:1" x14ac:dyDescent="0.2">
      <c r="A3796" s="1" t="s">
        <v>854</v>
      </c>
    </row>
    <row r="3797" spans="1:1" x14ac:dyDescent="0.2">
      <c r="A3797" s="1" t="s">
        <v>855</v>
      </c>
    </row>
    <row r="3798" spans="1:1" x14ac:dyDescent="0.2">
      <c r="A3798" s="1" t="s">
        <v>856</v>
      </c>
    </row>
    <row r="3799" spans="1:1" x14ac:dyDescent="0.2">
      <c r="A3799" s="1" t="s">
        <v>857</v>
      </c>
    </row>
    <row r="3800" spans="1:1" x14ac:dyDescent="0.2">
      <c r="A3800" s="1" t="s">
        <v>858</v>
      </c>
    </row>
    <row r="3801" spans="1:1" x14ac:dyDescent="0.2">
      <c r="A3801" s="1" t="s">
        <v>859</v>
      </c>
    </row>
    <row r="3802" spans="1:1" x14ac:dyDescent="0.2">
      <c r="A3802" s="1" t="s">
        <v>850</v>
      </c>
    </row>
    <row r="3803" spans="1:1" x14ac:dyDescent="0.2">
      <c r="A3803" s="1" t="s">
        <v>851</v>
      </c>
    </row>
    <row r="3804" spans="1:1" x14ac:dyDescent="0.2">
      <c r="A3804" s="1" t="s">
        <v>850</v>
      </c>
    </row>
    <row r="3805" spans="1:1" x14ac:dyDescent="0.2">
      <c r="A3805" s="1" t="s">
        <v>851</v>
      </c>
    </row>
    <row r="3806" spans="1:1" x14ac:dyDescent="0.2">
      <c r="A3806" s="1" t="s">
        <v>850</v>
      </c>
    </row>
    <row r="3807" spans="1:1" x14ac:dyDescent="0.2">
      <c r="A3807" s="1" t="s">
        <v>851</v>
      </c>
    </row>
    <row r="3808" spans="1:1" x14ac:dyDescent="0.2">
      <c r="A3808" s="1" t="s">
        <v>852</v>
      </c>
    </row>
    <row r="3809" spans="1:1" x14ac:dyDescent="0.2">
      <c r="A3809" s="1" t="s">
        <v>853</v>
      </c>
    </row>
    <row r="3810" spans="1:1" x14ac:dyDescent="0.2">
      <c r="A3810" s="1" t="s">
        <v>854</v>
      </c>
    </row>
    <row r="3811" spans="1:1" x14ac:dyDescent="0.2">
      <c r="A3811" s="1" t="s">
        <v>855</v>
      </c>
    </row>
    <row r="3812" spans="1:1" x14ac:dyDescent="0.2">
      <c r="A3812" s="1" t="s">
        <v>856</v>
      </c>
    </row>
    <row r="3813" spans="1:1" x14ac:dyDescent="0.2">
      <c r="A3813" s="1" t="s">
        <v>857</v>
      </c>
    </row>
    <row r="3814" spans="1:1" x14ac:dyDescent="0.2">
      <c r="A3814" s="1" t="s">
        <v>858</v>
      </c>
    </row>
    <row r="3815" spans="1:1" x14ac:dyDescent="0.2">
      <c r="A3815" s="1" t="s">
        <v>859</v>
      </c>
    </row>
    <row r="3816" spans="1:1" x14ac:dyDescent="0.2">
      <c r="A3816" s="1" t="s">
        <v>850</v>
      </c>
    </row>
    <row r="3817" spans="1:1" x14ac:dyDescent="0.2">
      <c r="A3817" s="1" t="s">
        <v>851</v>
      </c>
    </row>
    <row r="3818" spans="1:1" x14ac:dyDescent="0.2">
      <c r="A3818" s="1" t="s">
        <v>850</v>
      </c>
    </row>
    <row r="3819" spans="1:1" x14ac:dyDescent="0.2">
      <c r="A3819" s="1" t="s">
        <v>851</v>
      </c>
    </row>
    <row r="3820" spans="1:1" x14ac:dyDescent="0.2">
      <c r="A3820" s="1" t="s">
        <v>850</v>
      </c>
    </row>
    <row r="3821" spans="1:1" x14ac:dyDescent="0.2">
      <c r="A3821" s="1" t="s">
        <v>851</v>
      </c>
    </row>
    <row r="3822" spans="1:1" x14ac:dyDescent="0.2">
      <c r="A3822" s="1" t="s">
        <v>852</v>
      </c>
    </row>
    <row r="3823" spans="1:1" x14ac:dyDescent="0.2">
      <c r="A3823" s="1" t="s">
        <v>853</v>
      </c>
    </row>
    <row r="3824" spans="1:1" x14ac:dyDescent="0.2">
      <c r="A3824" s="1" t="s">
        <v>854</v>
      </c>
    </row>
    <row r="3825" spans="1:1" x14ac:dyDescent="0.2">
      <c r="A3825" s="1" t="s">
        <v>855</v>
      </c>
    </row>
    <row r="3826" spans="1:1" x14ac:dyDescent="0.2">
      <c r="A3826" s="1" t="s">
        <v>856</v>
      </c>
    </row>
    <row r="3827" spans="1:1" x14ac:dyDescent="0.2">
      <c r="A3827" s="1" t="s">
        <v>857</v>
      </c>
    </row>
    <row r="3828" spans="1:1" x14ac:dyDescent="0.2">
      <c r="A3828" s="1" t="s">
        <v>858</v>
      </c>
    </row>
    <row r="3829" spans="1:1" x14ac:dyDescent="0.2">
      <c r="A3829" s="1" t="s">
        <v>860</v>
      </c>
    </row>
    <row r="3830" spans="1:1" x14ac:dyDescent="0.2">
      <c r="A3830" s="1" t="s">
        <v>861</v>
      </c>
    </row>
    <row r="3831" spans="1:1" x14ac:dyDescent="0.2">
      <c r="A3831" s="1" t="s">
        <v>862</v>
      </c>
    </row>
    <row r="3832" spans="1:1" x14ac:dyDescent="0.2">
      <c r="A3832" s="1" t="s">
        <v>861</v>
      </c>
    </row>
    <row r="3833" spans="1:1" x14ac:dyDescent="0.2">
      <c r="A3833" s="1" t="s">
        <v>862</v>
      </c>
    </row>
    <row r="3834" spans="1:1" x14ac:dyDescent="0.2">
      <c r="A3834" s="1" t="s">
        <v>861</v>
      </c>
    </row>
    <row r="3835" spans="1:1" x14ac:dyDescent="0.2">
      <c r="A3835" s="1" t="s">
        <v>862</v>
      </c>
    </row>
    <row r="3836" spans="1:1" x14ac:dyDescent="0.2">
      <c r="A3836" s="1" t="s">
        <v>863</v>
      </c>
    </row>
    <row r="3837" spans="1:1" x14ac:dyDescent="0.2">
      <c r="A3837" s="1" t="s">
        <v>864</v>
      </c>
    </row>
    <row r="3838" spans="1:1" x14ac:dyDescent="0.2">
      <c r="A3838" s="1" t="s">
        <v>865</v>
      </c>
    </row>
    <row r="3839" spans="1:1" x14ac:dyDescent="0.2">
      <c r="A3839" s="1" t="s">
        <v>866</v>
      </c>
    </row>
    <row r="3840" spans="1:1" x14ac:dyDescent="0.2">
      <c r="A3840" s="1" t="s">
        <v>867</v>
      </c>
    </row>
    <row r="3841" spans="1:1" x14ac:dyDescent="0.2">
      <c r="A3841" s="1" t="s">
        <v>868</v>
      </c>
    </row>
    <row r="3842" spans="1:1" x14ac:dyDescent="0.2">
      <c r="A3842" s="1" t="s">
        <v>869</v>
      </c>
    </row>
    <row r="3843" spans="1:1" x14ac:dyDescent="0.2">
      <c r="A3843" s="1" t="s">
        <v>860</v>
      </c>
    </row>
    <row r="3844" spans="1:1" x14ac:dyDescent="0.2">
      <c r="A3844" s="1" t="s">
        <v>861</v>
      </c>
    </row>
    <row r="3845" spans="1:1" x14ac:dyDescent="0.2">
      <c r="A3845" s="1" t="s">
        <v>862</v>
      </c>
    </row>
    <row r="3846" spans="1:1" x14ac:dyDescent="0.2">
      <c r="A3846" s="1" t="s">
        <v>870</v>
      </c>
    </row>
    <row r="3847" spans="1:1" x14ac:dyDescent="0.2">
      <c r="A3847" s="1" t="s">
        <v>871</v>
      </c>
    </row>
    <row r="3848" spans="1:1" x14ac:dyDescent="0.2">
      <c r="A3848" s="1" t="s">
        <v>861</v>
      </c>
    </row>
    <row r="3849" spans="1:1" x14ac:dyDescent="0.2">
      <c r="A3849" s="1" t="s">
        <v>862</v>
      </c>
    </row>
    <row r="3850" spans="1:1" x14ac:dyDescent="0.2">
      <c r="A3850" s="1" t="s">
        <v>872</v>
      </c>
    </row>
    <row r="3851" spans="1:1" x14ac:dyDescent="0.2">
      <c r="A3851" s="1" t="s">
        <v>873</v>
      </c>
    </row>
    <row r="3852" spans="1:1" x14ac:dyDescent="0.2">
      <c r="A3852" s="1" t="s">
        <v>874</v>
      </c>
    </row>
    <row r="3853" spans="1:1" x14ac:dyDescent="0.2">
      <c r="A3853" s="1" t="s">
        <v>875</v>
      </c>
    </row>
    <row r="3854" spans="1:1" x14ac:dyDescent="0.2">
      <c r="A3854" s="1" t="s">
        <v>876</v>
      </c>
    </row>
    <row r="3855" spans="1:1" x14ac:dyDescent="0.2">
      <c r="A3855" s="1" t="s">
        <v>877</v>
      </c>
    </row>
    <row r="3856" spans="1:1" x14ac:dyDescent="0.2">
      <c r="A3856" s="1" t="s">
        <v>878</v>
      </c>
    </row>
    <row r="3857" spans="1:1" x14ac:dyDescent="0.2">
      <c r="A3857" s="1" t="s">
        <v>879</v>
      </c>
    </row>
    <row r="3858" spans="1:1" x14ac:dyDescent="0.2">
      <c r="A3858" s="1" t="s">
        <v>870</v>
      </c>
    </row>
    <row r="3859" spans="1:1" x14ac:dyDescent="0.2">
      <c r="A3859" s="1" t="s">
        <v>880</v>
      </c>
    </row>
    <row r="3860" spans="1:1" x14ac:dyDescent="0.2">
      <c r="A3860" s="1" t="s">
        <v>861</v>
      </c>
    </row>
    <row r="3861" spans="1:1" x14ac:dyDescent="0.2">
      <c r="A3861" s="1" t="s">
        <v>862</v>
      </c>
    </row>
    <row r="3862" spans="1:1" x14ac:dyDescent="0.2">
      <c r="A3862" s="1" t="s">
        <v>872</v>
      </c>
    </row>
    <row r="3863" spans="1:1" x14ac:dyDescent="0.2">
      <c r="A3863" s="1" t="s">
        <v>873</v>
      </c>
    </row>
    <row r="3864" spans="1:1" x14ac:dyDescent="0.2">
      <c r="A3864" s="1" t="s">
        <v>881</v>
      </c>
    </row>
    <row r="3865" spans="1:1" x14ac:dyDescent="0.2">
      <c r="A3865" s="1" t="s">
        <v>875</v>
      </c>
    </row>
    <row r="3866" spans="1:1" x14ac:dyDescent="0.2">
      <c r="A3866" s="1" t="s">
        <v>876</v>
      </c>
    </row>
    <row r="3867" spans="1:1" x14ac:dyDescent="0.2">
      <c r="A3867" s="1" t="s">
        <v>877</v>
      </c>
    </row>
    <row r="3868" spans="1:1" x14ac:dyDescent="0.2">
      <c r="A3868" s="1" t="s">
        <v>878</v>
      </c>
    </row>
    <row r="3869" spans="1:1" x14ac:dyDescent="0.2">
      <c r="A3869" s="1" t="s">
        <v>879</v>
      </c>
    </row>
    <row r="3870" spans="1:1" x14ac:dyDescent="0.2">
      <c r="A3870" s="1" t="s">
        <v>870</v>
      </c>
    </row>
    <row r="3871" spans="1:1" x14ac:dyDescent="0.2">
      <c r="A3871" s="1" t="s">
        <v>882</v>
      </c>
    </row>
    <row r="3872" spans="1:1" x14ac:dyDescent="0.2">
      <c r="A3872" s="1" t="s">
        <v>861</v>
      </c>
    </row>
    <row r="3873" spans="1:1" x14ac:dyDescent="0.2">
      <c r="A3873" s="1" t="s">
        <v>862</v>
      </c>
    </row>
    <row r="3874" spans="1:1" x14ac:dyDescent="0.2">
      <c r="A3874" s="1" t="s">
        <v>872</v>
      </c>
    </row>
    <row r="3875" spans="1:1" x14ac:dyDescent="0.2">
      <c r="A3875" s="1" t="s">
        <v>873</v>
      </c>
    </row>
    <row r="3876" spans="1:1" x14ac:dyDescent="0.2">
      <c r="A3876" s="1" t="s">
        <v>883</v>
      </c>
    </row>
    <row r="3877" spans="1:1" x14ac:dyDescent="0.2">
      <c r="A3877" s="1" t="s">
        <v>875</v>
      </c>
    </row>
    <row r="3878" spans="1:1" x14ac:dyDescent="0.2">
      <c r="A3878" s="1" t="s">
        <v>876</v>
      </c>
    </row>
    <row r="3879" spans="1:1" x14ac:dyDescent="0.2">
      <c r="A3879" s="1" t="s">
        <v>877</v>
      </c>
    </row>
    <row r="3880" spans="1:1" x14ac:dyDescent="0.2">
      <c r="A3880" s="1" t="s">
        <v>878</v>
      </c>
    </row>
    <row r="3881" spans="1:1" x14ac:dyDescent="0.2">
      <c r="A3881" s="1" t="s">
        <v>879</v>
      </c>
    </row>
    <row r="3882" spans="1:1" x14ac:dyDescent="0.2">
      <c r="A3882" s="1" t="s">
        <v>870</v>
      </c>
    </row>
    <row r="3883" spans="1:1" x14ac:dyDescent="0.2">
      <c r="A3883" s="1" t="s">
        <v>884</v>
      </c>
    </row>
    <row r="3884" spans="1:1" x14ac:dyDescent="0.2">
      <c r="A3884" s="1" t="s">
        <v>861</v>
      </c>
    </row>
    <row r="3885" spans="1:1" x14ac:dyDescent="0.2">
      <c r="A3885" s="1" t="s">
        <v>862</v>
      </c>
    </row>
    <row r="3886" spans="1:1" x14ac:dyDescent="0.2">
      <c r="A3886" s="1" t="s">
        <v>872</v>
      </c>
    </row>
    <row r="3887" spans="1:1" x14ac:dyDescent="0.2">
      <c r="A3887" s="1" t="s">
        <v>873</v>
      </c>
    </row>
    <row r="3888" spans="1:1" x14ac:dyDescent="0.2">
      <c r="A3888" s="1" t="s">
        <v>885</v>
      </c>
    </row>
    <row r="3889" spans="1:1" x14ac:dyDescent="0.2">
      <c r="A3889" s="1" t="s">
        <v>875</v>
      </c>
    </row>
    <row r="3890" spans="1:1" x14ac:dyDescent="0.2">
      <c r="A3890" s="1" t="s">
        <v>876</v>
      </c>
    </row>
    <row r="3891" spans="1:1" x14ac:dyDescent="0.2">
      <c r="A3891" s="1" t="s">
        <v>877</v>
      </c>
    </row>
    <row r="3892" spans="1:1" x14ac:dyDescent="0.2">
      <c r="A3892" s="1" t="s">
        <v>878</v>
      </c>
    </row>
    <row r="3893" spans="1:1" x14ac:dyDescent="0.2">
      <c r="A3893" s="1" t="s">
        <v>879</v>
      </c>
    </row>
    <row r="3894" spans="1:1" x14ac:dyDescent="0.2">
      <c r="A3894" s="1" t="s">
        <v>870</v>
      </c>
    </row>
    <row r="3895" spans="1:1" x14ac:dyDescent="0.2">
      <c r="A3895" s="1" t="s">
        <v>886</v>
      </c>
    </row>
    <row r="3896" spans="1:1" x14ac:dyDescent="0.2">
      <c r="A3896" s="1" t="s">
        <v>861</v>
      </c>
    </row>
    <row r="3897" spans="1:1" x14ac:dyDescent="0.2">
      <c r="A3897" s="1" t="s">
        <v>862</v>
      </c>
    </row>
    <row r="3898" spans="1:1" x14ac:dyDescent="0.2">
      <c r="A3898" s="1" t="s">
        <v>872</v>
      </c>
    </row>
    <row r="3899" spans="1:1" x14ac:dyDescent="0.2">
      <c r="A3899" s="1" t="s">
        <v>873</v>
      </c>
    </row>
    <row r="3900" spans="1:1" x14ac:dyDescent="0.2">
      <c r="A3900" s="1" t="s">
        <v>887</v>
      </c>
    </row>
    <row r="3901" spans="1:1" x14ac:dyDescent="0.2">
      <c r="A3901" s="1" t="s">
        <v>875</v>
      </c>
    </row>
    <row r="3902" spans="1:1" x14ac:dyDescent="0.2">
      <c r="A3902" s="1" t="s">
        <v>876</v>
      </c>
    </row>
    <row r="3903" spans="1:1" x14ac:dyDescent="0.2">
      <c r="A3903" s="1" t="s">
        <v>877</v>
      </c>
    </row>
    <row r="3904" spans="1:1" x14ac:dyDescent="0.2">
      <c r="A3904" s="1" t="s">
        <v>878</v>
      </c>
    </row>
    <row r="3905" spans="1:1" x14ac:dyDescent="0.2">
      <c r="A3905" s="1" t="s">
        <v>879</v>
      </c>
    </row>
    <row r="3906" spans="1:1" x14ac:dyDescent="0.2">
      <c r="A3906" s="1" t="s">
        <v>870</v>
      </c>
    </row>
    <row r="3907" spans="1:1" x14ac:dyDescent="0.2">
      <c r="A3907" s="1" t="s">
        <v>888</v>
      </c>
    </row>
    <row r="3908" spans="1:1" x14ac:dyDescent="0.2">
      <c r="A3908" s="1" t="s">
        <v>861</v>
      </c>
    </row>
    <row r="3909" spans="1:1" x14ac:dyDescent="0.2">
      <c r="A3909" s="1" t="s">
        <v>862</v>
      </c>
    </row>
    <row r="3910" spans="1:1" x14ac:dyDescent="0.2">
      <c r="A3910" s="1" t="s">
        <v>872</v>
      </c>
    </row>
    <row r="3911" spans="1:1" x14ac:dyDescent="0.2">
      <c r="A3911" s="1" t="s">
        <v>873</v>
      </c>
    </row>
    <row r="3912" spans="1:1" x14ac:dyDescent="0.2">
      <c r="A3912" s="1" t="s">
        <v>889</v>
      </c>
    </row>
    <row r="3913" spans="1:1" x14ac:dyDescent="0.2">
      <c r="A3913" s="1" t="s">
        <v>875</v>
      </c>
    </row>
    <row r="3914" spans="1:1" x14ac:dyDescent="0.2">
      <c r="A3914" s="1" t="s">
        <v>876</v>
      </c>
    </row>
    <row r="3915" spans="1:1" x14ac:dyDescent="0.2">
      <c r="A3915" s="1" t="s">
        <v>877</v>
      </c>
    </row>
    <row r="3916" spans="1:1" x14ac:dyDescent="0.2">
      <c r="A3916" s="1" t="s">
        <v>878</v>
      </c>
    </row>
    <row r="3917" spans="1:1" x14ac:dyDescent="0.2">
      <c r="A3917" s="1" t="s">
        <v>879</v>
      </c>
    </row>
    <row r="3918" spans="1:1" x14ac:dyDescent="0.2">
      <c r="A3918" s="1" t="s">
        <v>870</v>
      </c>
    </row>
    <row r="3919" spans="1:1" x14ac:dyDescent="0.2">
      <c r="A3919" s="1" t="s">
        <v>890</v>
      </c>
    </row>
    <row r="3920" spans="1:1" x14ac:dyDescent="0.2">
      <c r="A3920" s="1" t="s">
        <v>861</v>
      </c>
    </row>
    <row r="3921" spans="1:1" x14ac:dyDescent="0.2">
      <c r="A3921" s="1" t="s">
        <v>862</v>
      </c>
    </row>
    <row r="3922" spans="1:1" x14ac:dyDescent="0.2">
      <c r="A3922" s="1" t="s">
        <v>872</v>
      </c>
    </row>
    <row r="3923" spans="1:1" x14ac:dyDescent="0.2">
      <c r="A3923" s="1" t="s">
        <v>873</v>
      </c>
    </row>
    <row r="3924" spans="1:1" x14ac:dyDescent="0.2">
      <c r="A3924" s="1" t="s">
        <v>891</v>
      </c>
    </row>
    <row r="3925" spans="1:1" x14ac:dyDescent="0.2">
      <c r="A3925" s="1" t="s">
        <v>875</v>
      </c>
    </row>
    <row r="3926" spans="1:1" x14ac:dyDescent="0.2">
      <c r="A3926" s="1" t="s">
        <v>876</v>
      </c>
    </row>
    <row r="3927" spans="1:1" x14ac:dyDescent="0.2">
      <c r="A3927" s="1" t="s">
        <v>877</v>
      </c>
    </row>
    <row r="3928" spans="1:1" x14ac:dyDescent="0.2">
      <c r="A3928" s="1" t="s">
        <v>878</v>
      </c>
    </row>
    <row r="3929" spans="1:1" x14ac:dyDescent="0.2">
      <c r="A3929" s="1" t="s">
        <v>879</v>
      </c>
    </row>
    <row r="3930" spans="1:1" x14ac:dyDescent="0.2">
      <c r="A3930" s="1" t="s">
        <v>870</v>
      </c>
    </row>
    <row r="3931" spans="1:1" x14ac:dyDescent="0.2">
      <c r="A3931" s="1" t="s">
        <v>892</v>
      </c>
    </row>
    <row r="3932" spans="1:1" x14ac:dyDescent="0.2">
      <c r="A3932" s="1" t="s">
        <v>861</v>
      </c>
    </row>
    <row r="3933" spans="1:1" x14ac:dyDescent="0.2">
      <c r="A3933" s="1" t="s">
        <v>862</v>
      </c>
    </row>
    <row r="3934" spans="1:1" x14ac:dyDescent="0.2">
      <c r="A3934" s="1" t="s">
        <v>872</v>
      </c>
    </row>
    <row r="3935" spans="1:1" x14ac:dyDescent="0.2">
      <c r="A3935" s="1" t="s">
        <v>873</v>
      </c>
    </row>
    <row r="3936" spans="1:1" x14ac:dyDescent="0.2">
      <c r="A3936" s="1" t="s">
        <v>893</v>
      </c>
    </row>
    <row r="3937" spans="1:1" x14ac:dyDescent="0.2">
      <c r="A3937" s="1" t="s">
        <v>875</v>
      </c>
    </row>
    <row r="3938" spans="1:1" x14ac:dyDescent="0.2">
      <c r="A3938" s="1" t="s">
        <v>876</v>
      </c>
    </row>
    <row r="3939" spans="1:1" x14ac:dyDescent="0.2">
      <c r="A3939" s="1" t="s">
        <v>877</v>
      </c>
    </row>
    <row r="3940" spans="1:1" x14ac:dyDescent="0.2">
      <c r="A3940" s="1" t="s">
        <v>878</v>
      </c>
    </row>
    <row r="3941" spans="1:1" x14ac:dyDescent="0.2">
      <c r="A3941" s="1" t="s">
        <v>879</v>
      </c>
    </row>
    <row r="3942" spans="1:1" x14ac:dyDescent="0.2">
      <c r="A3942" s="1" t="s">
        <v>894</v>
      </c>
    </row>
    <row r="3943" spans="1:1" x14ac:dyDescent="0.2">
      <c r="A3943" s="1" t="s">
        <v>895</v>
      </c>
    </row>
    <row r="3944" spans="1:1" x14ac:dyDescent="0.2">
      <c r="A3944" s="1" t="s">
        <v>896</v>
      </c>
    </row>
    <row r="3945" spans="1:1" x14ac:dyDescent="0.2">
      <c r="A3945" s="1" t="s">
        <v>897</v>
      </c>
    </row>
    <row r="3946" spans="1:1" x14ac:dyDescent="0.2">
      <c r="A3946" s="1" t="s">
        <v>898</v>
      </c>
    </row>
    <row r="3947" spans="1:1" x14ac:dyDescent="0.2">
      <c r="A3947" s="1" t="s">
        <v>899</v>
      </c>
    </row>
    <row r="3948" spans="1:1" x14ac:dyDescent="0.2">
      <c r="A3948" s="1" t="s">
        <v>900</v>
      </c>
    </row>
    <row r="3949" spans="1:1" x14ac:dyDescent="0.2">
      <c r="A3949" s="1" t="s">
        <v>901</v>
      </c>
    </row>
    <row r="3950" spans="1:1" x14ac:dyDescent="0.2">
      <c r="A3950" s="1" t="s">
        <v>902</v>
      </c>
    </row>
    <row r="3951" spans="1:1" x14ac:dyDescent="0.2">
      <c r="A3951" s="1" t="s">
        <v>903</v>
      </c>
    </row>
    <row r="3952" spans="1:1" x14ac:dyDescent="0.2">
      <c r="A3952" s="1" t="s">
        <v>904</v>
      </c>
    </row>
    <row r="3953" spans="1:1" x14ac:dyDescent="0.2">
      <c r="A3953" s="1" t="s">
        <v>905</v>
      </c>
    </row>
    <row r="3954" spans="1:1" x14ac:dyDescent="0.2">
      <c r="A3954" s="1" t="s">
        <v>894</v>
      </c>
    </row>
    <row r="3955" spans="1:1" x14ac:dyDescent="0.2">
      <c r="A3955" s="1" t="s">
        <v>906</v>
      </c>
    </row>
    <row r="3956" spans="1:1" x14ac:dyDescent="0.2">
      <c r="A3956" s="1" t="s">
        <v>896</v>
      </c>
    </row>
    <row r="3957" spans="1:1" x14ac:dyDescent="0.2">
      <c r="A3957" s="1" t="s">
        <v>897</v>
      </c>
    </row>
    <row r="3958" spans="1:1" x14ac:dyDescent="0.2">
      <c r="A3958" s="1" t="s">
        <v>898</v>
      </c>
    </row>
    <row r="3959" spans="1:1" x14ac:dyDescent="0.2">
      <c r="A3959" s="1" t="s">
        <v>899</v>
      </c>
    </row>
    <row r="3960" spans="1:1" x14ac:dyDescent="0.2">
      <c r="A3960" s="1" t="s">
        <v>907</v>
      </c>
    </row>
    <row r="3961" spans="1:1" x14ac:dyDescent="0.2">
      <c r="A3961" s="1" t="s">
        <v>901</v>
      </c>
    </row>
    <row r="3962" spans="1:1" x14ac:dyDescent="0.2">
      <c r="A3962" s="1" t="s">
        <v>902</v>
      </c>
    </row>
    <row r="3963" spans="1:1" x14ac:dyDescent="0.2">
      <c r="A3963" s="1" t="s">
        <v>903</v>
      </c>
    </row>
    <row r="3964" spans="1:1" x14ac:dyDescent="0.2">
      <c r="A3964" s="1" t="s">
        <v>904</v>
      </c>
    </row>
    <row r="3965" spans="1:1" x14ac:dyDescent="0.2">
      <c r="A3965" s="1" t="s">
        <v>905</v>
      </c>
    </row>
    <row r="3966" spans="1:1" x14ac:dyDescent="0.2">
      <c r="A3966" s="1" t="s">
        <v>908</v>
      </c>
    </row>
    <row r="3967" spans="1:1" x14ac:dyDescent="0.2">
      <c r="A3967" s="1" t="s">
        <v>909</v>
      </c>
    </row>
    <row r="3968" spans="1:1" x14ac:dyDescent="0.2">
      <c r="A3968" s="1" t="s">
        <v>910</v>
      </c>
    </row>
    <row r="3969" spans="1:1" x14ac:dyDescent="0.2">
      <c r="A3969" s="1" t="s">
        <v>911</v>
      </c>
    </row>
    <row r="3970" spans="1:1" x14ac:dyDescent="0.2">
      <c r="A3970" s="1" t="s">
        <v>912</v>
      </c>
    </row>
    <row r="3971" spans="1:1" x14ac:dyDescent="0.2">
      <c r="A3971" s="1" t="s">
        <v>913</v>
      </c>
    </row>
    <row r="3972" spans="1:1" x14ac:dyDescent="0.2">
      <c r="A3972" s="1" t="s">
        <v>914</v>
      </c>
    </row>
    <row r="3973" spans="1:1" x14ac:dyDescent="0.2">
      <c r="A3973" s="1" t="s">
        <v>915</v>
      </c>
    </row>
    <row r="3974" spans="1:1" x14ac:dyDescent="0.2">
      <c r="A3974" s="1" t="s">
        <v>916</v>
      </c>
    </row>
    <row r="3975" spans="1:1" x14ac:dyDescent="0.2">
      <c r="A3975" s="1" t="s">
        <v>917</v>
      </c>
    </row>
    <row r="3976" spans="1:1" x14ac:dyDescent="0.2">
      <c r="A3976" s="1" t="s">
        <v>918</v>
      </c>
    </row>
    <row r="3977" spans="1:1" x14ac:dyDescent="0.2">
      <c r="A3977" s="1" t="s">
        <v>919</v>
      </c>
    </row>
    <row r="3978" spans="1:1" x14ac:dyDescent="0.2">
      <c r="A3978" s="1" t="s">
        <v>908</v>
      </c>
    </row>
    <row r="3979" spans="1:1" x14ac:dyDescent="0.2">
      <c r="A3979" s="1" t="s">
        <v>920</v>
      </c>
    </row>
    <row r="3980" spans="1:1" x14ac:dyDescent="0.2">
      <c r="A3980" s="1" t="s">
        <v>910</v>
      </c>
    </row>
    <row r="3981" spans="1:1" x14ac:dyDescent="0.2">
      <c r="A3981" s="1" t="s">
        <v>911</v>
      </c>
    </row>
    <row r="3982" spans="1:1" x14ac:dyDescent="0.2">
      <c r="A3982" s="1" t="s">
        <v>912</v>
      </c>
    </row>
    <row r="3983" spans="1:1" x14ac:dyDescent="0.2">
      <c r="A3983" s="1" t="s">
        <v>913</v>
      </c>
    </row>
    <row r="3984" spans="1:1" x14ac:dyDescent="0.2">
      <c r="A3984" s="1" t="s">
        <v>921</v>
      </c>
    </row>
    <row r="3985" spans="1:1" x14ac:dyDescent="0.2">
      <c r="A3985" s="1" t="s">
        <v>915</v>
      </c>
    </row>
    <row r="3986" spans="1:1" x14ac:dyDescent="0.2">
      <c r="A3986" s="1" t="s">
        <v>916</v>
      </c>
    </row>
    <row r="3987" spans="1:1" x14ac:dyDescent="0.2">
      <c r="A3987" s="1" t="s">
        <v>917</v>
      </c>
    </row>
    <row r="3988" spans="1:1" x14ac:dyDescent="0.2">
      <c r="A3988" s="1" t="s">
        <v>918</v>
      </c>
    </row>
    <row r="3989" spans="1:1" x14ac:dyDescent="0.2">
      <c r="A3989" s="1" t="s">
        <v>919</v>
      </c>
    </row>
    <row r="3990" spans="1:1" x14ac:dyDescent="0.2">
      <c r="A3990" s="1" t="s">
        <v>908</v>
      </c>
    </row>
    <row r="3991" spans="1:1" x14ac:dyDescent="0.2">
      <c r="A3991" s="1" t="s">
        <v>922</v>
      </c>
    </row>
    <row r="3992" spans="1:1" x14ac:dyDescent="0.2">
      <c r="A3992" s="1" t="s">
        <v>910</v>
      </c>
    </row>
    <row r="3993" spans="1:1" x14ac:dyDescent="0.2">
      <c r="A3993" s="1" t="s">
        <v>911</v>
      </c>
    </row>
    <row r="3994" spans="1:1" x14ac:dyDescent="0.2">
      <c r="A3994" s="1" t="s">
        <v>912</v>
      </c>
    </row>
    <row r="3995" spans="1:1" x14ac:dyDescent="0.2">
      <c r="A3995" s="1" t="s">
        <v>913</v>
      </c>
    </row>
    <row r="3996" spans="1:1" x14ac:dyDescent="0.2">
      <c r="A3996" s="1" t="s">
        <v>923</v>
      </c>
    </row>
    <row r="3997" spans="1:1" x14ac:dyDescent="0.2">
      <c r="A3997" s="1" t="s">
        <v>915</v>
      </c>
    </row>
    <row r="3998" spans="1:1" x14ac:dyDescent="0.2">
      <c r="A3998" s="1" t="s">
        <v>916</v>
      </c>
    </row>
    <row r="3999" spans="1:1" x14ac:dyDescent="0.2">
      <c r="A3999" s="1" t="s">
        <v>917</v>
      </c>
    </row>
    <row r="4000" spans="1:1" x14ac:dyDescent="0.2">
      <c r="A4000" s="1" t="s">
        <v>918</v>
      </c>
    </row>
    <row r="4001" spans="1:1" x14ac:dyDescent="0.2">
      <c r="A4001" s="1" t="s">
        <v>919</v>
      </c>
    </row>
    <row r="4002" spans="1:1" x14ac:dyDescent="0.2">
      <c r="A4002" s="1" t="s">
        <v>908</v>
      </c>
    </row>
    <row r="4003" spans="1:1" x14ac:dyDescent="0.2">
      <c r="A4003" s="1" t="s">
        <v>924</v>
      </c>
    </row>
    <row r="4004" spans="1:1" x14ac:dyDescent="0.2">
      <c r="A4004" s="1" t="s">
        <v>910</v>
      </c>
    </row>
    <row r="4005" spans="1:1" x14ac:dyDescent="0.2">
      <c r="A4005" s="1" t="s">
        <v>911</v>
      </c>
    </row>
    <row r="4006" spans="1:1" x14ac:dyDescent="0.2">
      <c r="A4006" s="1" t="s">
        <v>912</v>
      </c>
    </row>
    <row r="4007" spans="1:1" x14ac:dyDescent="0.2">
      <c r="A4007" s="1" t="s">
        <v>913</v>
      </c>
    </row>
    <row r="4008" spans="1:1" x14ac:dyDescent="0.2">
      <c r="A4008" s="1" t="s">
        <v>925</v>
      </c>
    </row>
    <row r="4009" spans="1:1" x14ac:dyDescent="0.2">
      <c r="A4009" s="1" t="s">
        <v>915</v>
      </c>
    </row>
    <row r="4010" spans="1:1" x14ac:dyDescent="0.2">
      <c r="A4010" s="1" t="s">
        <v>916</v>
      </c>
    </row>
    <row r="4011" spans="1:1" x14ac:dyDescent="0.2">
      <c r="A4011" s="1" t="s">
        <v>917</v>
      </c>
    </row>
    <row r="4012" spans="1:1" x14ac:dyDescent="0.2">
      <c r="A4012" s="1" t="s">
        <v>918</v>
      </c>
    </row>
    <row r="4013" spans="1:1" x14ac:dyDescent="0.2">
      <c r="A4013" s="1" t="s">
        <v>919</v>
      </c>
    </row>
    <row r="4014" spans="1:1" x14ac:dyDescent="0.2">
      <c r="A4014" s="1" t="s">
        <v>908</v>
      </c>
    </row>
    <row r="4015" spans="1:1" x14ac:dyDescent="0.2">
      <c r="A4015" s="1" t="s">
        <v>926</v>
      </c>
    </row>
    <row r="4016" spans="1:1" x14ac:dyDescent="0.2">
      <c r="A4016" s="1" t="s">
        <v>910</v>
      </c>
    </row>
    <row r="4017" spans="1:1" x14ac:dyDescent="0.2">
      <c r="A4017" s="1" t="s">
        <v>911</v>
      </c>
    </row>
    <row r="4018" spans="1:1" x14ac:dyDescent="0.2">
      <c r="A4018" s="1" t="s">
        <v>912</v>
      </c>
    </row>
    <row r="4019" spans="1:1" x14ac:dyDescent="0.2">
      <c r="A4019" s="1" t="s">
        <v>913</v>
      </c>
    </row>
    <row r="4020" spans="1:1" x14ac:dyDescent="0.2">
      <c r="A4020" s="1" t="s">
        <v>927</v>
      </c>
    </row>
    <row r="4021" spans="1:1" x14ac:dyDescent="0.2">
      <c r="A4021" s="1" t="s">
        <v>915</v>
      </c>
    </row>
    <row r="4022" spans="1:1" x14ac:dyDescent="0.2">
      <c r="A4022" s="1" t="s">
        <v>916</v>
      </c>
    </row>
    <row r="4023" spans="1:1" x14ac:dyDescent="0.2">
      <c r="A4023" s="1" t="s">
        <v>917</v>
      </c>
    </row>
    <row r="4024" spans="1:1" x14ac:dyDescent="0.2">
      <c r="A4024" s="1" t="s">
        <v>918</v>
      </c>
    </row>
    <row r="4025" spans="1:1" x14ac:dyDescent="0.2">
      <c r="A4025" s="1" t="s">
        <v>919</v>
      </c>
    </row>
    <row r="4026" spans="1:1" x14ac:dyDescent="0.2">
      <c r="A4026" s="1" t="s">
        <v>908</v>
      </c>
    </row>
    <row r="4027" spans="1:1" x14ac:dyDescent="0.2">
      <c r="A4027" s="1" t="s">
        <v>928</v>
      </c>
    </row>
    <row r="4028" spans="1:1" x14ac:dyDescent="0.2">
      <c r="A4028" s="1" t="s">
        <v>910</v>
      </c>
    </row>
    <row r="4029" spans="1:1" x14ac:dyDescent="0.2">
      <c r="A4029" s="1" t="s">
        <v>911</v>
      </c>
    </row>
    <row r="4030" spans="1:1" x14ac:dyDescent="0.2">
      <c r="A4030" s="1" t="s">
        <v>912</v>
      </c>
    </row>
    <row r="4031" spans="1:1" x14ac:dyDescent="0.2">
      <c r="A4031" s="1" t="s">
        <v>913</v>
      </c>
    </row>
    <row r="4032" spans="1:1" x14ac:dyDescent="0.2">
      <c r="A4032" s="1" t="s">
        <v>929</v>
      </c>
    </row>
    <row r="4033" spans="1:1" x14ac:dyDescent="0.2">
      <c r="A4033" s="1" t="s">
        <v>915</v>
      </c>
    </row>
    <row r="4034" spans="1:1" x14ac:dyDescent="0.2">
      <c r="A4034" s="1" t="s">
        <v>916</v>
      </c>
    </row>
    <row r="4035" spans="1:1" x14ac:dyDescent="0.2">
      <c r="A4035" s="1" t="s">
        <v>917</v>
      </c>
    </row>
    <row r="4036" spans="1:1" x14ac:dyDescent="0.2">
      <c r="A4036" s="1" t="s">
        <v>918</v>
      </c>
    </row>
    <row r="4037" spans="1:1" x14ac:dyDescent="0.2">
      <c r="A4037" s="1" t="s">
        <v>919</v>
      </c>
    </row>
    <row r="4038" spans="1:1" x14ac:dyDescent="0.2">
      <c r="A4038" s="1" t="s">
        <v>908</v>
      </c>
    </row>
    <row r="4039" spans="1:1" x14ac:dyDescent="0.2">
      <c r="A4039" s="1" t="s">
        <v>930</v>
      </c>
    </row>
    <row r="4040" spans="1:1" x14ac:dyDescent="0.2">
      <c r="A4040" s="1" t="s">
        <v>910</v>
      </c>
    </row>
    <row r="4041" spans="1:1" x14ac:dyDescent="0.2">
      <c r="A4041" s="1" t="s">
        <v>911</v>
      </c>
    </row>
    <row r="4042" spans="1:1" x14ac:dyDescent="0.2">
      <c r="A4042" s="1" t="s">
        <v>912</v>
      </c>
    </row>
    <row r="4043" spans="1:1" x14ac:dyDescent="0.2">
      <c r="A4043" s="1" t="s">
        <v>913</v>
      </c>
    </row>
    <row r="4044" spans="1:1" x14ac:dyDescent="0.2">
      <c r="A4044" s="1" t="s">
        <v>931</v>
      </c>
    </row>
    <row r="4045" spans="1:1" x14ac:dyDescent="0.2">
      <c r="A4045" s="1" t="s">
        <v>915</v>
      </c>
    </row>
    <row r="4046" spans="1:1" x14ac:dyDescent="0.2">
      <c r="A4046" s="1" t="s">
        <v>916</v>
      </c>
    </row>
    <row r="4047" spans="1:1" x14ac:dyDescent="0.2">
      <c r="A4047" s="1" t="s">
        <v>917</v>
      </c>
    </row>
    <row r="4048" spans="1:1" x14ac:dyDescent="0.2">
      <c r="A4048" s="1" t="s">
        <v>918</v>
      </c>
    </row>
    <row r="4049" spans="1:1" x14ac:dyDescent="0.2">
      <c r="A4049" s="1" t="s">
        <v>919</v>
      </c>
    </row>
    <row r="4050" spans="1:1" x14ac:dyDescent="0.2">
      <c r="A4050" s="1" t="s">
        <v>908</v>
      </c>
    </row>
    <row r="4051" spans="1:1" x14ac:dyDescent="0.2">
      <c r="A4051" s="1" t="s">
        <v>932</v>
      </c>
    </row>
    <row r="4052" spans="1:1" x14ac:dyDescent="0.2">
      <c r="A4052" s="1" t="s">
        <v>910</v>
      </c>
    </row>
    <row r="4053" spans="1:1" x14ac:dyDescent="0.2">
      <c r="A4053" s="1" t="s">
        <v>911</v>
      </c>
    </row>
    <row r="4054" spans="1:1" x14ac:dyDescent="0.2">
      <c r="A4054" s="1" t="s">
        <v>912</v>
      </c>
    </row>
    <row r="4055" spans="1:1" x14ac:dyDescent="0.2">
      <c r="A4055" s="1" t="s">
        <v>913</v>
      </c>
    </row>
    <row r="4056" spans="1:1" x14ac:dyDescent="0.2">
      <c r="A4056" s="1" t="s">
        <v>933</v>
      </c>
    </row>
    <row r="4057" spans="1:1" x14ac:dyDescent="0.2">
      <c r="A4057" s="1" t="s">
        <v>915</v>
      </c>
    </row>
    <row r="4058" spans="1:1" x14ac:dyDescent="0.2">
      <c r="A4058" s="1" t="s">
        <v>916</v>
      </c>
    </row>
    <row r="4059" spans="1:1" x14ac:dyDescent="0.2">
      <c r="A4059" s="1" t="s">
        <v>917</v>
      </c>
    </row>
    <row r="4060" spans="1:1" x14ac:dyDescent="0.2">
      <c r="A4060" s="1" t="s">
        <v>918</v>
      </c>
    </row>
    <row r="4061" spans="1:1" x14ac:dyDescent="0.2">
      <c r="A4061" s="1" t="s">
        <v>919</v>
      </c>
    </row>
    <row r="4062" spans="1:1" x14ac:dyDescent="0.2">
      <c r="A4062" s="1" t="s">
        <v>908</v>
      </c>
    </row>
    <row r="4063" spans="1:1" x14ac:dyDescent="0.2">
      <c r="A4063" s="1" t="s">
        <v>934</v>
      </c>
    </row>
    <row r="4064" spans="1:1" x14ac:dyDescent="0.2">
      <c r="A4064" s="1" t="s">
        <v>910</v>
      </c>
    </row>
    <row r="4065" spans="1:1" x14ac:dyDescent="0.2">
      <c r="A4065" s="1" t="s">
        <v>911</v>
      </c>
    </row>
    <row r="4066" spans="1:1" x14ac:dyDescent="0.2">
      <c r="A4066" s="1" t="s">
        <v>912</v>
      </c>
    </row>
    <row r="4067" spans="1:1" x14ac:dyDescent="0.2">
      <c r="A4067" s="1" t="s">
        <v>913</v>
      </c>
    </row>
    <row r="4068" spans="1:1" x14ac:dyDescent="0.2">
      <c r="A4068" s="1" t="s">
        <v>935</v>
      </c>
    </row>
    <row r="4069" spans="1:1" x14ac:dyDescent="0.2">
      <c r="A4069" s="1" t="s">
        <v>915</v>
      </c>
    </row>
    <row r="4070" spans="1:1" x14ac:dyDescent="0.2">
      <c r="A4070" s="1" t="s">
        <v>916</v>
      </c>
    </row>
    <row r="4071" spans="1:1" x14ac:dyDescent="0.2">
      <c r="A4071" s="1" t="s">
        <v>917</v>
      </c>
    </row>
    <row r="4072" spans="1:1" x14ac:dyDescent="0.2">
      <c r="A4072" s="1" t="s">
        <v>918</v>
      </c>
    </row>
    <row r="4073" spans="1:1" x14ac:dyDescent="0.2">
      <c r="A4073" s="1" t="s">
        <v>919</v>
      </c>
    </row>
    <row r="4074" spans="1:1" x14ac:dyDescent="0.2">
      <c r="A4074" s="1" t="s">
        <v>908</v>
      </c>
    </row>
    <row r="4075" spans="1:1" x14ac:dyDescent="0.2">
      <c r="A4075" s="1" t="s">
        <v>936</v>
      </c>
    </row>
    <row r="4076" spans="1:1" x14ac:dyDescent="0.2">
      <c r="A4076" s="1" t="s">
        <v>910</v>
      </c>
    </row>
    <row r="4077" spans="1:1" x14ac:dyDescent="0.2">
      <c r="A4077" s="1" t="s">
        <v>911</v>
      </c>
    </row>
    <row r="4078" spans="1:1" x14ac:dyDescent="0.2">
      <c r="A4078" s="1" t="s">
        <v>912</v>
      </c>
    </row>
    <row r="4079" spans="1:1" x14ac:dyDescent="0.2">
      <c r="A4079" s="1" t="s">
        <v>913</v>
      </c>
    </row>
    <row r="4080" spans="1:1" x14ac:dyDescent="0.2">
      <c r="A4080" s="1" t="s">
        <v>937</v>
      </c>
    </row>
    <row r="4081" spans="1:1" x14ac:dyDescent="0.2">
      <c r="A4081" s="1" t="s">
        <v>915</v>
      </c>
    </row>
    <row r="4082" spans="1:1" x14ac:dyDescent="0.2">
      <c r="A4082" s="1" t="s">
        <v>916</v>
      </c>
    </row>
    <row r="4083" spans="1:1" x14ac:dyDescent="0.2">
      <c r="A4083" s="1" t="s">
        <v>917</v>
      </c>
    </row>
    <row r="4084" spans="1:1" x14ac:dyDescent="0.2">
      <c r="A4084" s="1" t="s">
        <v>918</v>
      </c>
    </row>
    <row r="4085" spans="1:1" x14ac:dyDescent="0.2">
      <c r="A4085" s="1" t="s">
        <v>919</v>
      </c>
    </row>
    <row r="4086" spans="1:1" x14ac:dyDescent="0.2">
      <c r="A4086" s="1" t="s">
        <v>938</v>
      </c>
    </row>
    <row r="4087" spans="1:1" x14ac:dyDescent="0.2">
      <c r="A4087" s="1" t="s">
        <v>939</v>
      </c>
    </row>
    <row r="4088" spans="1:1" x14ac:dyDescent="0.2">
      <c r="A4088" s="1" t="s">
        <v>940</v>
      </c>
    </row>
    <row r="4089" spans="1:1" x14ac:dyDescent="0.2">
      <c r="A4089" s="1" t="s">
        <v>941</v>
      </c>
    </row>
    <row r="4090" spans="1:1" x14ac:dyDescent="0.2">
      <c r="A4090" s="1" t="s">
        <v>942</v>
      </c>
    </row>
    <row r="4091" spans="1:1" x14ac:dyDescent="0.2">
      <c r="A4091" s="1" t="s">
        <v>943</v>
      </c>
    </row>
    <row r="4092" spans="1:1" x14ac:dyDescent="0.2">
      <c r="A4092" s="1" t="s">
        <v>944</v>
      </c>
    </row>
    <row r="4093" spans="1:1" x14ac:dyDescent="0.2">
      <c r="A4093" s="1" t="s">
        <v>945</v>
      </c>
    </row>
    <row r="4094" spans="1:1" x14ac:dyDescent="0.2">
      <c r="A4094" s="1" t="s">
        <v>946</v>
      </c>
    </row>
    <row r="4095" spans="1:1" x14ac:dyDescent="0.2">
      <c r="A4095" s="1" t="s">
        <v>947</v>
      </c>
    </row>
    <row r="4096" spans="1:1" x14ac:dyDescent="0.2">
      <c r="A4096" s="1" t="s">
        <v>948</v>
      </c>
    </row>
    <row r="4097" spans="1:1" x14ac:dyDescent="0.2">
      <c r="A4097" s="1" t="s">
        <v>949</v>
      </c>
    </row>
    <row r="4098" spans="1:1" x14ac:dyDescent="0.2">
      <c r="A4098" s="1" t="s">
        <v>938</v>
      </c>
    </row>
    <row r="4099" spans="1:1" x14ac:dyDescent="0.2">
      <c r="A4099" s="1" t="s">
        <v>950</v>
      </c>
    </row>
    <row r="4100" spans="1:1" x14ac:dyDescent="0.2">
      <c r="A4100" s="1" t="s">
        <v>940</v>
      </c>
    </row>
    <row r="4101" spans="1:1" x14ac:dyDescent="0.2">
      <c r="A4101" s="1" t="s">
        <v>941</v>
      </c>
    </row>
    <row r="4102" spans="1:1" x14ac:dyDescent="0.2">
      <c r="A4102" s="1" t="s">
        <v>942</v>
      </c>
    </row>
    <row r="4103" spans="1:1" x14ac:dyDescent="0.2">
      <c r="A4103" s="1" t="s">
        <v>943</v>
      </c>
    </row>
    <row r="4104" spans="1:1" x14ac:dyDescent="0.2">
      <c r="A4104" s="1" t="s">
        <v>951</v>
      </c>
    </row>
    <row r="4105" spans="1:1" x14ac:dyDescent="0.2">
      <c r="A4105" s="1" t="s">
        <v>945</v>
      </c>
    </row>
    <row r="4106" spans="1:1" x14ac:dyDescent="0.2">
      <c r="A4106" s="1" t="s">
        <v>946</v>
      </c>
    </row>
    <row r="4107" spans="1:1" x14ac:dyDescent="0.2">
      <c r="A4107" s="1" t="s">
        <v>947</v>
      </c>
    </row>
    <row r="4108" spans="1:1" x14ac:dyDescent="0.2">
      <c r="A4108" s="1" t="s">
        <v>948</v>
      </c>
    </row>
    <row r="4109" spans="1:1" x14ac:dyDescent="0.2">
      <c r="A4109" s="1" t="s">
        <v>949</v>
      </c>
    </row>
    <row r="4110" spans="1:1" x14ac:dyDescent="0.2">
      <c r="A4110" s="1" t="s">
        <v>938</v>
      </c>
    </row>
    <row r="4111" spans="1:1" x14ac:dyDescent="0.2">
      <c r="A4111" s="1" t="s">
        <v>952</v>
      </c>
    </row>
    <row r="4112" spans="1:1" x14ac:dyDescent="0.2">
      <c r="A4112" s="1" t="s">
        <v>940</v>
      </c>
    </row>
    <row r="4113" spans="1:1" x14ac:dyDescent="0.2">
      <c r="A4113" s="1" t="s">
        <v>941</v>
      </c>
    </row>
    <row r="4114" spans="1:1" x14ac:dyDescent="0.2">
      <c r="A4114" s="1" t="s">
        <v>942</v>
      </c>
    </row>
    <row r="4115" spans="1:1" x14ac:dyDescent="0.2">
      <c r="A4115" s="1" t="s">
        <v>943</v>
      </c>
    </row>
    <row r="4116" spans="1:1" x14ac:dyDescent="0.2">
      <c r="A4116" s="1" t="s">
        <v>953</v>
      </c>
    </row>
    <row r="4117" spans="1:1" x14ac:dyDescent="0.2">
      <c r="A4117" s="1" t="s">
        <v>945</v>
      </c>
    </row>
    <row r="4118" spans="1:1" x14ac:dyDescent="0.2">
      <c r="A4118" s="1" t="s">
        <v>946</v>
      </c>
    </row>
    <row r="4119" spans="1:1" x14ac:dyDescent="0.2">
      <c r="A4119" s="1" t="s">
        <v>947</v>
      </c>
    </row>
    <row r="4120" spans="1:1" x14ac:dyDescent="0.2">
      <c r="A4120" s="1" t="s">
        <v>948</v>
      </c>
    </row>
    <row r="4121" spans="1:1" x14ac:dyDescent="0.2">
      <c r="A4121" s="1" t="s">
        <v>949</v>
      </c>
    </row>
    <row r="4122" spans="1:1" x14ac:dyDescent="0.2">
      <c r="A4122" s="1" t="s">
        <v>938</v>
      </c>
    </row>
    <row r="4123" spans="1:1" x14ac:dyDescent="0.2">
      <c r="A4123" s="1" t="s">
        <v>954</v>
      </c>
    </row>
    <row r="4124" spans="1:1" x14ac:dyDescent="0.2">
      <c r="A4124" s="1" t="s">
        <v>940</v>
      </c>
    </row>
    <row r="4125" spans="1:1" x14ac:dyDescent="0.2">
      <c r="A4125" s="1" t="s">
        <v>941</v>
      </c>
    </row>
    <row r="4126" spans="1:1" x14ac:dyDescent="0.2">
      <c r="A4126" s="1" t="s">
        <v>942</v>
      </c>
    </row>
    <row r="4127" spans="1:1" x14ac:dyDescent="0.2">
      <c r="A4127" s="1" t="s">
        <v>943</v>
      </c>
    </row>
    <row r="4128" spans="1:1" x14ac:dyDescent="0.2">
      <c r="A4128" s="1" t="s">
        <v>955</v>
      </c>
    </row>
    <row r="4129" spans="1:1" x14ac:dyDescent="0.2">
      <c r="A4129" s="1" t="s">
        <v>945</v>
      </c>
    </row>
    <row r="4130" spans="1:1" x14ac:dyDescent="0.2">
      <c r="A4130" s="1" t="s">
        <v>946</v>
      </c>
    </row>
    <row r="4131" spans="1:1" x14ac:dyDescent="0.2">
      <c r="A4131" s="1" t="s">
        <v>947</v>
      </c>
    </row>
    <row r="4132" spans="1:1" x14ac:dyDescent="0.2">
      <c r="A4132" s="1" t="s">
        <v>948</v>
      </c>
    </row>
    <row r="4133" spans="1:1" x14ac:dyDescent="0.2">
      <c r="A4133" s="1" t="s">
        <v>949</v>
      </c>
    </row>
    <row r="4134" spans="1:1" x14ac:dyDescent="0.2">
      <c r="A4134" s="1" t="s">
        <v>938</v>
      </c>
    </row>
    <row r="4135" spans="1:1" x14ac:dyDescent="0.2">
      <c r="A4135" s="1" t="s">
        <v>956</v>
      </c>
    </row>
    <row r="4136" spans="1:1" x14ac:dyDescent="0.2">
      <c r="A4136" s="1" t="s">
        <v>940</v>
      </c>
    </row>
    <row r="4137" spans="1:1" x14ac:dyDescent="0.2">
      <c r="A4137" s="1" t="s">
        <v>941</v>
      </c>
    </row>
    <row r="4138" spans="1:1" x14ac:dyDescent="0.2">
      <c r="A4138" s="1" t="s">
        <v>942</v>
      </c>
    </row>
    <row r="4139" spans="1:1" x14ac:dyDescent="0.2">
      <c r="A4139" s="1" t="s">
        <v>943</v>
      </c>
    </row>
    <row r="4140" spans="1:1" x14ac:dyDescent="0.2">
      <c r="A4140" s="1" t="s">
        <v>957</v>
      </c>
    </row>
    <row r="4141" spans="1:1" x14ac:dyDescent="0.2">
      <c r="A4141" s="1" t="s">
        <v>945</v>
      </c>
    </row>
    <row r="4142" spans="1:1" x14ac:dyDescent="0.2">
      <c r="A4142" s="1" t="s">
        <v>946</v>
      </c>
    </row>
    <row r="4143" spans="1:1" x14ac:dyDescent="0.2">
      <c r="A4143" s="1" t="s">
        <v>947</v>
      </c>
    </row>
    <row r="4144" spans="1:1" x14ac:dyDescent="0.2">
      <c r="A4144" s="1" t="s">
        <v>948</v>
      </c>
    </row>
    <row r="4145" spans="1:1" x14ac:dyDescent="0.2">
      <c r="A4145" s="1" t="s">
        <v>949</v>
      </c>
    </row>
    <row r="4146" spans="1:1" x14ac:dyDescent="0.2">
      <c r="A4146" s="1" t="s">
        <v>938</v>
      </c>
    </row>
    <row r="4147" spans="1:1" x14ac:dyDescent="0.2">
      <c r="A4147" s="1" t="s">
        <v>958</v>
      </c>
    </row>
    <row r="4148" spans="1:1" x14ac:dyDescent="0.2">
      <c r="A4148" s="1" t="s">
        <v>940</v>
      </c>
    </row>
    <row r="4149" spans="1:1" x14ac:dyDescent="0.2">
      <c r="A4149" s="1" t="s">
        <v>941</v>
      </c>
    </row>
    <row r="4150" spans="1:1" x14ac:dyDescent="0.2">
      <c r="A4150" s="1" t="s">
        <v>942</v>
      </c>
    </row>
    <row r="4151" spans="1:1" x14ac:dyDescent="0.2">
      <c r="A4151" s="1" t="s">
        <v>943</v>
      </c>
    </row>
    <row r="4152" spans="1:1" x14ac:dyDescent="0.2">
      <c r="A4152" s="1" t="s">
        <v>959</v>
      </c>
    </row>
    <row r="4153" spans="1:1" x14ac:dyDescent="0.2">
      <c r="A4153" s="1" t="s">
        <v>945</v>
      </c>
    </row>
    <row r="4154" spans="1:1" x14ac:dyDescent="0.2">
      <c r="A4154" s="1" t="s">
        <v>946</v>
      </c>
    </row>
    <row r="4155" spans="1:1" x14ac:dyDescent="0.2">
      <c r="A4155" s="1" t="s">
        <v>947</v>
      </c>
    </row>
    <row r="4156" spans="1:1" x14ac:dyDescent="0.2">
      <c r="A4156" s="1" t="s">
        <v>948</v>
      </c>
    </row>
    <row r="4157" spans="1:1" x14ac:dyDescent="0.2">
      <c r="A4157" s="1" t="s">
        <v>949</v>
      </c>
    </row>
    <row r="4158" spans="1:1" x14ac:dyDescent="0.2">
      <c r="A4158" s="1" t="s">
        <v>938</v>
      </c>
    </row>
    <row r="4159" spans="1:1" x14ac:dyDescent="0.2">
      <c r="A4159" s="1" t="s">
        <v>960</v>
      </c>
    </row>
    <row r="4160" spans="1:1" x14ac:dyDescent="0.2">
      <c r="A4160" s="1" t="s">
        <v>940</v>
      </c>
    </row>
    <row r="4161" spans="1:1" x14ac:dyDescent="0.2">
      <c r="A4161" s="1" t="s">
        <v>941</v>
      </c>
    </row>
    <row r="4162" spans="1:1" x14ac:dyDescent="0.2">
      <c r="A4162" s="1" t="s">
        <v>942</v>
      </c>
    </row>
    <row r="4163" spans="1:1" x14ac:dyDescent="0.2">
      <c r="A4163" s="1" t="s">
        <v>943</v>
      </c>
    </row>
    <row r="4164" spans="1:1" x14ac:dyDescent="0.2">
      <c r="A4164" s="1" t="s">
        <v>961</v>
      </c>
    </row>
    <row r="4165" spans="1:1" x14ac:dyDescent="0.2">
      <c r="A4165" s="1" t="s">
        <v>945</v>
      </c>
    </row>
    <row r="4166" spans="1:1" x14ac:dyDescent="0.2">
      <c r="A4166" s="1" t="s">
        <v>946</v>
      </c>
    </row>
    <row r="4167" spans="1:1" x14ac:dyDescent="0.2">
      <c r="A4167" s="1" t="s">
        <v>947</v>
      </c>
    </row>
    <row r="4168" spans="1:1" x14ac:dyDescent="0.2">
      <c r="A4168" s="1" t="s">
        <v>948</v>
      </c>
    </row>
    <row r="4169" spans="1:1" x14ac:dyDescent="0.2">
      <c r="A4169" s="1" t="s">
        <v>949</v>
      </c>
    </row>
    <row r="4170" spans="1:1" x14ac:dyDescent="0.2">
      <c r="A4170" s="1" t="s">
        <v>938</v>
      </c>
    </row>
    <row r="4171" spans="1:1" x14ac:dyDescent="0.2">
      <c r="A4171" s="1" t="s">
        <v>962</v>
      </c>
    </row>
    <row r="4172" spans="1:1" x14ac:dyDescent="0.2">
      <c r="A4172" s="1" t="s">
        <v>940</v>
      </c>
    </row>
    <row r="4173" spans="1:1" x14ac:dyDescent="0.2">
      <c r="A4173" s="1" t="s">
        <v>941</v>
      </c>
    </row>
    <row r="4174" spans="1:1" x14ac:dyDescent="0.2">
      <c r="A4174" s="1" t="s">
        <v>942</v>
      </c>
    </row>
    <row r="4175" spans="1:1" x14ac:dyDescent="0.2">
      <c r="A4175" s="1" t="s">
        <v>943</v>
      </c>
    </row>
    <row r="4176" spans="1:1" x14ac:dyDescent="0.2">
      <c r="A4176" s="1" t="s">
        <v>963</v>
      </c>
    </row>
    <row r="4177" spans="1:1" x14ac:dyDescent="0.2">
      <c r="A4177" s="1" t="s">
        <v>945</v>
      </c>
    </row>
    <row r="4178" spans="1:1" x14ac:dyDescent="0.2">
      <c r="A4178" s="1" t="s">
        <v>946</v>
      </c>
    </row>
    <row r="4179" spans="1:1" x14ac:dyDescent="0.2">
      <c r="A4179" s="1" t="s">
        <v>947</v>
      </c>
    </row>
    <row r="4180" spans="1:1" x14ac:dyDescent="0.2">
      <c r="A4180" s="1" t="s">
        <v>948</v>
      </c>
    </row>
    <row r="4181" spans="1:1" x14ac:dyDescent="0.2">
      <c r="A4181" s="1" t="s">
        <v>949</v>
      </c>
    </row>
    <row r="4182" spans="1:1" x14ac:dyDescent="0.2">
      <c r="A4182" s="1" t="s">
        <v>938</v>
      </c>
    </row>
    <row r="4183" spans="1:1" x14ac:dyDescent="0.2">
      <c r="A4183" s="1" t="s">
        <v>964</v>
      </c>
    </row>
    <row r="4184" spans="1:1" x14ac:dyDescent="0.2">
      <c r="A4184" s="1" t="s">
        <v>940</v>
      </c>
    </row>
    <row r="4185" spans="1:1" x14ac:dyDescent="0.2">
      <c r="A4185" s="1" t="s">
        <v>941</v>
      </c>
    </row>
    <row r="4186" spans="1:1" x14ac:dyDescent="0.2">
      <c r="A4186" s="1" t="s">
        <v>942</v>
      </c>
    </row>
    <row r="4187" spans="1:1" x14ac:dyDescent="0.2">
      <c r="A4187" s="1" t="s">
        <v>943</v>
      </c>
    </row>
    <row r="4188" spans="1:1" x14ac:dyDescent="0.2">
      <c r="A4188" s="1" t="s">
        <v>965</v>
      </c>
    </row>
    <row r="4189" spans="1:1" x14ac:dyDescent="0.2">
      <c r="A4189" s="1" t="s">
        <v>945</v>
      </c>
    </row>
    <row r="4190" spans="1:1" x14ac:dyDescent="0.2">
      <c r="A4190" s="1" t="s">
        <v>946</v>
      </c>
    </row>
    <row r="4191" spans="1:1" x14ac:dyDescent="0.2">
      <c r="A4191" s="1" t="s">
        <v>947</v>
      </c>
    </row>
    <row r="4192" spans="1:1" x14ac:dyDescent="0.2">
      <c r="A4192" s="1" t="s">
        <v>948</v>
      </c>
    </row>
    <row r="4193" spans="1:1" x14ac:dyDescent="0.2">
      <c r="A4193" s="1" t="s">
        <v>949</v>
      </c>
    </row>
    <row r="4194" spans="1:1" x14ac:dyDescent="0.2">
      <c r="A4194" s="1" t="s">
        <v>938</v>
      </c>
    </row>
    <row r="4195" spans="1:1" x14ac:dyDescent="0.2">
      <c r="A4195" s="1" t="s">
        <v>966</v>
      </c>
    </row>
    <row r="4196" spans="1:1" x14ac:dyDescent="0.2">
      <c r="A4196" s="1" t="s">
        <v>940</v>
      </c>
    </row>
    <row r="4197" spans="1:1" x14ac:dyDescent="0.2">
      <c r="A4197" s="1" t="s">
        <v>941</v>
      </c>
    </row>
    <row r="4198" spans="1:1" x14ac:dyDescent="0.2">
      <c r="A4198" s="1" t="s">
        <v>942</v>
      </c>
    </row>
    <row r="4199" spans="1:1" x14ac:dyDescent="0.2">
      <c r="A4199" s="1" t="s">
        <v>943</v>
      </c>
    </row>
    <row r="4200" spans="1:1" x14ac:dyDescent="0.2">
      <c r="A4200" s="1" t="s">
        <v>967</v>
      </c>
    </row>
    <row r="4201" spans="1:1" x14ac:dyDescent="0.2">
      <c r="A4201" s="1" t="s">
        <v>945</v>
      </c>
    </row>
    <row r="4202" spans="1:1" x14ac:dyDescent="0.2">
      <c r="A4202" s="1" t="s">
        <v>946</v>
      </c>
    </row>
    <row r="4203" spans="1:1" x14ac:dyDescent="0.2">
      <c r="A4203" s="1" t="s">
        <v>947</v>
      </c>
    </row>
    <row r="4204" spans="1:1" x14ac:dyDescent="0.2">
      <c r="A4204" s="1" t="s">
        <v>948</v>
      </c>
    </row>
    <row r="4205" spans="1:1" x14ac:dyDescent="0.2">
      <c r="A4205" s="1" t="s">
        <v>949</v>
      </c>
    </row>
    <row r="4206" spans="1:1" x14ac:dyDescent="0.2">
      <c r="A4206" s="1" t="s">
        <v>968</v>
      </c>
    </row>
    <row r="4207" spans="1:1" x14ac:dyDescent="0.2">
      <c r="A4207" s="1" t="s">
        <v>969</v>
      </c>
    </row>
    <row r="4208" spans="1:1" x14ac:dyDescent="0.2">
      <c r="A4208" s="1" t="s">
        <v>970</v>
      </c>
    </row>
    <row r="4209" spans="1:1" x14ac:dyDescent="0.2">
      <c r="A4209" s="1" t="s">
        <v>971</v>
      </c>
    </row>
    <row r="4210" spans="1:1" x14ac:dyDescent="0.2">
      <c r="A4210" s="1" t="s">
        <v>972</v>
      </c>
    </row>
    <row r="4211" spans="1:1" x14ac:dyDescent="0.2">
      <c r="A4211" s="1" t="s">
        <v>973</v>
      </c>
    </row>
    <row r="4212" spans="1:1" x14ac:dyDescent="0.2">
      <c r="A4212" s="1" t="s">
        <v>974</v>
      </c>
    </row>
    <row r="4213" spans="1:1" x14ac:dyDescent="0.2">
      <c r="A4213" s="1" t="s">
        <v>975</v>
      </c>
    </row>
    <row r="4214" spans="1:1" x14ac:dyDescent="0.2">
      <c r="A4214" s="1" t="s">
        <v>976</v>
      </c>
    </row>
    <row r="4215" spans="1:1" x14ac:dyDescent="0.2">
      <c r="A4215" s="1" t="s">
        <v>977</v>
      </c>
    </row>
    <row r="4216" spans="1:1" x14ac:dyDescent="0.2">
      <c r="A4216" s="1" t="s">
        <v>978</v>
      </c>
    </row>
    <row r="4217" spans="1:1" x14ac:dyDescent="0.2">
      <c r="A4217" s="1" t="s">
        <v>979</v>
      </c>
    </row>
    <row r="4218" spans="1:1" x14ac:dyDescent="0.2">
      <c r="A4218" s="1" t="s">
        <v>980</v>
      </c>
    </row>
    <row r="4219" spans="1:1" x14ac:dyDescent="0.2">
      <c r="A4219" s="1" t="s">
        <v>981</v>
      </c>
    </row>
    <row r="4220" spans="1:1" x14ac:dyDescent="0.2">
      <c r="A4220" s="1" t="s">
        <v>982</v>
      </c>
    </row>
    <row r="4221" spans="1:1" x14ac:dyDescent="0.2">
      <c r="A4221" s="1" t="s">
        <v>983</v>
      </c>
    </row>
    <row r="4222" spans="1:1" x14ac:dyDescent="0.2">
      <c r="A4222" s="1" t="s">
        <v>984</v>
      </c>
    </row>
    <row r="4223" spans="1:1" x14ac:dyDescent="0.2">
      <c r="A4223" s="1" t="s">
        <v>985</v>
      </c>
    </row>
    <row r="4224" spans="1:1" x14ac:dyDescent="0.2">
      <c r="A4224" s="1" t="s">
        <v>986</v>
      </c>
    </row>
    <row r="4225" spans="1:1" x14ac:dyDescent="0.2">
      <c r="A4225" s="1" t="s">
        <v>987</v>
      </c>
    </row>
    <row r="4226" spans="1:1" x14ac:dyDescent="0.2">
      <c r="A4226" s="1" t="s">
        <v>988</v>
      </c>
    </row>
    <row r="4227" spans="1:1" x14ac:dyDescent="0.2">
      <c r="A4227" s="1" t="s">
        <v>989</v>
      </c>
    </row>
    <row r="4228" spans="1:1" x14ac:dyDescent="0.2">
      <c r="A4228" s="1" t="s">
        <v>990</v>
      </c>
    </row>
    <row r="4229" spans="1:1" x14ac:dyDescent="0.2">
      <c r="A4229" s="1" t="s">
        <v>991</v>
      </c>
    </row>
    <row r="4230" spans="1:1" x14ac:dyDescent="0.2">
      <c r="A4230" s="1" t="s">
        <v>992</v>
      </c>
    </row>
    <row r="4231" spans="1:1" x14ac:dyDescent="0.2">
      <c r="A4231" s="1" t="s">
        <v>993</v>
      </c>
    </row>
    <row r="4232" spans="1:1" x14ac:dyDescent="0.2">
      <c r="A4232" s="1" t="s">
        <v>994</v>
      </c>
    </row>
    <row r="4233" spans="1:1" x14ac:dyDescent="0.2">
      <c r="A4233" s="1" t="s">
        <v>995</v>
      </c>
    </row>
    <row r="4234" spans="1:1" x14ac:dyDescent="0.2">
      <c r="A4234" s="1" t="s">
        <v>996</v>
      </c>
    </row>
    <row r="4235" spans="1:1" x14ac:dyDescent="0.2">
      <c r="A4235" s="1" t="s">
        <v>997</v>
      </c>
    </row>
    <row r="4236" spans="1:1" x14ac:dyDescent="0.2">
      <c r="A4236" s="1" t="s">
        <v>986</v>
      </c>
    </row>
    <row r="4237" spans="1:1" x14ac:dyDescent="0.2">
      <c r="A4237" s="1" t="s">
        <v>998</v>
      </c>
    </row>
    <row r="4238" spans="1:1" x14ac:dyDescent="0.2">
      <c r="A4238" s="1" t="s">
        <v>988</v>
      </c>
    </row>
    <row r="4239" spans="1:1" x14ac:dyDescent="0.2">
      <c r="A4239" s="1" t="s">
        <v>989</v>
      </c>
    </row>
    <row r="4240" spans="1:1" x14ac:dyDescent="0.2">
      <c r="A4240" s="1" t="s">
        <v>990</v>
      </c>
    </row>
    <row r="4241" spans="1:1" x14ac:dyDescent="0.2">
      <c r="A4241" s="1" t="s">
        <v>991</v>
      </c>
    </row>
    <row r="4242" spans="1:1" x14ac:dyDescent="0.2">
      <c r="A4242" s="1" t="s">
        <v>999</v>
      </c>
    </row>
    <row r="4243" spans="1:1" x14ac:dyDescent="0.2">
      <c r="A4243" s="1" t="s">
        <v>993</v>
      </c>
    </row>
    <row r="4244" spans="1:1" x14ac:dyDescent="0.2">
      <c r="A4244" s="1" t="s">
        <v>994</v>
      </c>
    </row>
    <row r="4245" spans="1:1" x14ac:dyDescent="0.2">
      <c r="A4245" s="1" t="s">
        <v>995</v>
      </c>
    </row>
    <row r="4246" spans="1:1" x14ac:dyDescent="0.2">
      <c r="A4246" s="1" t="s">
        <v>996</v>
      </c>
    </row>
    <row r="4247" spans="1:1" x14ac:dyDescent="0.2">
      <c r="A4247" s="1" t="s">
        <v>997</v>
      </c>
    </row>
    <row r="4248" spans="1:1" x14ac:dyDescent="0.2">
      <c r="A4248" s="1" t="s">
        <v>986</v>
      </c>
    </row>
    <row r="4249" spans="1:1" x14ac:dyDescent="0.2">
      <c r="A4249" s="1" t="s">
        <v>1000</v>
      </c>
    </row>
    <row r="4250" spans="1:1" x14ac:dyDescent="0.2">
      <c r="A4250" s="1" t="s">
        <v>988</v>
      </c>
    </row>
    <row r="4251" spans="1:1" x14ac:dyDescent="0.2">
      <c r="A4251" s="1" t="s">
        <v>989</v>
      </c>
    </row>
    <row r="4252" spans="1:1" x14ac:dyDescent="0.2">
      <c r="A4252" s="1" t="s">
        <v>990</v>
      </c>
    </row>
    <row r="4253" spans="1:1" x14ac:dyDescent="0.2">
      <c r="A4253" s="1" t="s">
        <v>991</v>
      </c>
    </row>
    <row r="4254" spans="1:1" x14ac:dyDescent="0.2">
      <c r="A4254" s="1" t="s">
        <v>1001</v>
      </c>
    </row>
    <row r="4255" spans="1:1" x14ac:dyDescent="0.2">
      <c r="A4255" s="1" t="s">
        <v>993</v>
      </c>
    </row>
    <row r="4256" spans="1:1" x14ac:dyDescent="0.2">
      <c r="A4256" s="1" t="s">
        <v>994</v>
      </c>
    </row>
    <row r="4257" spans="1:1" x14ac:dyDescent="0.2">
      <c r="A4257" s="1" t="s">
        <v>995</v>
      </c>
    </row>
    <row r="4258" spans="1:1" x14ac:dyDescent="0.2">
      <c r="A4258" s="1" t="s">
        <v>996</v>
      </c>
    </row>
    <row r="4259" spans="1:1" x14ac:dyDescent="0.2">
      <c r="A4259" s="1" t="s">
        <v>997</v>
      </c>
    </row>
    <row r="4260" spans="1:1" x14ac:dyDescent="0.2">
      <c r="A4260" s="1" t="s">
        <v>986</v>
      </c>
    </row>
    <row r="4261" spans="1:1" x14ac:dyDescent="0.2">
      <c r="A4261" s="1" t="s">
        <v>1002</v>
      </c>
    </row>
    <row r="4262" spans="1:1" x14ac:dyDescent="0.2">
      <c r="A4262" s="1" t="s">
        <v>988</v>
      </c>
    </row>
    <row r="4263" spans="1:1" x14ac:dyDescent="0.2">
      <c r="A4263" s="1" t="s">
        <v>989</v>
      </c>
    </row>
    <row r="4264" spans="1:1" x14ac:dyDescent="0.2">
      <c r="A4264" s="1" t="s">
        <v>990</v>
      </c>
    </row>
    <row r="4265" spans="1:1" x14ac:dyDescent="0.2">
      <c r="A4265" s="1" t="s">
        <v>991</v>
      </c>
    </row>
    <row r="4266" spans="1:1" x14ac:dyDescent="0.2">
      <c r="A4266" s="1" t="s">
        <v>1003</v>
      </c>
    </row>
    <row r="4267" spans="1:1" x14ac:dyDescent="0.2">
      <c r="A4267" s="1" t="s">
        <v>993</v>
      </c>
    </row>
    <row r="4268" spans="1:1" x14ac:dyDescent="0.2">
      <c r="A4268" s="1" t="s">
        <v>994</v>
      </c>
    </row>
    <row r="4269" spans="1:1" x14ac:dyDescent="0.2">
      <c r="A4269" s="1" t="s">
        <v>995</v>
      </c>
    </row>
    <row r="4270" spans="1:1" x14ac:dyDescent="0.2">
      <c r="A4270" s="1" t="s">
        <v>996</v>
      </c>
    </row>
    <row r="4271" spans="1:1" x14ac:dyDescent="0.2">
      <c r="A4271" s="1" t="s">
        <v>997</v>
      </c>
    </row>
    <row r="4272" spans="1:1" x14ac:dyDescent="0.2">
      <c r="A4272" s="1" t="s">
        <v>986</v>
      </c>
    </row>
    <row r="4273" spans="1:1" x14ac:dyDescent="0.2">
      <c r="A4273" s="1" t="s">
        <v>1004</v>
      </c>
    </row>
    <row r="4274" spans="1:1" x14ac:dyDescent="0.2">
      <c r="A4274" s="1" t="s">
        <v>988</v>
      </c>
    </row>
    <row r="4275" spans="1:1" x14ac:dyDescent="0.2">
      <c r="A4275" s="1" t="s">
        <v>989</v>
      </c>
    </row>
    <row r="4276" spans="1:1" x14ac:dyDescent="0.2">
      <c r="A4276" s="1" t="s">
        <v>990</v>
      </c>
    </row>
    <row r="4277" spans="1:1" x14ac:dyDescent="0.2">
      <c r="A4277" s="1" t="s">
        <v>991</v>
      </c>
    </row>
    <row r="4278" spans="1:1" x14ac:dyDescent="0.2">
      <c r="A4278" s="1" t="s">
        <v>1005</v>
      </c>
    </row>
    <row r="4279" spans="1:1" x14ac:dyDescent="0.2">
      <c r="A4279" s="1" t="s">
        <v>993</v>
      </c>
    </row>
    <row r="4280" spans="1:1" x14ac:dyDescent="0.2">
      <c r="A4280" s="1" t="s">
        <v>994</v>
      </c>
    </row>
    <row r="4281" spans="1:1" x14ac:dyDescent="0.2">
      <c r="A4281" s="1" t="s">
        <v>995</v>
      </c>
    </row>
    <row r="4282" spans="1:1" x14ac:dyDescent="0.2">
      <c r="A4282" s="1" t="s">
        <v>996</v>
      </c>
    </row>
    <row r="4283" spans="1:1" x14ac:dyDescent="0.2">
      <c r="A4283" s="1" t="s">
        <v>997</v>
      </c>
    </row>
    <row r="4284" spans="1:1" x14ac:dyDescent="0.2">
      <c r="A4284" s="1" t="s">
        <v>986</v>
      </c>
    </row>
    <row r="4285" spans="1:1" x14ac:dyDescent="0.2">
      <c r="A4285" s="1" t="s">
        <v>1006</v>
      </c>
    </row>
    <row r="4286" spans="1:1" x14ac:dyDescent="0.2">
      <c r="A4286" s="1" t="s">
        <v>988</v>
      </c>
    </row>
    <row r="4287" spans="1:1" x14ac:dyDescent="0.2">
      <c r="A4287" s="1" t="s">
        <v>989</v>
      </c>
    </row>
    <row r="4288" spans="1:1" x14ac:dyDescent="0.2">
      <c r="A4288" s="1" t="s">
        <v>990</v>
      </c>
    </row>
    <row r="4289" spans="1:1" x14ac:dyDescent="0.2">
      <c r="A4289" s="1" t="s">
        <v>991</v>
      </c>
    </row>
    <row r="4290" spans="1:1" x14ac:dyDescent="0.2">
      <c r="A4290" s="1" t="s">
        <v>1007</v>
      </c>
    </row>
    <row r="4291" spans="1:1" x14ac:dyDescent="0.2">
      <c r="A4291" s="1" t="s">
        <v>993</v>
      </c>
    </row>
    <row r="4292" spans="1:1" x14ac:dyDescent="0.2">
      <c r="A4292" s="1" t="s">
        <v>994</v>
      </c>
    </row>
    <row r="4293" spans="1:1" x14ac:dyDescent="0.2">
      <c r="A4293" s="1" t="s">
        <v>995</v>
      </c>
    </row>
    <row r="4294" spans="1:1" x14ac:dyDescent="0.2">
      <c r="A4294" s="1" t="s">
        <v>996</v>
      </c>
    </row>
    <row r="4295" spans="1:1" x14ac:dyDescent="0.2">
      <c r="A4295" s="1" t="s">
        <v>997</v>
      </c>
    </row>
    <row r="4296" spans="1:1" x14ac:dyDescent="0.2">
      <c r="A4296" s="1" t="s">
        <v>986</v>
      </c>
    </row>
    <row r="4297" spans="1:1" x14ac:dyDescent="0.2">
      <c r="A4297" s="1" t="s">
        <v>1008</v>
      </c>
    </row>
    <row r="4298" spans="1:1" x14ac:dyDescent="0.2">
      <c r="A4298" s="1" t="s">
        <v>988</v>
      </c>
    </row>
    <row r="4299" spans="1:1" x14ac:dyDescent="0.2">
      <c r="A4299" s="1" t="s">
        <v>989</v>
      </c>
    </row>
    <row r="4300" spans="1:1" x14ac:dyDescent="0.2">
      <c r="A4300" s="1" t="s">
        <v>990</v>
      </c>
    </row>
    <row r="4301" spans="1:1" x14ac:dyDescent="0.2">
      <c r="A4301" s="1" t="s">
        <v>991</v>
      </c>
    </row>
    <row r="4302" spans="1:1" x14ac:dyDescent="0.2">
      <c r="A4302" s="1" t="s">
        <v>1009</v>
      </c>
    </row>
    <row r="4303" spans="1:1" x14ac:dyDescent="0.2">
      <c r="A4303" s="1" t="s">
        <v>993</v>
      </c>
    </row>
    <row r="4304" spans="1:1" x14ac:dyDescent="0.2">
      <c r="A4304" s="1" t="s">
        <v>994</v>
      </c>
    </row>
    <row r="4305" spans="1:1" x14ac:dyDescent="0.2">
      <c r="A4305" s="1" t="s">
        <v>995</v>
      </c>
    </row>
    <row r="4306" spans="1:1" x14ac:dyDescent="0.2">
      <c r="A4306" s="1" t="s">
        <v>996</v>
      </c>
    </row>
    <row r="4307" spans="1:1" x14ac:dyDescent="0.2">
      <c r="A4307" s="1" t="s">
        <v>997</v>
      </c>
    </row>
    <row r="4308" spans="1:1" x14ac:dyDescent="0.2">
      <c r="A4308" s="1" t="s">
        <v>986</v>
      </c>
    </row>
    <row r="4309" spans="1:1" x14ac:dyDescent="0.2">
      <c r="A4309" s="1" t="s">
        <v>1010</v>
      </c>
    </row>
    <row r="4310" spans="1:1" x14ac:dyDescent="0.2">
      <c r="A4310" s="1" t="s">
        <v>988</v>
      </c>
    </row>
    <row r="4311" spans="1:1" x14ac:dyDescent="0.2">
      <c r="A4311" s="1" t="s">
        <v>989</v>
      </c>
    </row>
    <row r="4312" spans="1:1" x14ac:dyDescent="0.2">
      <c r="A4312" s="1" t="s">
        <v>990</v>
      </c>
    </row>
    <row r="4313" spans="1:1" x14ac:dyDescent="0.2">
      <c r="A4313" s="1" t="s">
        <v>991</v>
      </c>
    </row>
    <row r="4314" spans="1:1" x14ac:dyDescent="0.2">
      <c r="A4314" s="1" t="s">
        <v>1011</v>
      </c>
    </row>
    <row r="4315" spans="1:1" x14ac:dyDescent="0.2">
      <c r="A4315" s="1" t="s">
        <v>993</v>
      </c>
    </row>
    <row r="4316" spans="1:1" x14ac:dyDescent="0.2">
      <c r="A4316" s="1" t="s">
        <v>994</v>
      </c>
    </row>
    <row r="4317" spans="1:1" x14ac:dyDescent="0.2">
      <c r="A4317" s="1" t="s">
        <v>995</v>
      </c>
    </row>
    <row r="4318" spans="1:1" x14ac:dyDescent="0.2">
      <c r="A4318" s="1" t="s">
        <v>996</v>
      </c>
    </row>
    <row r="4319" spans="1:1" x14ac:dyDescent="0.2">
      <c r="A4319" s="1" t="s">
        <v>997</v>
      </c>
    </row>
    <row r="4320" spans="1:1" x14ac:dyDescent="0.2">
      <c r="A4320" s="1" t="s">
        <v>986</v>
      </c>
    </row>
    <row r="4321" spans="1:1" x14ac:dyDescent="0.2">
      <c r="A4321" s="1" t="s">
        <v>1012</v>
      </c>
    </row>
    <row r="4322" spans="1:1" x14ac:dyDescent="0.2">
      <c r="A4322" s="1" t="s">
        <v>988</v>
      </c>
    </row>
    <row r="4323" spans="1:1" x14ac:dyDescent="0.2">
      <c r="A4323" s="1" t="s">
        <v>989</v>
      </c>
    </row>
    <row r="4324" spans="1:1" x14ac:dyDescent="0.2">
      <c r="A4324" s="1" t="s">
        <v>990</v>
      </c>
    </row>
    <row r="4325" spans="1:1" x14ac:dyDescent="0.2">
      <c r="A4325" s="1" t="s">
        <v>991</v>
      </c>
    </row>
    <row r="4326" spans="1:1" x14ac:dyDescent="0.2">
      <c r="A4326" s="1" t="s">
        <v>1013</v>
      </c>
    </row>
    <row r="4327" spans="1:1" x14ac:dyDescent="0.2">
      <c r="A4327" s="1" t="s">
        <v>993</v>
      </c>
    </row>
    <row r="4328" spans="1:1" x14ac:dyDescent="0.2">
      <c r="A4328" s="1" t="s">
        <v>994</v>
      </c>
    </row>
    <row r="4329" spans="1:1" x14ac:dyDescent="0.2">
      <c r="A4329" s="1" t="s">
        <v>995</v>
      </c>
    </row>
    <row r="4330" spans="1:1" x14ac:dyDescent="0.2">
      <c r="A4330" s="1" t="s">
        <v>996</v>
      </c>
    </row>
    <row r="4331" spans="1:1" x14ac:dyDescent="0.2">
      <c r="A4331" s="1" t="s">
        <v>997</v>
      </c>
    </row>
    <row r="4332" spans="1:1" x14ac:dyDescent="0.2">
      <c r="A4332" s="1" t="s">
        <v>986</v>
      </c>
    </row>
    <row r="4333" spans="1:1" x14ac:dyDescent="0.2">
      <c r="A4333" s="1" t="s">
        <v>1014</v>
      </c>
    </row>
    <row r="4334" spans="1:1" x14ac:dyDescent="0.2">
      <c r="A4334" s="1" t="s">
        <v>988</v>
      </c>
    </row>
    <row r="4335" spans="1:1" x14ac:dyDescent="0.2">
      <c r="A4335" s="1" t="s">
        <v>989</v>
      </c>
    </row>
    <row r="4336" spans="1:1" x14ac:dyDescent="0.2">
      <c r="A4336" s="1" t="s">
        <v>990</v>
      </c>
    </row>
    <row r="4337" spans="1:1" x14ac:dyDescent="0.2">
      <c r="A4337" s="1" t="s">
        <v>991</v>
      </c>
    </row>
    <row r="4338" spans="1:1" x14ac:dyDescent="0.2">
      <c r="A4338" s="1" t="s">
        <v>1015</v>
      </c>
    </row>
    <row r="4339" spans="1:1" x14ac:dyDescent="0.2">
      <c r="A4339" s="1" t="s">
        <v>993</v>
      </c>
    </row>
    <row r="4340" spans="1:1" x14ac:dyDescent="0.2">
      <c r="A4340" s="1" t="s">
        <v>994</v>
      </c>
    </row>
    <row r="4341" spans="1:1" x14ac:dyDescent="0.2">
      <c r="A4341" s="1" t="s">
        <v>995</v>
      </c>
    </row>
    <row r="4342" spans="1:1" x14ac:dyDescent="0.2">
      <c r="A4342" s="1" t="s">
        <v>996</v>
      </c>
    </row>
    <row r="4343" spans="1:1" x14ac:dyDescent="0.2">
      <c r="A4343" s="1" t="s">
        <v>997</v>
      </c>
    </row>
    <row r="4344" spans="1:1" x14ac:dyDescent="0.2">
      <c r="A4344" s="1" t="s">
        <v>986</v>
      </c>
    </row>
    <row r="4345" spans="1:1" x14ac:dyDescent="0.2">
      <c r="A4345" s="1" t="s">
        <v>1016</v>
      </c>
    </row>
    <row r="4346" spans="1:1" x14ac:dyDescent="0.2">
      <c r="A4346" s="1" t="s">
        <v>988</v>
      </c>
    </row>
    <row r="4347" spans="1:1" x14ac:dyDescent="0.2">
      <c r="A4347" s="1" t="s">
        <v>989</v>
      </c>
    </row>
    <row r="4348" spans="1:1" x14ac:dyDescent="0.2">
      <c r="A4348" s="1" t="s">
        <v>990</v>
      </c>
    </row>
    <row r="4349" spans="1:1" x14ac:dyDescent="0.2">
      <c r="A4349" s="1" t="s">
        <v>991</v>
      </c>
    </row>
    <row r="4350" spans="1:1" x14ac:dyDescent="0.2">
      <c r="A4350" s="1" t="s">
        <v>1017</v>
      </c>
    </row>
    <row r="4351" spans="1:1" x14ac:dyDescent="0.2">
      <c r="A4351" s="1" t="s">
        <v>993</v>
      </c>
    </row>
    <row r="4352" spans="1:1" x14ac:dyDescent="0.2">
      <c r="A4352" s="1" t="s">
        <v>994</v>
      </c>
    </row>
    <row r="4353" spans="1:1" x14ac:dyDescent="0.2">
      <c r="A4353" s="1" t="s">
        <v>995</v>
      </c>
    </row>
    <row r="4354" spans="1:1" x14ac:dyDescent="0.2">
      <c r="A4354" s="1" t="s">
        <v>996</v>
      </c>
    </row>
    <row r="4355" spans="1:1" x14ac:dyDescent="0.2">
      <c r="A4355" s="1" t="s">
        <v>997</v>
      </c>
    </row>
    <row r="4356" spans="1:1" x14ac:dyDescent="0.2">
      <c r="A4356" s="1" t="s">
        <v>986</v>
      </c>
    </row>
    <row r="4357" spans="1:1" x14ac:dyDescent="0.2">
      <c r="A4357" s="1" t="s">
        <v>1018</v>
      </c>
    </row>
    <row r="4358" spans="1:1" x14ac:dyDescent="0.2">
      <c r="A4358" s="1" t="s">
        <v>988</v>
      </c>
    </row>
    <row r="4359" spans="1:1" x14ac:dyDescent="0.2">
      <c r="A4359" s="1" t="s">
        <v>989</v>
      </c>
    </row>
    <row r="4360" spans="1:1" x14ac:dyDescent="0.2">
      <c r="A4360" s="1" t="s">
        <v>990</v>
      </c>
    </row>
    <row r="4361" spans="1:1" x14ac:dyDescent="0.2">
      <c r="A4361" s="1" t="s">
        <v>991</v>
      </c>
    </row>
    <row r="4362" spans="1:1" x14ac:dyDescent="0.2">
      <c r="A4362" s="1" t="s">
        <v>1019</v>
      </c>
    </row>
    <row r="4363" spans="1:1" x14ac:dyDescent="0.2">
      <c r="A4363" s="1" t="s">
        <v>993</v>
      </c>
    </row>
    <row r="4364" spans="1:1" x14ac:dyDescent="0.2">
      <c r="A4364" s="1" t="s">
        <v>994</v>
      </c>
    </row>
    <row r="4365" spans="1:1" x14ac:dyDescent="0.2">
      <c r="A4365" s="1" t="s">
        <v>995</v>
      </c>
    </row>
    <row r="4366" spans="1:1" x14ac:dyDescent="0.2">
      <c r="A4366" s="1" t="s">
        <v>996</v>
      </c>
    </row>
    <row r="4367" spans="1:1" x14ac:dyDescent="0.2">
      <c r="A4367" s="1" t="s">
        <v>997</v>
      </c>
    </row>
    <row r="4368" spans="1:1" x14ac:dyDescent="0.2">
      <c r="A4368" s="1" t="s">
        <v>1020</v>
      </c>
    </row>
    <row r="4369" spans="1:1" x14ac:dyDescent="0.2">
      <c r="A4369" s="1" t="s">
        <v>1021</v>
      </c>
    </row>
    <row r="4370" spans="1:1" x14ac:dyDescent="0.2">
      <c r="A4370" s="1" t="s">
        <v>1022</v>
      </c>
    </row>
    <row r="4371" spans="1:1" x14ac:dyDescent="0.2">
      <c r="A4371" s="1" t="s">
        <v>1023</v>
      </c>
    </row>
    <row r="4372" spans="1:1" x14ac:dyDescent="0.2">
      <c r="A4372" s="1" t="s">
        <v>1024</v>
      </c>
    </row>
    <row r="4373" spans="1:1" x14ac:dyDescent="0.2">
      <c r="A4373" s="1" t="s">
        <v>1025</v>
      </c>
    </row>
    <row r="4374" spans="1:1" x14ac:dyDescent="0.2">
      <c r="A4374" s="1" t="s">
        <v>1026</v>
      </c>
    </row>
    <row r="4375" spans="1:1" x14ac:dyDescent="0.2">
      <c r="A4375" s="1" t="s">
        <v>1027</v>
      </c>
    </row>
    <row r="4376" spans="1:1" x14ac:dyDescent="0.2">
      <c r="A4376" s="1" t="s">
        <v>1028</v>
      </c>
    </row>
    <row r="4377" spans="1:1" x14ac:dyDescent="0.2">
      <c r="A4377" s="1" t="s">
        <v>1029</v>
      </c>
    </row>
    <row r="4378" spans="1:1" x14ac:dyDescent="0.2">
      <c r="A4378" s="1" t="s">
        <v>1030</v>
      </c>
    </row>
    <row r="4379" spans="1:1" x14ac:dyDescent="0.2">
      <c r="A4379" s="1" t="s">
        <v>1031</v>
      </c>
    </row>
    <row r="4380" spans="1:1" x14ac:dyDescent="0.2">
      <c r="A4380" s="1" t="s">
        <v>1020</v>
      </c>
    </row>
    <row r="4381" spans="1:1" x14ac:dyDescent="0.2">
      <c r="A4381" s="1" t="s">
        <v>1032</v>
      </c>
    </row>
    <row r="4382" spans="1:1" x14ac:dyDescent="0.2">
      <c r="A4382" s="1" t="s">
        <v>1022</v>
      </c>
    </row>
    <row r="4383" spans="1:1" x14ac:dyDescent="0.2">
      <c r="A4383" s="1" t="s">
        <v>1023</v>
      </c>
    </row>
    <row r="4384" spans="1:1" x14ac:dyDescent="0.2">
      <c r="A4384" s="1" t="s">
        <v>1024</v>
      </c>
    </row>
    <row r="4385" spans="1:1" x14ac:dyDescent="0.2">
      <c r="A4385" s="1" t="s">
        <v>1025</v>
      </c>
    </row>
    <row r="4386" spans="1:1" x14ac:dyDescent="0.2">
      <c r="A4386" s="1" t="s">
        <v>1033</v>
      </c>
    </row>
    <row r="4387" spans="1:1" x14ac:dyDescent="0.2">
      <c r="A4387" s="1" t="s">
        <v>1027</v>
      </c>
    </row>
    <row r="4388" spans="1:1" x14ac:dyDescent="0.2">
      <c r="A4388" s="1" t="s">
        <v>1028</v>
      </c>
    </row>
    <row r="4389" spans="1:1" x14ac:dyDescent="0.2">
      <c r="A4389" s="1" t="s">
        <v>1029</v>
      </c>
    </row>
    <row r="4390" spans="1:1" x14ac:dyDescent="0.2">
      <c r="A4390" s="1" t="s">
        <v>1030</v>
      </c>
    </row>
    <row r="4391" spans="1:1" x14ac:dyDescent="0.2">
      <c r="A4391" s="1" t="s">
        <v>1031</v>
      </c>
    </row>
    <row r="4392" spans="1:1" x14ac:dyDescent="0.2">
      <c r="A4392" s="1" t="s">
        <v>1020</v>
      </c>
    </row>
    <row r="4393" spans="1:1" x14ac:dyDescent="0.2">
      <c r="A4393" s="1" t="s">
        <v>1034</v>
      </c>
    </row>
    <row r="4394" spans="1:1" x14ac:dyDescent="0.2">
      <c r="A4394" s="1" t="s">
        <v>1022</v>
      </c>
    </row>
    <row r="4395" spans="1:1" x14ac:dyDescent="0.2">
      <c r="A4395" s="1" t="s">
        <v>1023</v>
      </c>
    </row>
    <row r="4396" spans="1:1" x14ac:dyDescent="0.2">
      <c r="A4396" s="1" t="s">
        <v>1024</v>
      </c>
    </row>
    <row r="4397" spans="1:1" x14ac:dyDescent="0.2">
      <c r="A4397" s="1" t="s">
        <v>1025</v>
      </c>
    </row>
    <row r="4398" spans="1:1" x14ac:dyDescent="0.2">
      <c r="A4398" s="1" t="s">
        <v>1035</v>
      </c>
    </row>
    <row r="4399" spans="1:1" x14ac:dyDescent="0.2">
      <c r="A4399" s="1" t="s">
        <v>1027</v>
      </c>
    </row>
    <row r="4400" spans="1:1" x14ac:dyDescent="0.2">
      <c r="A4400" s="1" t="s">
        <v>1028</v>
      </c>
    </row>
    <row r="4401" spans="1:1" x14ac:dyDescent="0.2">
      <c r="A4401" s="1" t="s">
        <v>1029</v>
      </c>
    </row>
    <row r="4402" spans="1:1" x14ac:dyDescent="0.2">
      <c r="A4402" s="1" t="s">
        <v>1030</v>
      </c>
    </row>
    <row r="4403" spans="1:1" x14ac:dyDescent="0.2">
      <c r="A4403" s="1" t="s">
        <v>1031</v>
      </c>
    </row>
    <row r="4404" spans="1:1" x14ac:dyDescent="0.2">
      <c r="A4404" s="1" t="s">
        <v>1020</v>
      </c>
    </row>
    <row r="4405" spans="1:1" x14ac:dyDescent="0.2">
      <c r="A4405" s="1" t="s">
        <v>1036</v>
      </c>
    </row>
    <row r="4406" spans="1:1" x14ac:dyDescent="0.2">
      <c r="A4406" s="1" t="s">
        <v>1022</v>
      </c>
    </row>
    <row r="4407" spans="1:1" x14ac:dyDescent="0.2">
      <c r="A4407" s="1" t="s">
        <v>1023</v>
      </c>
    </row>
    <row r="4408" spans="1:1" x14ac:dyDescent="0.2">
      <c r="A4408" s="1" t="s">
        <v>1024</v>
      </c>
    </row>
    <row r="4409" spans="1:1" x14ac:dyDescent="0.2">
      <c r="A4409" s="1" t="s">
        <v>1025</v>
      </c>
    </row>
    <row r="4410" spans="1:1" x14ac:dyDescent="0.2">
      <c r="A4410" s="1" t="s">
        <v>1037</v>
      </c>
    </row>
    <row r="4411" spans="1:1" x14ac:dyDescent="0.2">
      <c r="A4411" s="1" t="s">
        <v>1027</v>
      </c>
    </row>
    <row r="4412" spans="1:1" x14ac:dyDescent="0.2">
      <c r="A4412" s="1" t="s">
        <v>1028</v>
      </c>
    </row>
    <row r="4413" spans="1:1" x14ac:dyDescent="0.2">
      <c r="A4413" s="1" t="s">
        <v>1029</v>
      </c>
    </row>
    <row r="4414" spans="1:1" x14ac:dyDescent="0.2">
      <c r="A4414" s="1" t="s">
        <v>1030</v>
      </c>
    </row>
    <row r="4415" spans="1:1" x14ac:dyDescent="0.2">
      <c r="A4415" s="1" t="s">
        <v>1031</v>
      </c>
    </row>
    <row r="4416" spans="1:1" x14ac:dyDescent="0.2">
      <c r="A4416" s="1" t="s">
        <v>1020</v>
      </c>
    </row>
    <row r="4417" spans="1:1" x14ac:dyDescent="0.2">
      <c r="A4417" s="1" t="s">
        <v>1038</v>
      </c>
    </row>
    <row r="4418" spans="1:1" x14ac:dyDescent="0.2">
      <c r="A4418" s="1" t="s">
        <v>1022</v>
      </c>
    </row>
    <row r="4419" spans="1:1" x14ac:dyDescent="0.2">
      <c r="A4419" s="1" t="s">
        <v>1023</v>
      </c>
    </row>
    <row r="4420" spans="1:1" x14ac:dyDescent="0.2">
      <c r="A4420" s="1" t="s">
        <v>1024</v>
      </c>
    </row>
    <row r="4421" spans="1:1" x14ac:dyDescent="0.2">
      <c r="A4421" s="1" t="s">
        <v>1025</v>
      </c>
    </row>
    <row r="4422" spans="1:1" x14ac:dyDescent="0.2">
      <c r="A4422" s="1" t="s">
        <v>1039</v>
      </c>
    </row>
    <row r="4423" spans="1:1" x14ac:dyDescent="0.2">
      <c r="A4423" s="1" t="s">
        <v>1027</v>
      </c>
    </row>
    <row r="4424" spans="1:1" x14ac:dyDescent="0.2">
      <c r="A4424" s="1" t="s">
        <v>1028</v>
      </c>
    </row>
    <row r="4425" spans="1:1" x14ac:dyDescent="0.2">
      <c r="A4425" s="1" t="s">
        <v>1029</v>
      </c>
    </row>
    <row r="4426" spans="1:1" x14ac:dyDescent="0.2">
      <c r="A4426" s="1" t="s">
        <v>1030</v>
      </c>
    </row>
    <row r="4427" spans="1:1" x14ac:dyDescent="0.2">
      <c r="A4427" s="1" t="s">
        <v>1031</v>
      </c>
    </row>
    <row r="4428" spans="1:1" x14ac:dyDescent="0.2">
      <c r="A4428" s="1" t="s">
        <v>1041</v>
      </c>
    </row>
    <row r="4429" spans="1:1" x14ac:dyDescent="0.2">
      <c r="A4429" s="1" t="s">
        <v>1042</v>
      </c>
    </row>
    <row r="4430" spans="1:1" x14ac:dyDescent="0.2">
      <c r="A4430" s="1" t="s">
        <v>1041</v>
      </c>
    </row>
    <row r="4431" spans="1:1" x14ac:dyDescent="0.2">
      <c r="A4431" s="1" t="s">
        <v>1043</v>
      </c>
    </row>
    <row r="4432" spans="1:1" x14ac:dyDescent="0.2">
      <c r="A4432" s="1" t="s">
        <v>1044</v>
      </c>
    </row>
    <row r="4433" spans="1:1" x14ac:dyDescent="0.2">
      <c r="A4433" s="1" t="s">
        <v>1045</v>
      </c>
    </row>
    <row r="4434" spans="1:1" x14ac:dyDescent="0.2">
      <c r="A4434" s="1" t="s">
        <v>1046</v>
      </c>
    </row>
    <row r="4435" spans="1:1" x14ac:dyDescent="0.2">
      <c r="A4435" s="1" t="s">
        <v>1047</v>
      </c>
    </row>
    <row r="4436" spans="1:1" x14ac:dyDescent="0.2">
      <c r="A4436" s="1" t="s">
        <v>1048</v>
      </c>
    </row>
    <row r="4437" spans="1:1" x14ac:dyDescent="0.2">
      <c r="A4437" s="1" t="s">
        <v>1049</v>
      </c>
    </row>
    <row r="4438" spans="1:1" x14ac:dyDescent="0.2">
      <c r="A4438" s="1" t="s">
        <v>1050</v>
      </c>
    </row>
    <row r="4439" spans="1:1" x14ac:dyDescent="0.2">
      <c r="A4439" s="1" t="s">
        <v>1051</v>
      </c>
    </row>
    <row r="4440" spans="1:1" x14ac:dyDescent="0.2">
      <c r="A4440" s="1" t="s">
        <v>1052</v>
      </c>
    </row>
    <row r="4441" spans="1:1" x14ac:dyDescent="0.2">
      <c r="A4441" s="1" t="s">
        <v>1053</v>
      </c>
    </row>
    <row r="4442" spans="1:1" x14ac:dyDescent="0.2">
      <c r="A4442" s="1" t="s">
        <v>1054</v>
      </c>
    </row>
    <row r="4443" spans="1:1" x14ac:dyDescent="0.2">
      <c r="A4443" s="1" t="s">
        <v>1055</v>
      </c>
    </row>
    <row r="4444" spans="1:1" x14ac:dyDescent="0.2">
      <c r="A4444" s="1" t="s">
        <v>1056</v>
      </c>
    </row>
    <row r="4445" spans="1:1" x14ac:dyDescent="0.2">
      <c r="A4445" s="1" t="s">
        <v>1057</v>
      </c>
    </row>
    <row r="4446" spans="1:1" x14ac:dyDescent="0.2">
      <c r="A4446" s="1" t="s">
        <v>1058</v>
      </c>
    </row>
    <row r="4447" spans="1:1" x14ac:dyDescent="0.2">
      <c r="A4447" s="1" t="s">
        <v>1059</v>
      </c>
    </row>
    <row r="4448" spans="1:1" x14ac:dyDescent="0.2">
      <c r="A4448" s="1" t="s">
        <v>1048</v>
      </c>
    </row>
    <row r="4449" spans="1:1" x14ac:dyDescent="0.2">
      <c r="A4449" s="1" t="s">
        <v>1060</v>
      </c>
    </row>
    <row r="4450" spans="1:1" x14ac:dyDescent="0.2">
      <c r="A4450" s="1" t="s">
        <v>1050</v>
      </c>
    </row>
    <row r="4451" spans="1:1" x14ac:dyDescent="0.2">
      <c r="A4451" s="1" t="s">
        <v>1051</v>
      </c>
    </row>
    <row r="4452" spans="1:1" x14ac:dyDescent="0.2">
      <c r="A4452" s="1" t="s">
        <v>1052</v>
      </c>
    </row>
    <row r="4453" spans="1:1" x14ac:dyDescent="0.2">
      <c r="A4453" s="1" t="s">
        <v>1053</v>
      </c>
    </row>
    <row r="4454" spans="1:1" x14ac:dyDescent="0.2">
      <c r="A4454" s="1" t="s">
        <v>1061</v>
      </c>
    </row>
    <row r="4455" spans="1:1" x14ac:dyDescent="0.2">
      <c r="A4455" s="1" t="s">
        <v>1055</v>
      </c>
    </row>
    <row r="4456" spans="1:1" x14ac:dyDescent="0.2">
      <c r="A4456" s="1" t="s">
        <v>1056</v>
      </c>
    </row>
    <row r="4457" spans="1:1" x14ac:dyDescent="0.2">
      <c r="A4457" s="1" t="s">
        <v>1057</v>
      </c>
    </row>
    <row r="4458" spans="1:1" x14ac:dyDescent="0.2">
      <c r="A4458" s="1" t="s">
        <v>1058</v>
      </c>
    </row>
    <row r="4459" spans="1:1" x14ac:dyDescent="0.2">
      <c r="A4459" s="1" t="s">
        <v>1059</v>
      </c>
    </row>
    <row r="4460" spans="1:1" x14ac:dyDescent="0.2">
      <c r="A4460" s="1" t="s">
        <v>1048</v>
      </c>
    </row>
    <row r="4461" spans="1:1" x14ac:dyDescent="0.2">
      <c r="A4461" s="1" t="s">
        <v>1062</v>
      </c>
    </row>
    <row r="4462" spans="1:1" x14ac:dyDescent="0.2">
      <c r="A4462" s="1" t="s">
        <v>1050</v>
      </c>
    </row>
    <row r="4463" spans="1:1" x14ac:dyDescent="0.2">
      <c r="A4463" s="1" t="s">
        <v>1051</v>
      </c>
    </row>
    <row r="4464" spans="1:1" x14ac:dyDescent="0.2">
      <c r="A4464" s="1" t="s">
        <v>1052</v>
      </c>
    </row>
    <row r="4465" spans="1:1" x14ac:dyDescent="0.2">
      <c r="A4465" s="1" t="s">
        <v>1053</v>
      </c>
    </row>
    <row r="4466" spans="1:1" x14ac:dyDescent="0.2">
      <c r="A4466" s="1" t="s">
        <v>1063</v>
      </c>
    </row>
    <row r="4467" spans="1:1" x14ac:dyDescent="0.2">
      <c r="A4467" s="1" t="s">
        <v>1055</v>
      </c>
    </row>
    <row r="4468" spans="1:1" x14ac:dyDescent="0.2">
      <c r="A4468" s="1" t="s">
        <v>1056</v>
      </c>
    </row>
    <row r="4469" spans="1:1" x14ac:dyDescent="0.2">
      <c r="A4469" s="1" t="s">
        <v>1057</v>
      </c>
    </row>
    <row r="4470" spans="1:1" x14ac:dyDescent="0.2">
      <c r="A4470" s="1" t="s">
        <v>1058</v>
      </c>
    </row>
    <row r="4471" spans="1:1" x14ac:dyDescent="0.2">
      <c r="A4471" s="1" t="s">
        <v>1059</v>
      </c>
    </row>
    <row r="4472" spans="1:1" x14ac:dyDescent="0.2">
      <c r="A4472" s="1" t="s">
        <v>1048</v>
      </c>
    </row>
    <row r="4473" spans="1:1" x14ac:dyDescent="0.2">
      <c r="A4473" s="1" t="s">
        <v>1064</v>
      </c>
    </row>
    <row r="4474" spans="1:1" x14ac:dyDescent="0.2">
      <c r="A4474" s="1" t="s">
        <v>1050</v>
      </c>
    </row>
    <row r="4475" spans="1:1" x14ac:dyDescent="0.2">
      <c r="A4475" s="1" t="s">
        <v>1051</v>
      </c>
    </row>
    <row r="4476" spans="1:1" x14ac:dyDescent="0.2">
      <c r="A4476" s="1" t="s">
        <v>1052</v>
      </c>
    </row>
    <row r="4477" spans="1:1" x14ac:dyDescent="0.2">
      <c r="A4477" s="1" t="s">
        <v>1053</v>
      </c>
    </row>
    <row r="4478" spans="1:1" x14ac:dyDescent="0.2">
      <c r="A4478" s="1" t="s">
        <v>1065</v>
      </c>
    </row>
    <row r="4479" spans="1:1" x14ac:dyDescent="0.2">
      <c r="A4479" s="1" t="s">
        <v>1055</v>
      </c>
    </row>
    <row r="4480" spans="1:1" x14ac:dyDescent="0.2">
      <c r="A4480" s="1" t="s">
        <v>1056</v>
      </c>
    </row>
    <row r="4481" spans="1:1" x14ac:dyDescent="0.2">
      <c r="A4481" s="1" t="s">
        <v>1057</v>
      </c>
    </row>
    <row r="4482" spans="1:1" x14ac:dyDescent="0.2">
      <c r="A4482" s="1" t="s">
        <v>1058</v>
      </c>
    </row>
    <row r="4483" spans="1:1" x14ac:dyDescent="0.2">
      <c r="A4483" s="1" t="s">
        <v>1059</v>
      </c>
    </row>
    <row r="4484" spans="1:1" x14ac:dyDescent="0.2">
      <c r="A4484" s="1" t="s">
        <v>1048</v>
      </c>
    </row>
    <row r="4485" spans="1:1" x14ac:dyDescent="0.2">
      <c r="A4485" s="1" t="s">
        <v>1066</v>
      </c>
    </row>
    <row r="4486" spans="1:1" x14ac:dyDescent="0.2">
      <c r="A4486" s="1" t="s">
        <v>1050</v>
      </c>
    </row>
    <row r="4487" spans="1:1" x14ac:dyDescent="0.2">
      <c r="A4487" s="1" t="s">
        <v>1051</v>
      </c>
    </row>
    <row r="4488" spans="1:1" x14ac:dyDescent="0.2">
      <c r="A4488" s="1" t="s">
        <v>1052</v>
      </c>
    </row>
    <row r="4489" spans="1:1" x14ac:dyDescent="0.2">
      <c r="A4489" s="1" t="s">
        <v>1053</v>
      </c>
    </row>
    <row r="4490" spans="1:1" x14ac:dyDescent="0.2">
      <c r="A4490" s="1" t="s">
        <v>1067</v>
      </c>
    </row>
    <row r="4491" spans="1:1" x14ac:dyDescent="0.2">
      <c r="A4491" s="1" t="s">
        <v>1055</v>
      </c>
    </row>
    <row r="4492" spans="1:1" x14ac:dyDescent="0.2">
      <c r="A4492" s="1" t="s">
        <v>1056</v>
      </c>
    </row>
    <row r="4493" spans="1:1" x14ac:dyDescent="0.2">
      <c r="A4493" s="1" t="s">
        <v>1057</v>
      </c>
    </row>
    <row r="4494" spans="1:1" x14ac:dyDescent="0.2">
      <c r="A4494" s="1" t="s">
        <v>1058</v>
      </c>
    </row>
    <row r="4495" spans="1:1" x14ac:dyDescent="0.2">
      <c r="A4495" s="1" t="s">
        <v>1059</v>
      </c>
    </row>
    <row r="4496" spans="1:1" x14ac:dyDescent="0.2">
      <c r="A4496" s="1" t="s">
        <v>1048</v>
      </c>
    </row>
    <row r="4497" spans="1:1" x14ac:dyDescent="0.2">
      <c r="A4497" s="1" t="s">
        <v>1068</v>
      </c>
    </row>
    <row r="4498" spans="1:1" x14ac:dyDescent="0.2">
      <c r="A4498" s="1" t="s">
        <v>1050</v>
      </c>
    </row>
    <row r="4499" spans="1:1" x14ac:dyDescent="0.2">
      <c r="A4499" s="1" t="s">
        <v>1051</v>
      </c>
    </row>
    <row r="4500" spans="1:1" x14ac:dyDescent="0.2">
      <c r="A4500" s="1" t="s">
        <v>1052</v>
      </c>
    </row>
    <row r="4501" spans="1:1" x14ac:dyDescent="0.2">
      <c r="A4501" s="1" t="s">
        <v>1053</v>
      </c>
    </row>
    <row r="4502" spans="1:1" x14ac:dyDescent="0.2">
      <c r="A4502" s="1" t="s">
        <v>1069</v>
      </c>
    </row>
    <row r="4503" spans="1:1" x14ac:dyDescent="0.2">
      <c r="A4503" s="1" t="s">
        <v>1055</v>
      </c>
    </row>
    <row r="4504" spans="1:1" x14ac:dyDescent="0.2">
      <c r="A4504" s="1" t="s">
        <v>1056</v>
      </c>
    </row>
    <row r="4505" spans="1:1" x14ac:dyDescent="0.2">
      <c r="A4505" s="1" t="s">
        <v>1057</v>
      </c>
    </row>
    <row r="4506" spans="1:1" x14ac:dyDescent="0.2">
      <c r="A4506" s="1" t="s">
        <v>1058</v>
      </c>
    </row>
    <row r="4507" spans="1:1" x14ac:dyDescent="0.2">
      <c r="A4507" s="1" t="s">
        <v>1059</v>
      </c>
    </row>
    <row r="4508" spans="1:1" x14ac:dyDescent="0.2">
      <c r="A4508" s="1" t="s">
        <v>1048</v>
      </c>
    </row>
    <row r="4509" spans="1:1" x14ac:dyDescent="0.2">
      <c r="A4509" s="1" t="s">
        <v>1070</v>
      </c>
    </row>
    <row r="4510" spans="1:1" x14ac:dyDescent="0.2">
      <c r="A4510" s="1" t="s">
        <v>1050</v>
      </c>
    </row>
    <row r="4511" spans="1:1" x14ac:dyDescent="0.2">
      <c r="A4511" s="1" t="s">
        <v>1051</v>
      </c>
    </row>
    <row r="4512" spans="1:1" x14ac:dyDescent="0.2">
      <c r="A4512" s="1" t="s">
        <v>1052</v>
      </c>
    </row>
    <row r="4513" spans="1:1" x14ac:dyDescent="0.2">
      <c r="A4513" s="1" t="s">
        <v>1053</v>
      </c>
    </row>
    <row r="4514" spans="1:1" x14ac:dyDescent="0.2">
      <c r="A4514" s="1" t="s">
        <v>1071</v>
      </c>
    </row>
    <row r="4515" spans="1:1" x14ac:dyDescent="0.2">
      <c r="A4515" s="1" t="s">
        <v>1055</v>
      </c>
    </row>
    <row r="4516" spans="1:1" x14ac:dyDescent="0.2">
      <c r="A4516" s="1" t="s">
        <v>1056</v>
      </c>
    </row>
    <row r="4517" spans="1:1" x14ac:dyDescent="0.2">
      <c r="A4517" s="1" t="s">
        <v>1057</v>
      </c>
    </row>
    <row r="4518" spans="1:1" x14ac:dyDescent="0.2">
      <c r="A4518" s="1" t="s">
        <v>1058</v>
      </c>
    </row>
    <row r="4519" spans="1:1" x14ac:dyDescent="0.2">
      <c r="A4519" s="1" t="s">
        <v>1059</v>
      </c>
    </row>
    <row r="4520" spans="1:1" x14ac:dyDescent="0.2">
      <c r="A4520" s="1" t="s">
        <v>1048</v>
      </c>
    </row>
    <row r="4521" spans="1:1" x14ac:dyDescent="0.2">
      <c r="A4521" s="1" t="s">
        <v>1072</v>
      </c>
    </row>
    <row r="4522" spans="1:1" x14ac:dyDescent="0.2">
      <c r="A4522" s="1" t="s">
        <v>1050</v>
      </c>
    </row>
    <row r="4523" spans="1:1" x14ac:dyDescent="0.2">
      <c r="A4523" s="1" t="s">
        <v>1051</v>
      </c>
    </row>
    <row r="4524" spans="1:1" x14ac:dyDescent="0.2">
      <c r="A4524" s="1" t="s">
        <v>1052</v>
      </c>
    </row>
    <row r="4525" spans="1:1" x14ac:dyDescent="0.2">
      <c r="A4525" s="1" t="s">
        <v>1053</v>
      </c>
    </row>
    <row r="4526" spans="1:1" x14ac:dyDescent="0.2">
      <c r="A4526" s="1" t="s">
        <v>1073</v>
      </c>
    </row>
    <row r="4527" spans="1:1" x14ac:dyDescent="0.2">
      <c r="A4527" s="1" t="s">
        <v>1055</v>
      </c>
    </row>
    <row r="4528" spans="1:1" x14ac:dyDescent="0.2">
      <c r="A4528" s="1" t="s">
        <v>1056</v>
      </c>
    </row>
    <row r="4529" spans="1:1" x14ac:dyDescent="0.2">
      <c r="A4529" s="1" t="s">
        <v>1057</v>
      </c>
    </row>
    <row r="4530" spans="1:1" x14ac:dyDescent="0.2">
      <c r="A4530" s="1" t="s">
        <v>1058</v>
      </c>
    </row>
    <row r="4531" spans="1:1" x14ac:dyDescent="0.2">
      <c r="A4531" s="1" t="s">
        <v>1059</v>
      </c>
    </row>
    <row r="4532" spans="1:1" x14ac:dyDescent="0.2">
      <c r="A4532" s="1" t="s">
        <v>1048</v>
      </c>
    </row>
    <row r="4533" spans="1:1" x14ac:dyDescent="0.2">
      <c r="A4533" s="1" t="s">
        <v>1074</v>
      </c>
    </row>
    <row r="4534" spans="1:1" x14ac:dyDescent="0.2">
      <c r="A4534" s="1" t="s">
        <v>1050</v>
      </c>
    </row>
    <row r="4535" spans="1:1" x14ac:dyDescent="0.2">
      <c r="A4535" s="1" t="s">
        <v>1051</v>
      </c>
    </row>
    <row r="4536" spans="1:1" x14ac:dyDescent="0.2">
      <c r="A4536" s="1" t="s">
        <v>1052</v>
      </c>
    </row>
    <row r="4537" spans="1:1" x14ac:dyDescent="0.2">
      <c r="A4537" s="1" t="s">
        <v>1053</v>
      </c>
    </row>
    <row r="4538" spans="1:1" x14ac:dyDescent="0.2">
      <c r="A4538" s="1" t="s">
        <v>1075</v>
      </c>
    </row>
    <row r="4539" spans="1:1" x14ac:dyDescent="0.2">
      <c r="A4539" s="1" t="s">
        <v>1055</v>
      </c>
    </row>
    <row r="4540" spans="1:1" x14ac:dyDescent="0.2">
      <c r="A4540" s="1" t="s">
        <v>1056</v>
      </c>
    </row>
    <row r="4541" spans="1:1" x14ac:dyDescent="0.2">
      <c r="A4541" s="1" t="s">
        <v>1057</v>
      </c>
    </row>
    <row r="4542" spans="1:1" x14ac:dyDescent="0.2">
      <c r="A4542" s="1" t="s">
        <v>1058</v>
      </c>
    </row>
    <row r="4543" spans="1:1" x14ac:dyDescent="0.2">
      <c r="A4543" s="1" t="s">
        <v>1059</v>
      </c>
    </row>
    <row r="4544" spans="1:1" x14ac:dyDescent="0.2">
      <c r="A4544" s="1" t="s">
        <v>1048</v>
      </c>
    </row>
    <row r="4545" spans="1:1" x14ac:dyDescent="0.2">
      <c r="A4545" s="1" t="s">
        <v>1076</v>
      </c>
    </row>
    <row r="4546" spans="1:1" x14ac:dyDescent="0.2">
      <c r="A4546" s="1" t="s">
        <v>1050</v>
      </c>
    </row>
    <row r="4547" spans="1:1" x14ac:dyDescent="0.2">
      <c r="A4547" s="1" t="s">
        <v>1051</v>
      </c>
    </row>
    <row r="4548" spans="1:1" x14ac:dyDescent="0.2">
      <c r="A4548" s="1" t="s">
        <v>1052</v>
      </c>
    </row>
    <row r="4549" spans="1:1" x14ac:dyDescent="0.2">
      <c r="A4549" s="1" t="s">
        <v>1053</v>
      </c>
    </row>
    <row r="4550" spans="1:1" x14ac:dyDescent="0.2">
      <c r="A4550" s="1" t="s">
        <v>1077</v>
      </c>
    </row>
    <row r="4551" spans="1:1" x14ac:dyDescent="0.2">
      <c r="A4551" s="1" t="s">
        <v>1055</v>
      </c>
    </row>
    <row r="4552" spans="1:1" x14ac:dyDescent="0.2">
      <c r="A4552" s="1" t="s">
        <v>1056</v>
      </c>
    </row>
    <row r="4553" spans="1:1" x14ac:dyDescent="0.2">
      <c r="A4553" s="1" t="s">
        <v>1057</v>
      </c>
    </row>
    <row r="4554" spans="1:1" x14ac:dyDescent="0.2">
      <c r="A4554" s="1" t="s">
        <v>1058</v>
      </c>
    </row>
    <row r="4555" spans="1:1" x14ac:dyDescent="0.2">
      <c r="A4555" s="1" t="s">
        <v>1059</v>
      </c>
    </row>
    <row r="4556" spans="1:1" x14ac:dyDescent="0.2">
      <c r="A4556" s="1" t="s">
        <v>1078</v>
      </c>
    </row>
    <row r="4557" spans="1:1" x14ac:dyDescent="0.2">
      <c r="A4557" s="1" t="s">
        <v>1079</v>
      </c>
    </row>
    <row r="4558" spans="1:1" x14ac:dyDescent="0.2">
      <c r="A4558" s="1" t="s">
        <v>1080</v>
      </c>
    </row>
    <row r="4559" spans="1:1" x14ac:dyDescent="0.2">
      <c r="A4559" s="1" t="s">
        <v>1081</v>
      </c>
    </row>
    <row r="4560" spans="1:1" x14ac:dyDescent="0.2">
      <c r="A4560" s="1" t="s">
        <v>1082</v>
      </c>
    </row>
    <row r="4561" spans="1:1" x14ac:dyDescent="0.2">
      <c r="A4561" s="1" t="s">
        <v>1083</v>
      </c>
    </row>
    <row r="4562" spans="1:1" x14ac:dyDescent="0.2">
      <c r="A4562" s="1" t="s">
        <v>1084</v>
      </c>
    </row>
    <row r="4563" spans="1:1" x14ac:dyDescent="0.2">
      <c r="A4563" s="1" t="s">
        <v>1085</v>
      </c>
    </row>
    <row r="4564" spans="1:1" x14ac:dyDescent="0.2">
      <c r="A4564" s="1" t="s">
        <v>1086</v>
      </c>
    </row>
    <row r="4565" spans="1:1" x14ac:dyDescent="0.2">
      <c r="A4565" s="1" t="s">
        <v>1087</v>
      </c>
    </row>
    <row r="4566" spans="1:1" x14ac:dyDescent="0.2">
      <c r="A4566" s="1" t="s">
        <v>1088</v>
      </c>
    </row>
    <row r="4567" spans="1:1" x14ac:dyDescent="0.2">
      <c r="A4567" s="1" t="s">
        <v>1089</v>
      </c>
    </row>
    <row r="4568" spans="1:1" x14ac:dyDescent="0.2">
      <c r="A4568" s="1" t="s">
        <v>1078</v>
      </c>
    </row>
    <row r="4569" spans="1:1" x14ac:dyDescent="0.2">
      <c r="A4569" s="1" t="s">
        <v>1090</v>
      </c>
    </row>
    <row r="4570" spans="1:1" x14ac:dyDescent="0.2">
      <c r="A4570" s="1" t="s">
        <v>1080</v>
      </c>
    </row>
    <row r="4571" spans="1:1" x14ac:dyDescent="0.2">
      <c r="A4571" s="1" t="s">
        <v>1081</v>
      </c>
    </row>
    <row r="4572" spans="1:1" x14ac:dyDescent="0.2">
      <c r="A4572" s="1" t="s">
        <v>1082</v>
      </c>
    </row>
    <row r="4573" spans="1:1" x14ac:dyDescent="0.2">
      <c r="A4573" s="1" t="s">
        <v>1083</v>
      </c>
    </row>
    <row r="4574" spans="1:1" x14ac:dyDescent="0.2">
      <c r="A4574" s="1" t="s">
        <v>1091</v>
      </c>
    </row>
    <row r="4575" spans="1:1" x14ac:dyDescent="0.2">
      <c r="A4575" s="1" t="s">
        <v>1085</v>
      </c>
    </row>
    <row r="4576" spans="1:1" x14ac:dyDescent="0.2">
      <c r="A4576" s="1" t="s">
        <v>1086</v>
      </c>
    </row>
    <row r="4577" spans="1:1" x14ac:dyDescent="0.2">
      <c r="A4577" s="1" t="s">
        <v>1087</v>
      </c>
    </row>
    <row r="4578" spans="1:1" x14ac:dyDescent="0.2">
      <c r="A4578" s="1" t="s">
        <v>1088</v>
      </c>
    </row>
    <row r="4579" spans="1:1" x14ac:dyDescent="0.2">
      <c r="A4579" s="1" t="s">
        <v>1089</v>
      </c>
    </row>
    <row r="4580" spans="1:1" x14ac:dyDescent="0.2">
      <c r="A4580" s="1" t="s">
        <v>1078</v>
      </c>
    </row>
    <row r="4581" spans="1:1" x14ac:dyDescent="0.2">
      <c r="A4581" s="1" t="s">
        <v>1092</v>
      </c>
    </row>
    <row r="4582" spans="1:1" x14ac:dyDescent="0.2">
      <c r="A4582" s="1" t="s">
        <v>1080</v>
      </c>
    </row>
    <row r="4583" spans="1:1" x14ac:dyDescent="0.2">
      <c r="A4583" s="1" t="s">
        <v>1081</v>
      </c>
    </row>
    <row r="4584" spans="1:1" x14ac:dyDescent="0.2">
      <c r="A4584" s="1" t="s">
        <v>1082</v>
      </c>
    </row>
    <row r="4585" spans="1:1" x14ac:dyDescent="0.2">
      <c r="A4585" s="1" t="s">
        <v>1083</v>
      </c>
    </row>
    <row r="4586" spans="1:1" x14ac:dyDescent="0.2">
      <c r="A4586" s="1" t="s">
        <v>1093</v>
      </c>
    </row>
    <row r="4587" spans="1:1" x14ac:dyDescent="0.2">
      <c r="A4587" s="1" t="s">
        <v>1085</v>
      </c>
    </row>
    <row r="4588" spans="1:1" x14ac:dyDescent="0.2">
      <c r="A4588" s="1" t="s">
        <v>1086</v>
      </c>
    </row>
    <row r="4589" spans="1:1" x14ac:dyDescent="0.2">
      <c r="A4589" s="1" t="s">
        <v>1087</v>
      </c>
    </row>
    <row r="4590" spans="1:1" x14ac:dyDescent="0.2">
      <c r="A4590" s="1" t="s">
        <v>1088</v>
      </c>
    </row>
    <row r="4591" spans="1:1" x14ac:dyDescent="0.2">
      <c r="A4591" s="1" t="s">
        <v>1089</v>
      </c>
    </row>
    <row r="4592" spans="1:1" x14ac:dyDescent="0.2">
      <c r="A4592" s="1" t="s">
        <v>1078</v>
      </c>
    </row>
    <row r="4593" spans="1:1" x14ac:dyDescent="0.2">
      <c r="A4593" s="1" t="s">
        <v>1094</v>
      </c>
    </row>
    <row r="4594" spans="1:1" x14ac:dyDescent="0.2">
      <c r="A4594" s="1" t="s">
        <v>1080</v>
      </c>
    </row>
    <row r="4595" spans="1:1" x14ac:dyDescent="0.2">
      <c r="A4595" s="1" t="s">
        <v>1081</v>
      </c>
    </row>
    <row r="4596" spans="1:1" x14ac:dyDescent="0.2">
      <c r="A4596" s="1" t="s">
        <v>1082</v>
      </c>
    </row>
    <row r="4597" spans="1:1" x14ac:dyDescent="0.2">
      <c r="A4597" s="1" t="s">
        <v>1083</v>
      </c>
    </row>
    <row r="4598" spans="1:1" x14ac:dyDescent="0.2">
      <c r="A4598" s="1" t="s">
        <v>1095</v>
      </c>
    </row>
    <row r="4599" spans="1:1" x14ac:dyDescent="0.2">
      <c r="A4599" s="1" t="s">
        <v>1085</v>
      </c>
    </row>
    <row r="4600" spans="1:1" x14ac:dyDescent="0.2">
      <c r="A4600" s="1" t="s">
        <v>1086</v>
      </c>
    </row>
    <row r="4601" spans="1:1" x14ac:dyDescent="0.2">
      <c r="A4601" s="1" t="s">
        <v>1087</v>
      </c>
    </row>
    <row r="4602" spans="1:1" x14ac:dyDescent="0.2">
      <c r="A4602" s="1" t="s">
        <v>1088</v>
      </c>
    </row>
    <row r="4603" spans="1:1" x14ac:dyDescent="0.2">
      <c r="A4603" s="1" t="s">
        <v>1089</v>
      </c>
    </row>
    <row r="4604" spans="1:1" x14ac:dyDescent="0.2">
      <c r="A4604" s="1" t="s">
        <v>1078</v>
      </c>
    </row>
    <row r="4605" spans="1:1" x14ac:dyDescent="0.2">
      <c r="A4605" s="1" t="s">
        <v>1096</v>
      </c>
    </row>
    <row r="4606" spans="1:1" x14ac:dyDescent="0.2">
      <c r="A4606" s="1" t="s">
        <v>1080</v>
      </c>
    </row>
    <row r="4607" spans="1:1" x14ac:dyDescent="0.2">
      <c r="A4607" s="1" t="s">
        <v>1081</v>
      </c>
    </row>
    <row r="4608" spans="1:1" x14ac:dyDescent="0.2">
      <c r="A4608" s="1" t="s">
        <v>1082</v>
      </c>
    </row>
    <row r="4609" spans="1:1" x14ac:dyDescent="0.2">
      <c r="A4609" s="1" t="s">
        <v>1083</v>
      </c>
    </row>
    <row r="4610" spans="1:1" x14ac:dyDescent="0.2">
      <c r="A4610" s="1" t="s">
        <v>1097</v>
      </c>
    </row>
    <row r="4611" spans="1:1" x14ac:dyDescent="0.2">
      <c r="A4611" s="1" t="s">
        <v>1085</v>
      </c>
    </row>
    <row r="4612" spans="1:1" x14ac:dyDescent="0.2">
      <c r="A4612" s="1" t="s">
        <v>1086</v>
      </c>
    </row>
    <row r="4613" spans="1:1" x14ac:dyDescent="0.2">
      <c r="A4613" s="1" t="s">
        <v>1087</v>
      </c>
    </row>
    <row r="4614" spans="1:1" x14ac:dyDescent="0.2">
      <c r="A4614" s="1" t="s">
        <v>1088</v>
      </c>
    </row>
    <row r="4615" spans="1:1" x14ac:dyDescent="0.2">
      <c r="A4615" s="1" t="s">
        <v>1089</v>
      </c>
    </row>
    <row r="4616" spans="1:1" x14ac:dyDescent="0.2">
      <c r="A4616" s="1" t="s">
        <v>1078</v>
      </c>
    </row>
    <row r="4617" spans="1:1" x14ac:dyDescent="0.2">
      <c r="A4617" s="1" t="s">
        <v>1098</v>
      </c>
    </row>
    <row r="4618" spans="1:1" x14ac:dyDescent="0.2">
      <c r="A4618" s="1" t="s">
        <v>1080</v>
      </c>
    </row>
    <row r="4619" spans="1:1" x14ac:dyDescent="0.2">
      <c r="A4619" s="1" t="s">
        <v>1081</v>
      </c>
    </row>
    <row r="4620" spans="1:1" x14ac:dyDescent="0.2">
      <c r="A4620" s="1" t="s">
        <v>1082</v>
      </c>
    </row>
    <row r="4621" spans="1:1" x14ac:dyDescent="0.2">
      <c r="A4621" s="1" t="s">
        <v>1083</v>
      </c>
    </row>
    <row r="4622" spans="1:1" x14ac:dyDescent="0.2">
      <c r="A4622" s="1" t="s">
        <v>1099</v>
      </c>
    </row>
    <row r="4623" spans="1:1" x14ac:dyDescent="0.2">
      <c r="A4623" s="1" t="s">
        <v>1085</v>
      </c>
    </row>
    <row r="4624" spans="1:1" x14ac:dyDescent="0.2">
      <c r="A4624" s="1" t="s">
        <v>1086</v>
      </c>
    </row>
    <row r="4625" spans="1:1" x14ac:dyDescent="0.2">
      <c r="A4625" s="1" t="s">
        <v>1087</v>
      </c>
    </row>
    <row r="4626" spans="1:1" x14ac:dyDescent="0.2">
      <c r="A4626" s="1" t="s">
        <v>1088</v>
      </c>
    </row>
    <row r="4627" spans="1:1" x14ac:dyDescent="0.2">
      <c r="A4627" s="1" t="s">
        <v>1089</v>
      </c>
    </row>
    <row r="4628" spans="1:1" x14ac:dyDescent="0.2">
      <c r="A4628" s="1" t="s">
        <v>1078</v>
      </c>
    </row>
    <row r="4629" spans="1:1" x14ac:dyDescent="0.2">
      <c r="A4629" s="1" t="s">
        <v>1100</v>
      </c>
    </row>
    <row r="4630" spans="1:1" x14ac:dyDescent="0.2">
      <c r="A4630" s="1" t="s">
        <v>1080</v>
      </c>
    </row>
    <row r="4631" spans="1:1" x14ac:dyDescent="0.2">
      <c r="A4631" s="1" t="s">
        <v>1081</v>
      </c>
    </row>
    <row r="4632" spans="1:1" x14ac:dyDescent="0.2">
      <c r="A4632" s="1" t="s">
        <v>1082</v>
      </c>
    </row>
    <row r="4633" spans="1:1" x14ac:dyDescent="0.2">
      <c r="A4633" s="1" t="s">
        <v>1083</v>
      </c>
    </row>
    <row r="4634" spans="1:1" x14ac:dyDescent="0.2">
      <c r="A4634" s="1" t="s">
        <v>1101</v>
      </c>
    </row>
    <row r="4635" spans="1:1" x14ac:dyDescent="0.2">
      <c r="A4635" s="1" t="s">
        <v>1085</v>
      </c>
    </row>
    <row r="4636" spans="1:1" x14ac:dyDescent="0.2">
      <c r="A4636" s="1" t="s">
        <v>1086</v>
      </c>
    </row>
    <row r="4637" spans="1:1" x14ac:dyDescent="0.2">
      <c r="A4637" s="1" t="s">
        <v>1087</v>
      </c>
    </row>
    <row r="4638" spans="1:1" x14ac:dyDescent="0.2">
      <c r="A4638" s="1" t="s">
        <v>1088</v>
      </c>
    </row>
    <row r="4639" spans="1:1" x14ac:dyDescent="0.2">
      <c r="A4639" s="1" t="s">
        <v>1089</v>
      </c>
    </row>
    <row r="4640" spans="1:1" x14ac:dyDescent="0.2">
      <c r="A4640" s="1" t="s">
        <v>1078</v>
      </c>
    </row>
    <row r="4641" spans="1:1" x14ac:dyDescent="0.2">
      <c r="A4641" s="1" t="s">
        <v>1102</v>
      </c>
    </row>
    <row r="4642" spans="1:1" x14ac:dyDescent="0.2">
      <c r="A4642" s="1" t="s">
        <v>1080</v>
      </c>
    </row>
    <row r="4643" spans="1:1" x14ac:dyDescent="0.2">
      <c r="A4643" s="1" t="s">
        <v>1081</v>
      </c>
    </row>
    <row r="4644" spans="1:1" x14ac:dyDescent="0.2">
      <c r="A4644" s="1" t="s">
        <v>1082</v>
      </c>
    </row>
    <row r="4645" spans="1:1" x14ac:dyDescent="0.2">
      <c r="A4645" s="1" t="s">
        <v>1083</v>
      </c>
    </row>
    <row r="4646" spans="1:1" x14ac:dyDescent="0.2">
      <c r="A4646" s="1" t="s">
        <v>1103</v>
      </c>
    </row>
    <row r="4647" spans="1:1" x14ac:dyDescent="0.2">
      <c r="A4647" s="1" t="s">
        <v>1085</v>
      </c>
    </row>
    <row r="4648" spans="1:1" x14ac:dyDescent="0.2">
      <c r="A4648" s="1" t="s">
        <v>1086</v>
      </c>
    </row>
    <row r="4649" spans="1:1" x14ac:dyDescent="0.2">
      <c r="A4649" s="1" t="s">
        <v>1087</v>
      </c>
    </row>
    <row r="4650" spans="1:1" x14ac:dyDescent="0.2">
      <c r="A4650" s="1" t="s">
        <v>1088</v>
      </c>
    </row>
    <row r="4651" spans="1:1" x14ac:dyDescent="0.2">
      <c r="A4651" s="1" t="s">
        <v>1089</v>
      </c>
    </row>
    <row r="4652" spans="1:1" x14ac:dyDescent="0.2">
      <c r="A4652" s="1" t="s">
        <v>1104</v>
      </c>
    </row>
    <row r="4653" spans="1:1" x14ac:dyDescent="0.2">
      <c r="A4653" s="1" t="s">
        <v>1105</v>
      </c>
    </row>
    <row r="4654" spans="1:1" x14ac:dyDescent="0.2">
      <c r="A4654" s="1" t="s">
        <v>1104</v>
      </c>
    </row>
    <row r="4655" spans="1:1" x14ac:dyDescent="0.2">
      <c r="A4655" s="1" t="s">
        <v>1105</v>
      </c>
    </row>
    <row r="4656" spans="1:1" x14ac:dyDescent="0.2">
      <c r="A4656" s="1" t="s">
        <v>1106</v>
      </c>
    </row>
    <row r="4657" spans="1:1" x14ac:dyDescent="0.2">
      <c r="A4657" s="1" t="s">
        <v>1107</v>
      </c>
    </row>
    <row r="4658" spans="1:1" x14ac:dyDescent="0.2">
      <c r="A4658" s="1" t="s">
        <v>1108</v>
      </c>
    </row>
    <row r="4659" spans="1:1" x14ac:dyDescent="0.2">
      <c r="A4659" s="1" t="s">
        <v>1109</v>
      </c>
    </row>
    <row r="4660" spans="1:1" x14ac:dyDescent="0.2">
      <c r="A4660" s="1" t="s">
        <v>1110</v>
      </c>
    </row>
    <row r="4661" spans="1:1" x14ac:dyDescent="0.2">
      <c r="A4661" s="1" t="s">
        <v>1111</v>
      </c>
    </row>
    <row r="4662" spans="1:1" x14ac:dyDescent="0.2">
      <c r="A4662" s="1" t="s">
        <v>1112</v>
      </c>
    </row>
    <row r="4663" spans="1:1" x14ac:dyDescent="0.2">
      <c r="A4663" s="1" t="s">
        <v>1113</v>
      </c>
    </row>
    <row r="4664" spans="1:1" x14ac:dyDescent="0.2">
      <c r="A4664" s="1" t="s">
        <v>1104</v>
      </c>
    </row>
    <row r="4665" spans="1:1" x14ac:dyDescent="0.2">
      <c r="A4665" s="1" t="s">
        <v>1105</v>
      </c>
    </row>
    <row r="4666" spans="1:1" x14ac:dyDescent="0.2">
      <c r="A4666" s="1" t="s">
        <v>1104</v>
      </c>
    </row>
    <row r="4667" spans="1:1" x14ac:dyDescent="0.2">
      <c r="A4667" s="1" t="s">
        <v>1105</v>
      </c>
    </row>
    <row r="4668" spans="1:1" x14ac:dyDescent="0.2">
      <c r="A4668" s="1" t="s">
        <v>1104</v>
      </c>
    </row>
    <row r="4669" spans="1:1" x14ac:dyDescent="0.2">
      <c r="A4669" s="1" t="s">
        <v>1105</v>
      </c>
    </row>
    <row r="4670" spans="1:1" x14ac:dyDescent="0.2">
      <c r="A4670" s="1" t="s">
        <v>1106</v>
      </c>
    </row>
    <row r="4671" spans="1:1" x14ac:dyDescent="0.2">
      <c r="A4671" s="1" t="s">
        <v>1107</v>
      </c>
    </row>
    <row r="4672" spans="1:1" x14ac:dyDescent="0.2">
      <c r="A4672" s="1" t="s">
        <v>1108</v>
      </c>
    </row>
    <row r="4673" spans="1:1" x14ac:dyDescent="0.2">
      <c r="A4673" s="1" t="s">
        <v>1109</v>
      </c>
    </row>
    <row r="4674" spans="1:1" x14ac:dyDescent="0.2">
      <c r="A4674" s="1" t="s">
        <v>1110</v>
      </c>
    </row>
    <row r="4675" spans="1:1" x14ac:dyDescent="0.2">
      <c r="A4675" s="1" t="s">
        <v>1111</v>
      </c>
    </row>
    <row r="4676" spans="1:1" x14ac:dyDescent="0.2">
      <c r="A4676" s="1" t="s">
        <v>1112</v>
      </c>
    </row>
    <row r="4677" spans="1:1" x14ac:dyDescent="0.2">
      <c r="A4677" s="1" t="s">
        <v>1113</v>
      </c>
    </row>
    <row r="4678" spans="1:1" x14ac:dyDescent="0.2">
      <c r="A4678" s="1" t="s">
        <v>1104</v>
      </c>
    </row>
    <row r="4679" spans="1:1" x14ac:dyDescent="0.2">
      <c r="A4679" s="1" t="s">
        <v>1105</v>
      </c>
    </row>
    <row r="4680" spans="1:1" x14ac:dyDescent="0.2">
      <c r="A4680" s="1" t="s">
        <v>1104</v>
      </c>
    </row>
    <row r="4681" spans="1:1" x14ac:dyDescent="0.2">
      <c r="A4681" s="1" t="s">
        <v>1105</v>
      </c>
    </row>
    <row r="4682" spans="1:1" x14ac:dyDescent="0.2">
      <c r="A4682" s="1" t="s">
        <v>1104</v>
      </c>
    </row>
    <row r="4683" spans="1:1" x14ac:dyDescent="0.2">
      <c r="A4683" s="1" t="s">
        <v>1105</v>
      </c>
    </row>
    <row r="4684" spans="1:1" x14ac:dyDescent="0.2">
      <c r="A4684" s="1" t="s">
        <v>1106</v>
      </c>
    </row>
    <row r="4685" spans="1:1" x14ac:dyDescent="0.2">
      <c r="A4685" s="1" t="s">
        <v>1107</v>
      </c>
    </row>
    <row r="4686" spans="1:1" x14ac:dyDescent="0.2">
      <c r="A4686" s="1" t="s">
        <v>1108</v>
      </c>
    </row>
    <row r="4687" spans="1:1" x14ac:dyDescent="0.2">
      <c r="A4687" s="1" t="s">
        <v>1109</v>
      </c>
    </row>
    <row r="4688" spans="1:1" x14ac:dyDescent="0.2">
      <c r="A4688" s="1" t="s">
        <v>1110</v>
      </c>
    </row>
    <row r="4689" spans="1:1" x14ac:dyDescent="0.2">
      <c r="A4689" s="1" t="s">
        <v>1111</v>
      </c>
    </row>
    <row r="4690" spans="1:1" x14ac:dyDescent="0.2">
      <c r="A4690" s="1" t="s">
        <v>1112</v>
      </c>
    </row>
    <row r="4691" spans="1:1" x14ac:dyDescent="0.2">
      <c r="A4691" s="1" t="s">
        <v>1113</v>
      </c>
    </row>
    <row r="4692" spans="1:1" x14ac:dyDescent="0.2">
      <c r="A4692" s="1" t="s">
        <v>1104</v>
      </c>
    </row>
    <row r="4693" spans="1:1" x14ac:dyDescent="0.2">
      <c r="A4693" s="1" t="s">
        <v>1105</v>
      </c>
    </row>
    <row r="4694" spans="1:1" x14ac:dyDescent="0.2">
      <c r="A4694" s="1" t="s">
        <v>1104</v>
      </c>
    </row>
    <row r="4695" spans="1:1" x14ac:dyDescent="0.2">
      <c r="A4695" s="1" t="s">
        <v>1105</v>
      </c>
    </row>
    <row r="4696" spans="1:1" x14ac:dyDescent="0.2">
      <c r="A4696" s="1" t="s">
        <v>1104</v>
      </c>
    </row>
    <row r="4697" spans="1:1" x14ac:dyDescent="0.2">
      <c r="A4697" s="1" t="s">
        <v>1105</v>
      </c>
    </row>
    <row r="4698" spans="1:1" x14ac:dyDescent="0.2">
      <c r="A4698" s="1" t="s">
        <v>1106</v>
      </c>
    </row>
    <row r="4699" spans="1:1" x14ac:dyDescent="0.2">
      <c r="A4699" s="1" t="s">
        <v>1107</v>
      </c>
    </row>
    <row r="4700" spans="1:1" x14ac:dyDescent="0.2">
      <c r="A4700" s="1" t="s">
        <v>1108</v>
      </c>
    </row>
    <row r="4701" spans="1:1" x14ac:dyDescent="0.2">
      <c r="A4701" s="1" t="s">
        <v>1109</v>
      </c>
    </row>
    <row r="4702" spans="1:1" x14ac:dyDescent="0.2">
      <c r="A4702" s="1" t="s">
        <v>1110</v>
      </c>
    </row>
    <row r="4703" spans="1:1" x14ac:dyDescent="0.2">
      <c r="A4703" s="1" t="s">
        <v>1111</v>
      </c>
    </row>
    <row r="4704" spans="1:1" x14ac:dyDescent="0.2">
      <c r="A4704" s="1" t="s">
        <v>1112</v>
      </c>
    </row>
    <row r="4705" spans="1:1" x14ac:dyDescent="0.2">
      <c r="A4705" s="1" t="s">
        <v>1113</v>
      </c>
    </row>
    <row r="4706" spans="1:1" x14ac:dyDescent="0.2">
      <c r="A4706" s="1" t="s">
        <v>1104</v>
      </c>
    </row>
    <row r="4707" spans="1:1" x14ac:dyDescent="0.2">
      <c r="A4707" s="1" t="s">
        <v>1105</v>
      </c>
    </row>
    <row r="4708" spans="1:1" x14ac:dyDescent="0.2">
      <c r="A4708" s="1" t="s">
        <v>1104</v>
      </c>
    </row>
    <row r="4709" spans="1:1" x14ac:dyDescent="0.2">
      <c r="A4709" s="1" t="s">
        <v>1105</v>
      </c>
    </row>
    <row r="4710" spans="1:1" x14ac:dyDescent="0.2">
      <c r="A4710" s="1" t="s">
        <v>1104</v>
      </c>
    </row>
    <row r="4711" spans="1:1" x14ac:dyDescent="0.2">
      <c r="A4711" s="1" t="s">
        <v>1105</v>
      </c>
    </row>
    <row r="4712" spans="1:1" x14ac:dyDescent="0.2">
      <c r="A4712" s="1" t="s">
        <v>1106</v>
      </c>
    </row>
    <row r="4713" spans="1:1" x14ac:dyDescent="0.2">
      <c r="A4713" s="1" t="s">
        <v>1107</v>
      </c>
    </row>
    <row r="4714" spans="1:1" x14ac:dyDescent="0.2">
      <c r="A4714" s="1" t="s">
        <v>1108</v>
      </c>
    </row>
    <row r="4715" spans="1:1" x14ac:dyDescent="0.2">
      <c r="A4715" s="1" t="s">
        <v>1109</v>
      </c>
    </row>
    <row r="4716" spans="1:1" x14ac:dyDescent="0.2">
      <c r="A4716" s="1" t="s">
        <v>1110</v>
      </c>
    </row>
    <row r="4717" spans="1:1" x14ac:dyDescent="0.2">
      <c r="A4717" s="1" t="s">
        <v>1111</v>
      </c>
    </row>
    <row r="4718" spans="1:1" x14ac:dyDescent="0.2">
      <c r="A4718" s="1" t="s">
        <v>1112</v>
      </c>
    </row>
    <row r="4719" spans="1:1" x14ac:dyDescent="0.2">
      <c r="A4719" s="1" t="s">
        <v>1113</v>
      </c>
    </row>
    <row r="4720" spans="1:1" x14ac:dyDescent="0.2">
      <c r="A4720" s="1" t="s">
        <v>1104</v>
      </c>
    </row>
    <row r="4721" spans="1:1" x14ac:dyDescent="0.2">
      <c r="A4721" s="1" t="s">
        <v>1105</v>
      </c>
    </row>
    <row r="4722" spans="1:1" x14ac:dyDescent="0.2">
      <c r="A4722" s="1" t="s">
        <v>1104</v>
      </c>
    </row>
    <row r="4723" spans="1:1" x14ac:dyDescent="0.2">
      <c r="A4723" s="1" t="s">
        <v>1105</v>
      </c>
    </row>
    <row r="4724" spans="1:1" x14ac:dyDescent="0.2">
      <c r="A4724" s="1" t="s">
        <v>1104</v>
      </c>
    </row>
    <row r="4725" spans="1:1" x14ac:dyDescent="0.2">
      <c r="A4725" s="1" t="s">
        <v>1105</v>
      </c>
    </row>
    <row r="4726" spans="1:1" x14ac:dyDescent="0.2">
      <c r="A4726" s="1" t="s">
        <v>1106</v>
      </c>
    </row>
    <row r="4727" spans="1:1" x14ac:dyDescent="0.2">
      <c r="A4727" s="1" t="s">
        <v>1107</v>
      </c>
    </row>
    <row r="4728" spans="1:1" x14ac:dyDescent="0.2">
      <c r="A4728" s="1" t="s">
        <v>1108</v>
      </c>
    </row>
    <row r="4729" spans="1:1" x14ac:dyDescent="0.2">
      <c r="A4729" s="1" t="s">
        <v>1109</v>
      </c>
    </row>
    <row r="4730" spans="1:1" x14ac:dyDescent="0.2">
      <c r="A4730" s="1" t="s">
        <v>1110</v>
      </c>
    </row>
    <row r="4731" spans="1:1" x14ac:dyDescent="0.2">
      <c r="A4731" s="1" t="s">
        <v>1111</v>
      </c>
    </row>
    <row r="4732" spans="1:1" x14ac:dyDescent="0.2">
      <c r="A4732" s="1" t="s">
        <v>1112</v>
      </c>
    </row>
    <row r="4733" spans="1:1" x14ac:dyDescent="0.2">
      <c r="A4733" s="1" t="s">
        <v>1113</v>
      </c>
    </row>
    <row r="4734" spans="1:1" x14ac:dyDescent="0.2">
      <c r="A4734" s="1" t="s">
        <v>1104</v>
      </c>
    </row>
    <row r="4735" spans="1:1" x14ac:dyDescent="0.2">
      <c r="A4735" s="1" t="s">
        <v>1105</v>
      </c>
    </row>
    <row r="4736" spans="1:1" x14ac:dyDescent="0.2">
      <c r="A4736" s="1" t="s">
        <v>1104</v>
      </c>
    </row>
    <row r="4737" spans="1:1" x14ac:dyDescent="0.2">
      <c r="A4737" s="1" t="s">
        <v>1105</v>
      </c>
    </row>
    <row r="4738" spans="1:1" x14ac:dyDescent="0.2">
      <c r="A4738" s="1" t="s">
        <v>1104</v>
      </c>
    </row>
    <row r="4739" spans="1:1" x14ac:dyDescent="0.2">
      <c r="A4739" s="1" t="s">
        <v>1105</v>
      </c>
    </row>
    <row r="4740" spans="1:1" x14ac:dyDescent="0.2">
      <c r="A4740" s="1" t="s">
        <v>1106</v>
      </c>
    </row>
    <row r="4741" spans="1:1" x14ac:dyDescent="0.2">
      <c r="A4741" s="1" t="s">
        <v>1107</v>
      </c>
    </row>
    <row r="4742" spans="1:1" x14ac:dyDescent="0.2">
      <c r="A4742" s="1" t="s">
        <v>1108</v>
      </c>
    </row>
    <row r="4743" spans="1:1" x14ac:dyDescent="0.2">
      <c r="A4743" s="1" t="s">
        <v>1109</v>
      </c>
    </row>
    <row r="4744" spans="1:1" x14ac:dyDescent="0.2">
      <c r="A4744" s="1" t="s">
        <v>1110</v>
      </c>
    </row>
    <row r="4745" spans="1:1" x14ac:dyDescent="0.2">
      <c r="A4745" s="1" t="s">
        <v>1111</v>
      </c>
    </row>
    <row r="4746" spans="1:1" x14ac:dyDescent="0.2">
      <c r="A4746" s="1" t="s">
        <v>1112</v>
      </c>
    </row>
    <row r="4747" spans="1:1" x14ac:dyDescent="0.2">
      <c r="A4747" s="1" t="s">
        <v>1113</v>
      </c>
    </row>
    <row r="4748" spans="1:1" x14ac:dyDescent="0.2">
      <c r="A4748" s="1" t="s">
        <v>1104</v>
      </c>
    </row>
    <row r="4749" spans="1:1" x14ac:dyDescent="0.2">
      <c r="A4749" s="1" t="s">
        <v>1105</v>
      </c>
    </row>
    <row r="4750" spans="1:1" x14ac:dyDescent="0.2">
      <c r="A4750" s="1" t="s">
        <v>1104</v>
      </c>
    </row>
    <row r="4751" spans="1:1" x14ac:dyDescent="0.2">
      <c r="A4751" s="1" t="s">
        <v>1105</v>
      </c>
    </row>
    <row r="4752" spans="1:1" x14ac:dyDescent="0.2">
      <c r="A4752" s="1" t="s">
        <v>1104</v>
      </c>
    </row>
    <row r="4753" spans="1:1" x14ac:dyDescent="0.2">
      <c r="A4753" s="1" t="s">
        <v>1105</v>
      </c>
    </row>
    <row r="4754" spans="1:1" x14ac:dyDescent="0.2">
      <c r="A4754" s="1" t="s">
        <v>1106</v>
      </c>
    </row>
    <row r="4755" spans="1:1" x14ac:dyDescent="0.2">
      <c r="A4755" s="1" t="s">
        <v>1107</v>
      </c>
    </row>
    <row r="4756" spans="1:1" x14ac:dyDescent="0.2">
      <c r="A4756" s="1" t="s">
        <v>1108</v>
      </c>
    </row>
    <row r="4757" spans="1:1" x14ac:dyDescent="0.2">
      <c r="A4757" s="1" t="s">
        <v>1109</v>
      </c>
    </row>
    <row r="4758" spans="1:1" x14ac:dyDescent="0.2">
      <c r="A4758" s="1" t="s">
        <v>1110</v>
      </c>
    </row>
    <row r="4759" spans="1:1" x14ac:dyDescent="0.2">
      <c r="A4759" s="1" t="s">
        <v>1111</v>
      </c>
    </row>
    <row r="4760" spans="1:1" x14ac:dyDescent="0.2">
      <c r="A4760" s="1" t="s">
        <v>1112</v>
      </c>
    </row>
    <row r="4761" spans="1:1" x14ac:dyDescent="0.2">
      <c r="A4761" s="1" t="s">
        <v>1113</v>
      </c>
    </row>
    <row r="4762" spans="1:1" x14ac:dyDescent="0.2">
      <c r="A4762" s="1" t="s">
        <v>1104</v>
      </c>
    </row>
    <row r="4763" spans="1:1" x14ac:dyDescent="0.2">
      <c r="A4763" s="1" t="s">
        <v>1105</v>
      </c>
    </row>
    <row r="4764" spans="1:1" x14ac:dyDescent="0.2">
      <c r="A4764" s="1" t="s">
        <v>1114</v>
      </c>
    </row>
    <row r="4765" spans="1:1" x14ac:dyDescent="0.2">
      <c r="A4765" s="1" t="s">
        <v>1115</v>
      </c>
    </row>
    <row r="4766" spans="1:1" x14ac:dyDescent="0.2">
      <c r="A4766" s="1" t="s">
        <v>1104</v>
      </c>
    </row>
    <row r="4767" spans="1:1" x14ac:dyDescent="0.2">
      <c r="A4767" s="1" t="s">
        <v>1105</v>
      </c>
    </row>
    <row r="4768" spans="1:1" x14ac:dyDescent="0.2">
      <c r="A4768" s="1" t="s">
        <v>1116</v>
      </c>
    </row>
    <row r="4769" spans="1:1" x14ac:dyDescent="0.2">
      <c r="A4769" s="1" t="s">
        <v>1117</v>
      </c>
    </row>
    <row r="4770" spans="1:1" x14ac:dyDescent="0.2">
      <c r="A4770" s="1" t="s">
        <v>1118</v>
      </c>
    </row>
    <row r="4771" spans="1:1" x14ac:dyDescent="0.2">
      <c r="A4771" s="1" t="s">
        <v>1119</v>
      </c>
    </row>
    <row r="4772" spans="1:1" x14ac:dyDescent="0.2">
      <c r="A4772" s="1" t="s">
        <v>1120</v>
      </c>
    </row>
    <row r="4773" spans="1:1" x14ac:dyDescent="0.2">
      <c r="A4773" s="1" t="s">
        <v>1121</v>
      </c>
    </row>
    <row r="4774" spans="1:1" x14ac:dyDescent="0.2">
      <c r="A4774" s="1" t="s">
        <v>1122</v>
      </c>
    </row>
    <row r="4775" spans="1:1" x14ac:dyDescent="0.2">
      <c r="A4775" s="1" t="s">
        <v>1123</v>
      </c>
    </row>
    <row r="4776" spans="1:1" x14ac:dyDescent="0.2">
      <c r="A4776" s="1" t="s">
        <v>1114</v>
      </c>
    </row>
    <row r="4777" spans="1:1" x14ac:dyDescent="0.2">
      <c r="A4777" s="1" t="s">
        <v>1124</v>
      </c>
    </row>
    <row r="4778" spans="1:1" x14ac:dyDescent="0.2">
      <c r="A4778" s="1" t="s">
        <v>1104</v>
      </c>
    </row>
    <row r="4779" spans="1:1" x14ac:dyDescent="0.2">
      <c r="A4779" s="1" t="s">
        <v>1105</v>
      </c>
    </row>
    <row r="4780" spans="1:1" x14ac:dyDescent="0.2">
      <c r="A4780" s="1" t="s">
        <v>1116</v>
      </c>
    </row>
    <row r="4781" spans="1:1" x14ac:dyDescent="0.2">
      <c r="A4781" s="1" t="s">
        <v>1117</v>
      </c>
    </row>
    <row r="4782" spans="1:1" x14ac:dyDescent="0.2">
      <c r="A4782" s="1" t="s">
        <v>1125</v>
      </c>
    </row>
    <row r="4783" spans="1:1" x14ac:dyDescent="0.2">
      <c r="A4783" s="1" t="s">
        <v>1119</v>
      </c>
    </row>
    <row r="4784" spans="1:1" x14ac:dyDescent="0.2">
      <c r="A4784" s="1" t="s">
        <v>1120</v>
      </c>
    </row>
    <row r="4785" spans="1:1" x14ac:dyDescent="0.2">
      <c r="A4785" s="1" t="s">
        <v>1121</v>
      </c>
    </row>
    <row r="4786" spans="1:1" x14ac:dyDescent="0.2">
      <c r="A4786" s="1" t="s">
        <v>1122</v>
      </c>
    </row>
    <row r="4787" spans="1:1" x14ac:dyDescent="0.2">
      <c r="A4787" s="1" t="s">
        <v>1123</v>
      </c>
    </row>
    <row r="4788" spans="1:1" x14ac:dyDescent="0.2">
      <c r="A4788" s="1" t="s">
        <v>1114</v>
      </c>
    </row>
    <row r="4789" spans="1:1" x14ac:dyDescent="0.2">
      <c r="A4789" s="1" t="s">
        <v>1126</v>
      </c>
    </row>
    <row r="4790" spans="1:1" x14ac:dyDescent="0.2">
      <c r="A4790" s="1" t="s">
        <v>1104</v>
      </c>
    </row>
    <row r="4791" spans="1:1" x14ac:dyDescent="0.2">
      <c r="A4791" s="1" t="s">
        <v>1105</v>
      </c>
    </row>
    <row r="4792" spans="1:1" x14ac:dyDescent="0.2">
      <c r="A4792" s="1" t="s">
        <v>1116</v>
      </c>
    </row>
    <row r="4793" spans="1:1" x14ac:dyDescent="0.2">
      <c r="A4793" s="1" t="s">
        <v>1117</v>
      </c>
    </row>
    <row r="4794" spans="1:1" x14ac:dyDescent="0.2">
      <c r="A4794" s="1" t="s">
        <v>1127</v>
      </c>
    </row>
    <row r="4795" spans="1:1" x14ac:dyDescent="0.2">
      <c r="A4795" s="1" t="s">
        <v>1119</v>
      </c>
    </row>
    <row r="4796" spans="1:1" x14ac:dyDescent="0.2">
      <c r="A4796" s="1" t="s">
        <v>1120</v>
      </c>
    </row>
    <row r="4797" spans="1:1" x14ac:dyDescent="0.2">
      <c r="A4797" s="1" t="s">
        <v>1121</v>
      </c>
    </row>
    <row r="4798" spans="1:1" x14ac:dyDescent="0.2">
      <c r="A4798" s="1" t="s">
        <v>1122</v>
      </c>
    </row>
    <row r="4799" spans="1:1" x14ac:dyDescent="0.2">
      <c r="A4799" s="1" t="s">
        <v>1123</v>
      </c>
    </row>
    <row r="4800" spans="1:1" x14ac:dyDescent="0.2">
      <c r="A4800" s="1" t="s">
        <v>1114</v>
      </c>
    </row>
    <row r="4801" spans="1:1" x14ac:dyDescent="0.2">
      <c r="A4801" s="1" t="s">
        <v>1128</v>
      </c>
    </row>
    <row r="4802" spans="1:1" x14ac:dyDescent="0.2">
      <c r="A4802" s="1" t="s">
        <v>1104</v>
      </c>
    </row>
    <row r="4803" spans="1:1" x14ac:dyDescent="0.2">
      <c r="A4803" s="1" t="s">
        <v>1105</v>
      </c>
    </row>
    <row r="4804" spans="1:1" x14ac:dyDescent="0.2">
      <c r="A4804" s="1" t="s">
        <v>1116</v>
      </c>
    </row>
    <row r="4805" spans="1:1" x14ac:dyDescent="0.2">
      <c r="A4805" s="1" t="s">
        <v>1117</v>
      </c>
    </row>
    <row r="4806" spans="1:1" x14ac:dyDescent="0.2">
      <c r="A4806" s="1" t="s">
        <v>1129</v>
      </c>
    </row>
    <row r="4807" spans="1:1" x14ac:dyDescent="0.2">
      <c r="A4807" s="1" t="s">
        <v>1119</v>
      </c>
    </row>
    <row r="4808" spans="1:1" x14ac:dyDescent="0.2">
      <c r="A4808" s="1" t="s">
        <v>1120</v>
      </c>
    </row>
    <row r="4809" spans="1:1" x14ac:dyDescent="0.2">
      <c r="A4809" s="1" t="s">
        <v>1121</v>
      </c>
    </row>
    <row r="4810" spans="1:1" x14ac:dyDescent="0.2">
      <c r="A4810" s="1" t="s">
        <v>1122</v>
      </c>
    </row>
    <row r="4811" spans="1:1" x14ac:dyDescent="0.2">
      <c r="A4811" s="1" t="s">
        <v>1123</v>
      </c>
    </row>
    <row r="4812" spans="1:1" x14ac:dyDescent="0.2">
      <c r="A4812" s="1" t="s">
        <v>1114</v>
      </c>
    </row>
    <row r="4813" spans="1:1" x14ac:dyDescent="0.2">
      <c r="A4813" s="1" t="s">
        <v>1130</v>
      </c>
    </row>
    <row r="4814" spans="1:1" x14ac:dyDescent="0.2">
      <c r="A4814" s="1" t="s">
        <v>1104</v>
      </c>
    </row>
    <row r="4815" spans="1:1" x14ac:dyDescent="0.2">
      <c r="A4815" s="1" t="s">
        <v>1105</v>
      </c>
    </row>
    <row r="4816" spans="1:1" x14ac:dyDescent="0.2">
      <c r="A4816" s="1" t="s">
        <v>1116</v>
      </c>
    </row>
    <row r="4817" spans="1:1" x14ac:dyDescent="0.2">
      <c r="A4817" s="1" t="s">
        <v>1117</v>
      </c>
    </row>
    <row r="4818" spans="1:1" x14ac:dyDescent="0.2">
      <c r="A4818" s="1" t="s">
        <v>1131</v>
      </c>
    </row>
    <row r="4819" spans="1:1" x14ac:dyDescent="0.2">
      <c r="A4819" s="1" t="s">
        <v>1119</v>
      </c>
    </row>
    <row r="4820" spans="1:1" x14ac:dyDescent="0.2">
      <c r="A4820" s="1" t="s">
        <v>1120</v>
      </c>
    </row>
    <row r="4821" spans="1:1" x14ac:dyDescent="0.2">
      <c r="A4821" s="1" t="s">
        <v>1121</v>
      </c>
    </row>
    <row r="4822" spans="1:1" x14ac:dyDescent="0.2">
      <c r="A4822" s="1" t="s">
        <v>1122</v>
      </c>
    </row>
    <row r="4823" spans="1:1" x14ac:dyDescent="0.2">
      <c r="A4823" s="1" t="s">
        <v>1123</v>
      </c>
    </row>
    <row r="4824" spans="1:1" x14ac:dyDescent="0.2">
      <c r="A4824" s="1" t="s">
        <v>1114</v>
      </c>
    </row>
    <row r="4825" spans="1:1" x14ac:dyDescent="0.2">
      <c r="A4825" s="1" t="s">
        <v>1132</v>
      </c>
    </row>
    <row r="4826" spans="1:1" x14ac:dyDescent="0.2">
      <c r="A4826" s="1" t="s">
        <v>1104</v>
      </c>
    </row>
    <row r="4827" spans="1:1" x14ac:dyDescent="0.2">
      <c r="A4827" s="1" t="s">
        <v>1105</v>
      </c>
    </row>
    <row r="4828" spans="1:1" x14ac:dyDescent="0.2">
      <c r="A4828" s="1" t="s">
        <v>1116</v>
      </c>
    </row>
    <row r="4829" spans="1:1" x14ac:dyDescent="0.2">
      <c r="A4829" s="1" t="s">
        <v>1117</v>
      </c>
    </row>
    <row r="4830" spans="1:1" x14ac:dyDescent="0.2">
      <c r="A4830" s="1" t="s">
        <v>1133</v>
      </c>
    </row>
    <row r="4831" spans="1:1" x14ac:dyDescent="0.2">
      <c r="A4831" s="1" t="s">
        <v>1119</v>
      </c>
    </row>
    <row r="4832" spans="1:1" x14ac:dyDescent="0.2">
      <c r="A4832" s="1" t="s">
        <v>1120</v>
      </c>
    </row>
    <row r="4833" spans="1:1" x14ac:dyDescent="0.2">
      <c r="A4833" s="1" t="s">
        <v>1121</v>
      </c>
    </row>
    <row r="4834" spans="1:1" x14ac:dyDescent="0.2">
      <c r="A4834" s="1" t="s">
        <v>1122</v>
      </c>
    </row>
    <row r="4835" spans="1:1" x14ac:dyDescent="0.2">
      <c r="A4835" s="1" t="s">
        <v>1123</v>
      </c>
    </row>
    <row r="4836" spans="1:1" x14ac:dyDescent="0.2">
      <c r="A4836" s="1" t="s">
        <v>1134</v>
      </c>
    </row>
    <row r="4837" spans="1:1" x14ac:dyDescent="0.2">
      <c r="A4837" s="1" t="s">
        <v>1135</v>
      </c>
    </row>
    <row r="4838" spans="1:1" x14ac:dyDescent="0.2">
      <c r="A4838" s="1" t="s">
        <v>1136</v>
      </c>
    </row>
    <row r="4839" spans="1:1" x14ac:dyDescent="0.2">
      <c r="A4839" s="1" t="s">
        <v>1137</v>
      </c>
    </row>
    <row r="4840" spans="1:1" x14ac:dyDescent="0.2">
      <c r="A4840" s="1" t="s">
        <v>1138</v>
      </c>
    </row>
    <row r="4841" spans="1:1" x14ac:dyDescent="0.2">
      <c r="A4841" s="1" t="s">
        <v>1139</v>
      </c>
    </row>
    <row r="4842" spans="1:1" x14ac:dyDescent="0.2">
      <c r="A4842" s="1" t="s">
        <v>1140</v>
      </c>
    </row>
    <row r="4843" spans="1:1" x14ac:dyDescent="0.2">
      <c r="A4843" s="1" t="s">
        <v>1141</v>
      </c>
    </row>
    <row r="4844" spans="1:1" x14ac:dyDescent="0.2">
      <c r="A4844" s="1" t="s">
        <v>1142</v>
      </c>
    </row>
    <row r="4845" spans="1:1" x14ac:dyDescent="0.2">
      <c r="A4845" s="1" t="s">
        <v>1143</v>
      </c>
    </row>
    <row r="4846" spans="1:1" x14ac:dyDescent="0.2">
      <c r="A4846" s="1" t="s">
        <v>1144</v>
      </c>
    </row>
    <row r="4847" spans="1:1" x14ac:dyDescent="0.2">
      <c r="A4847" s="1" t="s">
        <v>1145</v>
      </c>
    </row>
    <row r="4848" spans="1:1" x14ac:dyDescent="0.2">
      <c r="A4848" s="1" t="s">
        <v>1134</v>
      </c>
    </row>
    <row r="4849" spans="1:1" x14ac:dyDescent="0.2">
      <c r="A4849" s="1" t="s">
        <v>1146</v>
      </c>
    </row>
    <row r="4850" spans="1:1" x14ac:dyDescent="0.2">
      <c r="A4850" s="1" t="s">
        <v>1136</v>
      </c>
    </row>
    <row r="4851" spans="1:1" x14ac:dyDescent="0.2">
      <c r="A4851" s="1" t="s">
        <v>1137</v>
      </c>
    </row>
    <row r="4852" spans="1:1" x14ac:dyDescent="0.2">
      <c r="A4852" s="1" t="s">
        <v>1138</v>
      </c>
    </row>
    <row r="4853" spans="1:1" x14ac:dyDescent="0.2">
      <c r="A4853" s="1" t="s">
        <v>1139</v>
      </c>
    </row>
    <row r="4854" spans="1:1" x14ac:dyDescent="0.2">
      <c r="A4854" s="1" t="s">
        <v>1147</v>
      </c>
    </row>
    <row r="4855" spans="1:1" x14ac:dyDescent="0.2">
      <c r="A4855" s="1" t="s">
        <v>1141</v>
      </c>
    </row>
    <row r="4856" spans="1:1" x14ac:dyDescent="0.2">
      <c r="A4856" s="1" t="s">
        <v>1142</v>
      </c>
    </row>
    <row r="4857" spans="1:1" x14ac:dyDescent="0.2">
      <c r="A4857" s="1" t="s">
        <v>1143</v>
      </c>
    </row>
    <row r="4858" spans="1:1" x14ac:dyDescent="0.2">
      <c r="A4858" s="1" t="s">
        <v>1144</v>
      </c>
    </row>
    <row r="4859" spans="1:1" x14ac:dyDescent="0.2">
      <c r="A4859" s="1" t="s">
        <v>1145</v>
      </c>
    </row>
    <row r="4860" spans="1:1" x14ac:dyDescent="0.2">
      <c r="A4860" s="1" t="s">
        <v>1134</v>
      </c>
    </row>
    <row r="4861" spans="1:1" x14ac:dyDescent="0.2">
      <c r="A4861" s="1" t="s">
        <v>1148</v>
      </c>
    </row>
    <row r="4862" spans="1:1" x14ac:dyDescent="0.2">
      <c r="A4862" s="1" t="s">
        <v>1136</v>
      </c>
    </row>
    <row r="4863" spans="1:1" x14ac:dyDescent="0.2">
      <c r="A4863" s="1" t="s">
        <v>1137</v>
      </c>
    </row>
    <row r="4864" spans="1:1" x14ac:dyDescent="0.2">
      <c r="A4864" s="1" t="s">
        <v>1138</v>
      </c>
    </row>
    <row r="4865" spans="1:1" x14ac:dyDescent="0.2">
      <c r="A4865" s="1" t="s">
        <v>1139</v>
      </c>
    </row>
    <row r="4866" spans="1:1" x14ac:dyDescent="0.2">
      <c r="A4866" s="1" t="s">
        <v>1149</v>
      </c>
    </row>
    <row r="4867" spans="1:1" x14ac:dyDescent="0.2">
      <c r="A4867" s="1" t="s">
        <v>1141</v>
      </c>
    </row>
    <row r="4868" spans="1:1" x14ac:dyDescent="0.2">
      <c r="A4868" s="1" t="s">
        <v>1142</v>
      </c>
    </row>
    <row r="4869" spans="1:1" x14ac:dyDescent="0.2">
      <c r="A4869" s="1" t="s">
        <v>1143</v>
      </c>
    </row>
    <row r="4870" spans="1:1" x14ac:dyDescent="0.2">
      <c r="A4870" s="1" t="s">
        <v>1144</v>
      </c>
    </row>
    <row r="4871" spans="1:1" x14ac:dyDescent="0.2">
      <c r="A4871" s="1" t="s">
        <v>1145</v>
      </c>
    </row>
    <row r="4872" spans="1:1" x14ac:dyDescent="0.2">
      <c r="A4872" s="1" t="s">
        <v>1134</v>
      </c>
    </row>
    <row r="4873" spans="1:1" x14ac:dyDescent="0.2">
      <c r="A4873" s="1" t="s">
        <v>1150</v>
      </c>
    </row>
    <row r="4874" spans="1:1" x14ac:dyDescent="0.2">
      <c r="A4874" s="1" t="s">
        <v>1136</v>
      </c>
    </row>
    <row r="4875" spans="1:1" x14ac:dyDescent="0.2">
      <c r="A4875" s="1" t="s">
        <v>1137</v>
      </c>
    </row>
    <row r="4876" spans="1:1" x14ac:dyDescent="0.2">
      <c r="A4876" s="1" t="s">
        <v>1138</v>
      </c>
    </row>
    <row r="4877" spans="1:1" x14ac:dyDescent="0.2">
      <c r="A4877" s="1" t="s">
        <v>1139</v>
      </c>
    </row>
    <row r="4878" spans="1:1" x14ac:dyDescent="0.2">
      <c r="A4878" s="1" t="s">
        <v>1151</v>
      </c>
    </row>
    <row r="4879" spans="1:1" x14ac:dyDescent="0.2">
      <c r="A4879" s="1" t="s">
        <v>1141</v>
      </c>
    </row>
    <row r="4880" spans="1:1" x14ac:dyDescent="0.2">
      <c r="A4880" s="1" t="s">
        <v>1142</v>
      </c>
    </row>
    <row r="4881" spans="1:1" x14ac:dyDescent="0.2">
      <c r="A4881" s="1" t="s">
        <v>1143</v>
      </c>
    </row>
    <row r="4882" spans="1:1" x14ac:dyDescent="0.2">
      <c r="A4882" s="1" t="s">
        <v>1144</v>
      </c>
    </row>
    <row r="4883" spans="1:1" x14ac:dyDescent="0.2">
      <c r="A4883" s="1" t="s">
        <v>1145</v>
      </c>
    </row>
    <row r="4884" spans="1:1" x14ac:dyDescent="0.2">
      <c r="A4884" s="1" t="s">
        <v>1134</v>
      </c>
    </row>
    <row r="4885" spans="1:1" x14ac:dyDescent="0.2">
      <c r="A4885" s="1" t="s">
        <v>1152</v>
      </c>
    </row>
    <row r="4886" spans="1:1" x14ac:dyDescent="0.2">
      <c r="A4886" s="1" t="s">
        <v>1136</v>
      </c>
    </row>
    <row r="4887" spans="1:1" x14ac:dyDescent="0.2">
      <c r="A4887" s="1" t="s">
        <v>1137</v>
      </c>
    </row>
    <row r="4888" spans="1:1" x14ac:dyDescent="0.2">
      <c r="A4888" s="1" t="s">
        <v>1138</v>
      </c>
    </row>
    <row r="4889" spans="1:1" x14ac:dyDescent="0.2">
      <c r="A4889" s="1" t="s">
        <v>1139</v>
      </c>
    </row>
    <row r="4890" spans="1:1" x14ac:dyDescent="0.2">
      <c r="A4890" s="1" t="s">
        <v>1153</v>
      </c>
    </row>
    <row r="4891" spans="1:1" x14ac:dyDescent="0.2">
      <c r="A4891" s="1" t="s">
        <v>1141</v>
      </c>
    </row>
    <row r="4892" spans="1:1" x14ac:dyDescent="0.2">
      <c r="A4892" s="1" t="s">
        <v>1142</v>
      </c>
    </row>
    <row r="4893" spans="1:1" x14ac:dyDescent="0.2">
      <c r="A4893" s="1" t="s">
        <v>1143</v>
      </c>
    </row>
    <row r="4894" spans="1:1" x14ac:dyDescent="0.2">
      <c r="A4894" s="1" t="s">
        <v>1144</v>
      </c>
    </row>
    <row r="4895" spans="1:1" x14ac:dyDescent="0.2">
      <c r="A4895" s="1" t="s">
        <v>1145</v>
      </c>
    </row>
    <row r="4896" spans="1:1" x14ac:dyDescent="0.2">
      <c r="A4896" s="1" t="s">
        <v>1134</v>
      </c>
    </row>
    <row r="4897" spans="1:1" x14ac:dyDescent="0.2">
      <c r="A4897" s="1" t="s">
        <v>1154</v>
      </c>
    </row>
    <row r="4898" spans="1:1" x14ac:dyDescent="0.2">
      <c r="A4898" s="1" t="s">
        <v>1136</v>
      </c>
    </row>
    <row r="4899" spans="1:1" x14ac:dyDescent="0.2">
      <c r="A4899" s="1" t="s">
        <v>1137</v>
      </c>
    </row>
    <row r="4900" spans="1:1" x14ac:dyDescent="0.2">
      <c r="A4900" s="1" t="s">
        <v>1138</v>
      </c>
    </row>
    <row r="4901" spans="1:1" x14ac:dyDescent="0.2">
      <c r="A4901" s="1" t="s">
        <v>1139</v>
      </c>
    </row>
    <row r="4902" spans="1:1" x14ac:dyDescent="0.2">
      <c r="A4902" s="1" t="s">
        <v>1155</v>
      </c>
    </row>
    <row r="4903" spans="1:1" x14ac:dyDescent="0.2">
      <c r="A4903" s="1" t="s">
        <v>1141</v>
      </c>
    </row>
    <row r="4904" spans="1:1" x14ac:dyDescent="0.2">
      <c r="A4904" s="1" t="s">
        <v>1142</v>
      </c>
    </row>
    <row r="4905" spans="1:1" x14ac:dyDescent="0.2">
      <c r="A4905" s="1" t="s">
        <v>1143</v>
      </c>
    </row>
    <row r="4906" spans="1:1" x14ac:dyDescent="0.2">
      <c r="A4906" s="1" t="s">
        <v>1144</v>
      </c>
    </row>
    <row r="4907" spans="1:1" x14ac:dyDescent="0.2">
      <c r="A4907" s="1" t="s">
        <v>1145</v>
      </c>
    </row>
    <row r="4908" spans="1:1" x14ac:dyDescent="0.2">
      <c r="A4908" s="1" t="s">
        <v>1134</v>
      </c>
    </row>
    <row r="4909" spans="1:1" x14ac:dyDescent="0.2">
      <c r="A4909" s="1" t="s">
        <v>1156</v>
      </c>
    </row>
    <row r="4910" spans="1:1" x14ac:dyDescent="0.2">
      <c r="A4910" s="1" t="s">
        <v>1136</v>
      </c>
    </row>
    <row r="4911" spans="1:1" x14ac:dyDescent="0.2">
      <c r="A4911" s="1" t="s">
        <v>1137</v>
      </c>
    </row>
    <row r="4912" spans="1:1" x14ac:dyDescent="0.2">
      <c r="A4912" s="1" t="s">
        <v>1138</v>
      </c>
    </row>
    <row r="4913" spans="1:1" x14ac:dyDescent="0.2">
      <c r="A4913" s="1" t="s">
        <v>1139</v>
      </c>
    </row>
    <row r="4914" spans="1:1" x14ac:dyDescent="0.2">
      <c r="A4914" s="1" t="s">
        <v>1157</v>
      </c>
    </row>
    <row r="4915" spans="1:1" x14ac:dyDescent="0.2">
      <c r="A4915" s="1" t="s">
        <v>1141</v>
      </c>
    </row>
    <row r="4916" spans="1:1" x14ac:dyDescent="0.2">
      <c r="A4916" s="1" t="s">
        <v>1142</v>
      </c>
    </row>
    <row r="4917" spans="1:1" x14ac:dyDescent="0.2">
      <c r="A4917" s="1" t="s">
        <v>1143</v>
      </c>
    </row>
    <row r="4918" spans="1:1" x14ac:dyDescent="0.2">
      <c r="A4918" s="1" t="s">
        <v>1144</v>
      </c>
    </row>
    <row r="4919" spans="1:1" x14ac:dyDescent="0.2">
      <c r="A4919" s="1" t="s">
        <v>1145</v>
      </c>
    </row>
    <row r="4920" spans="1:1" x14ac:dyDescent="0.2">
      <c r="A4920" s="1" t="s">
        <v>1134</v>
      </c>
    </row>
    <row r="4921" spans="1:1" x14ac:dyDescent="0.2">
      <c r="A4921" s="1" t="s">
        <v>1158</v>
      </c>
    </row>
    <row r="4922" spans="1:1" x14ac:dyDescent="0.2">
      <c r="A4922" s="1" t="s">
        <v>1136</v>
      </c>
    </row>
    <row r="4923" spans="1:1" x14ac:dyDescent="0.2">
      <c r="A4923" s="1" t="s">
        <v>1137</v>
      </c>
    </row>
    <row r="4924" spans="1:1" x14ac:dyDescent="0.2">
      <c r="A4924" s="1" t="s">
        <v>1138</v>
      </c>
    </row>
    <row r="4925" spans="1:1" x14ac:dyDescent="0.2">
      <c r="A4925" s="1" t="s">
        <v>1139</v>
      </c>
    </row>
    <row r="4926" spans="1:1" x14ac:dyDescent="0.2">
      <c r="A4926" s="1" t="s">
        <v>1159</v>
      </c>
    </row>
    <row r="4927" spans="1:1" x14ac:dyDescent="0.2">
      <c r="A4927" s="1" t="s">
        <v>1141</v>
      </c>
    </row>
    <row r="4928" spans="1:1" x14ac:dyDescent="0.2">
      <c r="A4928" s="1" t="s">
        <v>1142</v>
      </c>
    </row>
    <row r="4929" spans="1:1" x14ac:dyDescent="0.2">
      <c r="A4929" s="1" t="s">
        <v>1143</v>
      </c>
    </row>
    <row r="4930" spans="1:1" x14ac:dyDescent="0.2">
      <c r="A4930" s="1" t="s">
        <v>1144</v>
      </c>
    </row>
    <row r="4931" spans="1:1" x14ac:dyDescent="0.2">
      <c r="A4931" s="1" t="s">
        <v>1145</v>
      </c>
    </row>
    <row r="4932" spans="1:1" x14ac:dyDescent="0.2">
      <c r="A4932" s="1" t="s">
        <v>1134</v>
      </c>
    </row>
    <row r="4933" spans="1:1" x14ac:dyDescent="0.2">
      <c r="A4933" s="1" t="s">
        <v>1160</v>
      </c>
    </row>
    <row r="4934" spans="1:1" x14ac:dyDescent="0.2">
      <c r="A4934" s="1" t="s">
        <v>1136</v>
      </c>
    </row>
    <row r="4935" spans="1:1" x14ac:dyDescent="0.2">
      <c r="A4935" s="1" t="s">
        <v>1137</v>
      </c>
    </row>
    <row r="4936" spans="1:1" x14ac:dyDescent="0.2">
      <c r="A4936" s="1" t="s">
        <v>1138</v>
      </c>
    </row>
    <row r="4937" spans="1:1" x14ac:dyDescent="0.2">
      <c r="A4937" s="1" t="s">
        <v>1139</v>
      </c>
    </row>
    <row r="4938" spans="1:1" x14ac:dyDescent="0.2">
      <c r="A4938" s="1" t="s">
        <v>1161</v>
      </c>
    </row>
    <row r="4939" spans="1:1" x14ac:dyDescent="0.2">
      <c r="A4939" s="1" t="s">
        <v>1141</v>
      </c>
    </row>
    <row r="4940" spans="1:1" x14ac:dyDescent="0.2">
      <c r="A4940" s="1" t="s">
        <v>1142</v>
      </c>
    </row>
    <row r="4941" spans="1:1" x14ac:dyDescent="0.2">
      <c r="A4941" s="1" t="s">
        <v>1143</v>
      </c>
    </row>
    <row r="4942" spans="1:1" x14ac:dyDescent="0.2">
      <c r="A4942" s="1" t="s">
        <v>1144</v>
      </c>
    </row>
    <row r="4943" spans="1:1" x14ac:dyDescent="0.2">
      <c r="A4943" s="1" t="s">
        <v>1145</v>
      </c>
    </row>
    <row r="4944" spans="1:1" x14ac:dyDescent="0.2">
      <c r="A4944" s="1" t="s">
        <v>1134</v>
      </c>
    </row>
    <row r="4945" spans="1:1" x14ac:dyDescent="0.2">
      <c r="A4945" s="1" t="s">
        <v>1162</v>
      </c>
    </row>
    <row r="4946" spans="1:1" x14ac:dyDescent="0.2">
      <c r="A4946" s="1" t="s">
        <v>1136</v>
      </c>
    </row>
    <row r="4947" spans="1:1" x14ac:dyDescent="0.2">
      <c r="A4947" s="1" t="s">
        <v>1137</v>
      </c>
    </row>
    <row r="4948" spans="1:1" x14ac:dyDescent="0.2">
      <c r="A4948" s="1" t="s">
        <v>1138</v>
      </c>
    </row>
    <row r="4949" spans="1:1" x14ac:dyDescent="0.2">
      <c r="A4949" s="1" t="s">
        <v>1139</v>
      </c>
    </row>
    <row r="4950" spans="1:1" x14ac:dyDescent="0.2">
      <c r="A4950" s="1" t="s">
        <v>1163</v>
      </c>
    </row>
    <row r="4951" spans="1:1" x14ac:dyDescent="0.2">
      <c r="A4951" s="1" t="s">
        <v>1141</v>
      </c>
    </row>
    <row r="4952" spans="1:1" x14ac:dyDescent="0.2">
      <c r="A4952" s="1" t="s">
        <v>1142</v>
      </c>
    </row>
    <row r="4953" spans="1:1" x14ac:dyDescent="0.2">
      <c r="A4953" s="1" t="s">
        <v>1143</v>
      </c>
    </row>
    <row r="4954" spans="1:1" x14ac:dyDescent="0.2">
      <c r="A4954" s="1" t="s">
        <v>1144</v>
      </c>
    </row>
    <row r="4955" spans="1:1" x14ac:dyDescent="0.2">
      <c r="A4955" s="1" t="s">
        <v>1145</v>
      </c>
    </row>
    <row r="4956" spans="1:1" x14ac:dyDescent="0.2">
      <c r="A4956" s="1" t="s">
        <v>1134</v>
      </c>
    </row>
    <row r="4957" spans="1:1" x14ac:dyDescent="0.2">
      <c r="A4957" s="1" t="s">
        <v>1164</v>
      </c>
    </row>
    <row r="4958" spans="1:1" x14ac:dyDescent="0.2">
      <c r="A4958" s="1" t="s">
        <v>1136</v>
      </c>
    </row>
    <row r="4959" spans="1:1" x14ac:dyDescent="0.2">
      <c r="A4959" s="1" t="s">
        <v>1137</v>
      </c>
    </row>
    <row r="4960" spans="1:1" x14ac:dyDescent="0.2">
      <c r="A4960" s="1" t="s">
        <v>1138</v>
      </c>
    </row>
    <row r="4961" spans="1:1" x14ac:dyDescent="0.2">
      <c r="A4961" s="1" t="s">
        <v>1139</v>
      </c>
    </row>
    <row r="4962" spans="1:1" x14ac:dyDescent="0.2">
      <c r="A4962" s="1" t="s">
        <v>1165</v>
      </c>
    </row>
    <row r="4963" spans="1:1" x14ac:dyDescent="0.2">
      <c r="A4963" s="1" t="s">
        <v>1141</v>
      </c>
    </row>
    <row r="4964" spans="1:1" x14ac:dyDescent="0.2">
      <c r="A4964" s="1" t="s">
        <v>1142</v>
      </c>
    </row>
    <row r="4965" spans="1:1" x14ac:dyDescent="0.2">
      <c r="A4965" s="1" t="s">
        <v>1143</v>
      </c>
    </row>
    <row r="4966" spans="1:1" x14ac:dyDescent="0.2">
      <c r="A4966" s="1" t="s">
        <v>1144</v>
      </c>
    </row>
    <row r="4967" spans="1:1" x14ac:dyDescent="0.2">
      <c r="A4967" s="1" t="s">
        <v>1145</v>
      </c>
    </row>
    <row r="4968" spans="1:1" x14ac:dyDescent="0.2">
      <c r="A4968" s="1" t="s">
        <v>1134</v>
      </c>
    </row>
    <row r="4969" spans="1:1" x14ac:dyDescent="0.2">
      <c r="A4969" s="1" t="s">
        <v>1166</v>
      </c>
    </row>
    <row r="4970" spans="1:1" x14ac:dyDescent="0.2">
      <c r="A4970" s="1" t="s">
        <v>1136</v>
      </c>
    </row>
    <row r="4971" spans="1:1" x14ac:dyDescent="0.2">
      <c r="A4971" s="1" t="s">
        <v>1137</v>
      </c>
    </row>
    <row r="4972" spans="1:1" x14ac:dyDescent="0.2">
      <c r="A4972" s="1" t="s">
        <v>1138</v>
      </c>
    </row>
    <row r="4973" spans="1:1" x14ac:dyDescent="0.2">
      <c r="A4973" s="1" t="s">
        <v>1139</v>
      </c>
    </row>
    <row r="4974" spans="1:1" x14ac:dyDescent="0.2">
      <c r="A4974" s="1" t="s">
        <v>1167</v>
      </c>
    </row>
    <row r="4975" spans="1:1" x14ac:dyDescent="0.2">
      <c r="A4975" s="1" t="s">
        <v>1141</v>
      </c>
    </row>
    <row r="4976" spans="1:1" x14ac:dyDescent="0.2">
      <c r="A4976" s="1" t="s">
        <v>1142</v>
      </c>
    </row>
    <row r="4977" spans="1:1" x14ac:dyDescent="0.2">
      <c r="A4977" s="1" t="s">
        <v>1143</v>
      </c>
    </row>
    <row r="4978" spans="1:1" x14ac:dyDescent="0.2">
      <c r="A4978" s="1" t="s">
        <v>1144</v>
      </c>
    </row>
    <row r="4979" spans="1:1" x14ac:dyDescent="0.2">
      <c r="A4979" s="1" t="s">
        <v>1145</v>
      </c>
    </row>
    <row r="4980" spans="1:1" x14ac:dyDescent="0.2">
      <c r="A4980" s="1" t="s">
        <v>1168</v>
      </c>
    </row>
    <row r="4981" spans="1:1" x14ac:dyDescent="0.2">
      <c r="A4981" s="1" t="s">
        <v>1169</v>
      </c>
    </row>
    <row r="4982" spans="1:1" x14ac:dyDescent="0.2">
      <c r="A4982" s="1" t="s">
        <v>1168</v>
      </c>
    </row>
    <row r="4983" spans="1:1" x14ac:dyDescent="0.2">
      <c r="A4983" s="1" t="s">
        <v>1169</v>
      </c>
    </row>
    <row r="4984" spans="1:1" x14ac:dyDescent="0.2">
      <c r="A4984" s="1" t="s">
        <v>1170</v>
      </c>
    </row>
    <row r="4985" spans="1:1" x14ac:dyDescent="0.2">
      <c r="A4985" s="1" t="s">
        <v>1171</v>
      </c>
    </row>
    <row r="4986" spans="1:1" x14ac:dyDescent="0.2">
      <c r="A4986" s="1" t="s">
        <v>1172</v>
      </c>
    </row>
    <row r="4987" spans="1:1" x14ac:dyDescent="0.2">
      <c r="A4987" s="1" t="s">
        <v>1173</v>
      </c>
    </row>
    <row r="4988" spans="1:1" x14ac:dyDescent="0.2">
      <c r="A4988" s="1" t="s">
        <v>1174</v>
      </c>
    </row>
    <row r="4989" spans="1:1" x14ac:dyDescent="0.2">
      <c r="A4989" s="1" t="s">
        <v>1175</v>
      </c>
    </row>
    <row r="4990" spans="1:1" x14ac:dyDescent="0.2">
      <c r="A4990" s="1" t="s">
        <v>1176</v>
      </c>
    </row>
    <row r="4991" spans="1:1" x14ac:dyDescent="0.2">
      <c r="A4991" s="1" t="s">
        <v>1177</v>
      </c>
    </row>
    <row r="4992" spans="1:1" x14ac:dyDescent="0.2">
      <c r="A4992" s="1" t="s">
        <v>1168</v>
      </c>
    </row>
    <row r="4993" spans="1:1" x14ac:dyDescent="0.2">
      <c r="A4993" s="1" t="s">
        <v>1169</v>
      </c>
    </row>
    <row r="4994" spans="1:1" x14ac:dyDescent="0.2">
      <c r="A4994" s="1" t="s">
        <v>1168</v>
      </c>
    </row>
    <row r="4995" spans="1:1" x14ac:dyDescent="0.2">
      <c r="A4995" s="1" t="s">
        <v>1169</v>
      </c>
    </row>
    <row r="4996" spans="1:1" x14ac:dyDescent="0.2">
      <c r="A4996" s="1" t="s">
        <v>1168</v>
      </c>
    </row>
    <row r="4997" spans="1:1" x14ac:dyDescent="0.2">
      <c r="A4997" s="1" t="s">
        <v>1169</v>
      </c>
    </row>
    <row r="4998" spans="1:1" x14ac:dyDescent="0.2">
      <c r="A4998" s="1" t="s">
        <v>1170</v>
      </c>
    </row>
    <row r="4999" spans="1:1" x14ac:dyDescent="0.2">
      <c r="A4999" s="1" t="s">
        <v>1171</v>
      </c>
    </row>
    <row r="5000" spans="1:1" x14ac:dyDescent="0.2">
      <c r="A5000" s="1" t="s">
        <v>1172</v>
      </c>
    </row>
    <row r="5001" spans="1:1" x14ac:dyDescent="0.2">
      <c r="A5001" s="1" t="s">
        <v>1173</v>
      </c>
    </row>
    <row r="5002" spans="1:1" x14ac:dyDescent="0.2">
      <c r="A5002" s="1" t="s">
        <v>1174</v>
      </c>
    </row>
    <row r="5003" spans="1:1" x14ac:dyDescent="0.2">
      <c r="A5003" s="1" t="s">
        <v>1175</v>
      </c>
    </row>
    <row r="5004" spans="1:1" x14ac:dyDescent="0.2">
      <c r="A5004" s="1" t="s">
        <v>1176</v>
      </c>
    </row>
    <row r="5005" spans="1:1" x14ac:dyDescent="0.2">
      <c r="A5005" s="1" t="s">
        <v>1177</v>
      </c>
    </row>
    <row r="5006" spans="1:1" x14ac:dyDescent="0.2">
      <c r="A5006" s="1" t="s">
        <v>1168</v>
      </c>
    </row>
    <row r="5007" spans="1:1" x14ac:dyDescent="0.2">
      <c r="A5007" s="1" t="s">
        <v>1169</v>
      </c>
    </row>
    <row r="5008" spans="1:1" x14ac:dyDescent="0.2">
      <c r="A5008" s="1" t="s">
        <v>1168</v>
      </c>
    </row>
    <row r="5009" spans="1:1" x14ac:dyDescent="0.2">
      <c r="A5009" s="1" t="s">
        <v>1169</v>
      </c>
    </row>
    <row r="5010" spans="1:1" x14ac:dyDescent="0.2">
      <c r="A5010" s="1" t="s">
        <v>1168</v>
      </c>
    </row>
    <row r="5011" spans="1:1" x14ac:dyDescent="0.2">
      <c r="A5011" s="1" t="s">
        <v>1169</v>
      </c>
    </row>
    <row r="5012" spans="1:1" x14ac:dyDescent="0.2">
      <c r="A5012" s="1" t="s">
        <v>1170</v>
      </c>
    </row>
    <row r="5013" spans="1:1" x14ac:dyDescent="0.2">
      <c r="A5013" s="1" t="s">
        <v>1171</v>
      </c>
    </row>
    <row r="5014" spans="1:1" x14ac:dyDescent="0.2">
      <c r="A5014" s="1" t="s">
        <v>1172</v>
      </c>
    </row>
    <row r="5015" spans="1:1" x14ac:dyDescent="0.2">
      <c r="A5015" s="1" t="s">
        <v>1173</v>
      </c>
    </row>
    <row r="5016" spans="1:1" x14ac:dyDescent="0.2">
      <c r="A5016" s="1" t="s">
        <v>1174</v>
      </c>
    </row>
    <row r="5017" spans="1:1" x14ac:dyDescent="0.2">
      <c r="A5017" s="1" t="s">
        <v>1175</v>
      </c>
    </row>
    <row r="5018" spans="1:1" x14ac:dyDescent="0.2">
      <c r="A5018" s="1" t="s">
        <v>1176</v>
      </c>
    </row>
    <row r="5019" spans="1:1" x14ac:dyDescent="0.2">
      <c r="A5019" s="1" t="s">
        <v>1177</v>
      </c>
    </row>
    <row r="5020" spans="1:1" x14ac:dyDescent="0.2">
      <c r="A5020" s="1" t="s">
        <v>1168</v>
      </c>
    </row>
    <row r="5021" spans="1:1" x14ac:dyDescent="0.2">
      <c r="A5021" s="1" t="s">
        <v>1169</v>
      </c>
    </row>
    <row r="5022" spans="1:1" x14ac:dyDescent="0.2">
      <c r="A5022" s="1" t="s">
        <v>1168</v>
      </c>
    </row>
    <row r="5023" spans="1:1" x14ac:dyDescent="0.2">
      <c r="A5023" s="1" t="s">
        <v>1169</v>
      </c>
    </row>
    <row r="5024" spans="1:1" x14ac:dyDescent="0.2">
      <c r="A5024" s="1" t="s">
        <v>1168</v>
      </c>
    </row>
    <row r="5025" spans="1:1" x14ac:dyDescent="0.2">
      <c r="A5025" s="1" t="s">
        <v>1169</v>
      </c>
    </row>
    <row r="5026" spans="1:1" x14ac:dyDescent="0.2">
      <c r="A5026" s="1" t="s">
        <v>1170</v>
      </c>
    </row>
    <row r="5027" spans="1:1" x14ac:dyDescent="0.2">
      <c r="A5027" s="1" t="s">
        <v>1171</v>
      </c>
    </row>
    <row r="5028" spans="1:1" x14ac:dyDescent="0.2">
      <c r="A5028" s="1" t="s">
        <v>1172</v>
      </c>
    </row>
    <row r="5029" spans="1:1" x14ac:dyDescent="0.2">
      <c r="A5029" s="1" t="s">
        <v>1173</v>
      </c>
    </row>
    <row r="5030" spans="1:1" x14ac:dyDescent="0.2">
      <c r="A5030" s="1" t="s">
        <v>1174</v>
      </c>
    </row>
    <row r="5031" spans="1:1" x14ac:dyDescent="0.2">
      <c r="A5031" s="1" t="s">
        <v>1175</v>
      </c>
    </row>
    <row r="5032" spans="1:1" x14ac:dyDescent="0.2">
      <c r="A5032" s="1" t="s">
        <v>1176</v>
      </c>
    </row>
    <row r="5033" spans="1:1" x14ac:dyDescent="0.2">
      <c r="A5033" s="1" t="s">
        <v>1177</v>
      </c>
    </row>
    <row r="5034" spans="1:1" x14ac:dyDescent="0.2">
      <c r="A5034" s="1" t="s">
        <v>1168</v>
      </c>
    </row>
    <row r="5035" spans="1:1" x14ac:dyDescent="0.2">
      <c r="A5035" s="1" t="s">
        <v>1169</v>
      </c>
    </row>
    <row r="5036" spans="1:1" x14ac:dyDescent="0.2">
      <c r="A5036" s="1" t="s">
        <v>1168</v>
      </c>
    </row>
    <row r="5037" spans="1:1" x14ac:dyDescent="0.2">
      <c r="A5037" s="1" t="s">
        <v>1169</v>
      </c>
    </row>
    <row r="5038" spans="1:1" x14ac:dyDescent="0.2">
      <c r="A5038" s="1" t="s">
        <v>1168</v>
      </c>
    </row>
    <row r="5039" spans="1:1" x14ac:dyDescent="0.2">
      <c r="A5039" s="1" t="s">
        <v>1169</v>
      </c>
    </row>
    <row r="5040" spans="1:1" x14ac:dyDescent="0.2">
      <c r="A5040" s="1" t="s">
        <v>1170</v>
      </c>
    </row>
    <row r="5041" spans="1:1" x14ac:dyDescent="0.2">
      <c r="A5041" s="1" t="s">
        <v>1171</v>
      </c>
    </row>
    <row r="5042" spans="1:1" x14ac:dyDescent="0.2">
      <c r="A5042" s="1" t="s">
        <v>1172</v>
      </c>
    </row>
    <row r="5043" spans="1:1" x14ac:dyDescent="0.2">
      <c r="A5043" s="1" t="s">
        <v>1173</v>
      </c>
    </row>
    <row r="5044" spans="1:1" x14ac:dyDescent="0.2">
      <c r="A5044" s="1" t="s">
        <v>1174</v>
      </c>
    </row>
    <row r="5045" spans="1:1" x14ac:dyDescent="0.2">
      <c r="A5045" s="1" t="s">
        <v>1175</v>
      </c>
    </row>
    <row r="5046" spans="1:1" x14ac:dyDescent="0.2">
      <c r="A5046" s="1" t="s">
        <v>1176</v>
      </c>
    </row>
    <row r="5047" spans="1:1" x14ac:dyDescent="0.2">
      <c r="A5047" s="1" t="s">
        <v>1177</v>
      </c>
    </row>
    <row r="5048" spans="1:1" x14ac:dyDescent="0.2">
      <c r="A5048" s="1" t="s">
        <v>1168</v>
      </c>
    </row>
    <row r="5049" spans="1:1" x14ac:dyDescent="0.2">
      <c r="A5049" s="1" t="s">
        <v>1169</v>
      </c>
    </row>
    <row r="5050" spans="1:1" x14ac:dyDescent="0.2">
      <c r="A5050" s="1" t="s">
        <v>1168</v>
      </c>
    </row>
    <row r="5051" spans="1:1" x14ac:dyDescent="0.2">
      <c r="A5051" s="1" t="s">
        <v>1169</v>
      </c>
    </row>
    <row r="5052" spans="1:1" x14ac:dyDescent="0.2">
      <c r="A5052" s="1" t="s">
        <v>1168</v>
      </c>
    </row>
    <row r="5053" spans="1:1" x14ac:dyDescent="0.2">
      <c r="A5053" s="1" t="s">
        <v>1169</v>
      </c>
    </row>
    <row r="5054" spans="1:1" x14ac:dyDescent="0.2">
      <c r="A5054" s="1" t="s">
        <v>1170</v>
      </c>
    </row>
    <row r="5055" spans="1:1" x14ac:dyDescent="0.2">
      <c r="A5055" s="1" t="s">
        <v>1171</v>
      </c>
    </row>
    <row r="5056" spans="1:1" x14ac:dyDescent="0.2">
      <c r="A5056" s="1" t="s">
        <v>1172</v>
      </c>
    </row>
    <row r="5057" spans="1:1" x14ac:dyDescent="0.2">
      <c r="A5057" s="1" t="s">
        <v>1173</v>
      </c>
    </row>
    <row r="5058" spans="1:1" x14ac:dyDescent="0.2">
      <c r="A5058" s="1" t="s">
        <v>1174</v>
      </c>
    </row>
    <row r="5059" spans="1:1" x14ac:dyDescent="0.2">
      <c r="A5059" s="1" t="s">
        <v>1175</v>
      </c>
    </row>
    <row r="5060" spans="1:1" x14ac:dyDescent="0.2">
      <c r="A5060" s="1" t="s">
        <v>1176</v>
      </c>
    </row>
    <row r="5061" spans="1:1" x14ac:dyDescent="0.2">
      <c r="A5061" s="1" t="s">
        <v>1177</v>
      </c>
    </row>
    <row r="5062" spans="1:1" x14ac:dyDescent="0.2">
      <c r="A5062" s="1" t="s">
        <v>1168</v>
      </c>
    </row>
    <row r="5063" spans="1:1" x14ac:dyDescent="0.2">
      <c r="A5063" s="1" t="s">
        <v>1169</v>
      </c>
    </row>
    <row r="5064" spans="1:1" x14ac:dyDescent="0.2">
      <c r="A5064" s="1" t="s">
        <v>1168</v>
      </c>
    </row>
    <row r="5065" spans="1:1" x14ac:dyDescent="0.2">
      <c r="A5065" s="1" t="s">
        <v>1169</v>
      </c>
    </row>
    <row r="5066" spans="1:1" x14ac:dyDescent="0.2">
      <c r="A5066" s="1" t="s">
        <v>1168</v>
      </c>
    </row>
    <row r="5067" spans="1:1" x14ac:dyDescent="0.2">
      <c r="A5067" s="1" t="s">
        <v>1169</v>
      </c>
    </row>
    <row r="5068" spans="1:1" x14ac:dyDescent="0.2">
      <c r="A5068" s="1" t="s">
        <v>1170</v>
      </c>
    </row>
    <row r="5069" spans="1:1" x14ac:dyDescent="0.2">
      <c r="A5069" s="1" t="s">
        <v>1171</v>
      </c>
    </row>
    <row r="5070" spans="1:1" x14ac:dyDescent="0.2">
      <c r="A5070" s="1" t="s">
        <v>1172</v>
      </c>
    </row>
    <row r="5071" spans="1:1" x14ac:dyDescent="0.2">
      <c r="A5071" s="1" t="s">
        <v>1173</v>
      </c>
    </row>
    <row r="5072" spans="1:1" x14ac:dyDescent="0.2">
      <c r="A5072" s="1" t="s">
        <v>1174</v>
      </c>
    </row>
    <row r="5073" spans="1:1" x14ac:dyDescent="0.2">
      <c r="A5073" s="1" t="s">
        <v>1175</v>
      </c>
    </row>
    <row r="5074" spans="1:1" x14ac:dyDescent="0.2">
      <c r="A5074" s="1" t="s">
        <v>1176</v>
      </c>
    </row>
    <row r="5075" spans="1:1" x14ac:dyDescent="0.2">
      <c r="A5075" s="1" t="s">
        <v>1178</v>
      </c>
    </row>
    <row r="5076" spans="1:1" x14ac:dyDescent="0.2">
      <c r="A5076" s="1" t="s">
        <v>1179</v>
      </c>
    </row>
    <row r="5077" spans="1:1" x14ac:dyDescent="0.2">
      <c r="A5077" s="1" t="s">
        <v>1180</v>
      </c>
    </row>
    <row r="5078" spans="1:1" x14ac:dyDescent="0.2">
      <c r="A5078" s="1" t="s">
        <v>1181</v>
      </c>
    </row>
    <row r="5079" spans="1:1" x14ac:dyDescent="0.2">
      <c r="A5079" s="1" t="s">
        <v>1182</v>
      </c>
    </row>
    <row r="5080" spans="1:1" x14ac:dyDescent="0.2">
      <c r="A5080" s="1" t="s">
        <v>1181</v>
      </c>
    </row>
    <row r="5081" spans="1:1" x14ac:dyDescent="0.2">
      <c r="A5081" s="1" t="s">
        <v>1182</v>
      </c>
    </row>
    <row r="5082" spans="1:1" x14ac:dyDescent="0.2">
      <c r="A5082" s="1" t="s">
        <v>1183</v>
      </c>
    </row>
    <row r="5083" spans="1:1" x14ac:dyDescent="0.2">
      <c r="A5083" s="1" t="s">
        <v>1184</v>
      </c>
    </row>
    <row r="5084" spans="1:1" x14ac:dyDescent="0.2">
      <c r="A5084" s="1" t="s">
        <v>1185</v>
      </c>
    </row>
    <row r="5085" spans="1:1" x14ac:dyDescent="0.2">
      <c r="A5085" s="1" t="s">
        <v>1186</v>
      </c>
    </row>
    <row r="5086" spans="1:1" x14ac:dyDescent="0.2">
      <c r="A5086" s="1" t="s">
        <v>1187</v>
      </c>
    </row>
    <row r="5087" spans="1:1" x14ac:dyDescent="0.2">
      <c r="A5087" s="1" t="s">
        <v>1188</v>
      </c>
    </row>
    <row r="5088" spans="1:1" x14ac:dyDescent="0.2">
      <c r="A5088" s="1" t="s">
        <v>1189</v>
      </c>
    </row>
    <row r="5089" spans="1:1" x14ac:dyDescent="0.2">
      <c r="A5089" s="1" t="s">
        <v>1190</v>
      </c>
    </row>
    <row r="5090" spans="1:1" x14ac:dyDescent="0.2">
      <c r="A5090" s="1" t="s">
        <v>1181</v>
      </c>
    </row>
    <row r="5091" spans="1:1" x14ac:dyDescent="0.2">
      <c r="A5091" s="1" t="s">
        <v>1182</v>
      </c>
    </row>
    <row r="5092" spans="1:1" x14ac:dyDescent="0.2">
      <c r="A5092" s="1" t="s">
        <v>1181</v>
      </c>
    </row>
    <row r="5093" spans="1:1" x14ac:dyDescent="0.2">
      <c r="A5093" s="1" t="s">
        <v>1182</v>
      </c>
    </row>
    <row r="5094" spans="1:1" x14ac:dyDescent="0.2">
      <c r="A5094" s="1" t="s">
        <v>1181</v>
      </c>
    </row>
    <row r="5095" spans="1:1" x14ac:dyDescent="0.2">
      <c r="A5095" s="1" t="s">
        <v>1182</v>
      </c>
    </row>
    <row r="5096" spans="1:1" x14ac:dyDescent="0.2">
      <c r="A5096" s="1" t="s">
        <v>1183</v>
      </c>
    </row>
    <row r="5097" spans="1:1" x14ac:dyDescent="0.2">
      <c r="A5097" s="1" t="s">
        <v>1184</v>
      </c>
    </row>
    <row r="5098" spans="1:1" x14ac:dyDescent="0.2">
      <c r="A5098" s="1" t="s">
        <v>1185</v>
      </c>
    </row>
    <row r="5099" spans="1:1" x14ac:dyDescent="0.2">
      <c r="A5099" s="1" t="s">
        <v>1186</v>
      </c>
    </row>
    <row r="5100" spans="1:1" x14ac:dyDescent="0.2">
      <c r="A5100" s="1" t="s">
        <v>1187</v>
      </c>
    </row>
    <row r="5101" spans="1:1" x14ac:dyDescent="0.2">
      <c r="A5101" s="1" t="s">
        <v>1188</v>
      </c>
    </row>
    <row r="5102" spans="1:1" x14ac:dyDescent="0.2">
      <c r="A5102" s="1" t="s">
        <v>1189</v>
      </c>
    </row>
    <row r="5103" spans="1:1" x14ac:dyDescent="0.2">
      <c r="A5103" s="1" t="s">
        <v>1190</v>
      </c>
    </row>
    <row r="5104" spans="1:1" x14ac:dyDescent="0.2">
      <c r="A5104" s="1" t="s">
        <v>1181</v>
      </c>
    </row>
    <row r="5105" spans="1:1" x14ac:dyDescent="0.2">
      <c r="A5105" s="1" t="s">
        <v>1182</v>
      </c>
    </row>
    <row r="5106" spans="1:1" x14ac:dyDescent="0.2">
      <c r="A5106" s="1" t="s">
        <v>1181</v>
      </c>
    </row>
    <row r="5107" spans="1:1" x14ac:dyDescent="0.2">
      <c r="A5107" s="1" t="s">
        <v>1182</v>
      </c>
    </row>
    <row r="5108" spans="1:1" x14ac:dyDescent="0.2">
      <c r="A5108" s="1" t="s">
        <v>1181</v>
      </c>
    </row>
    <row r="5109" spans="1:1" x14ac:dyDescent="0.2">
      <c r="A5109" s="1" t="s">
        <v>1182</v>
      </c>
    </row>
    <row r="5110" spans="1:1" x14ac:dyDescent="0.2">
      <c r="A5110" s="1" t="s">
        <v>1183</v>
      </c>
    </row>
    <row r="5111" spans="1:1" x14ac:dyDescent="0.2">
      <c r="A5111" s="1" t="s">
        <v>1184</v>
      </c>
    </row>
    <row r="5112" spans="1:1" x14ac:dyDescent="0.2">
      <c r="A5112" s="1" t="s">
        <v>1185</v>
      </c>
    </row>
    <row r="5113" spans="1:1" x14ac:dyDescent="0.2">
      <c r="A5113" s="1" t="s">
        <v>1186</v>
      </c>
    </row>
    <row r="5114" spans="1:1" x14ac:dyDescent="0.2">
      <c r="A5114" s="1" t="s">
        <v>1187</v>
      </c>
    </row>
    <row r="5115" spans="1:1" x14ac:dyDescent="0.2">
      <c r="A5115" s="1" t="s">
        <v>1188</v>
      </c>
    </row>
    <row r="5116" spans="1:1" x14ac:dyDescent="0.2">
      <c r="A5116" s="1" t="s">
        <v>1189</v>
      </c>
    </row>
    <row r="5117" spans="1:1" x14ac:dyDescent="0.2">
      <c r="A5117" s="1" t="s">
        <v>1190</v>
      </c>
    </row>
    <row r="5118" spans="1:1" x14ac:dyDescent="0.2">
      <c r="A5118" s="1" t="s">
        <v>1181</v>
      </c>
    </row>
    <row r="5119" spans="1:1" x14ac:dyDescent="0.2">
      <c r="A5119" s="1" t="s">
        <v>1182</v>
      </c>
    </row>
    <row r="5120" spans="1:1" x14ac:dyDescent="0.2">
      <c r="A5120" s="1" t="s">
        <v>1181</v>
      </c>
    </row>
    <row r="5121" spans="1:1" x14ac:dyDescent="0.2">
      <c r="A5121" s="1" t="s">
        <v>1182</v>
      </c>
    </row>
    <row r="5122" spans="1:1" x14ac:dyDescent="0.2">
      <c r="A5122" s="1" t="s">
        <v>1181</v>
      </c>
    </row>
    <row r="5123" spans="1:1" x14ac:dyDescent="0.2">
      <c r="A5123" s="1" t="s">
        <v>1182</v>
      </c>
    </row>
    <row r="5124" spans="1:1" x14ac:dyDescent="0.2">
      <c r="A5124" s="1" t="s">
        <v>1183</v>
      </c>
    </row>
    <row r="5125" spans="1:1" x14ac:dyDescent="0.2">
      <c r="A5125" s="1" t="s">
        <v>1184</v>
      </c>
    </row>
    <row r="5126" spans="1:1" x14ac:dyDescent="0.2">
      <c r="A5126" s="1" t="s">
        <v>1185</v>
      </c>
    </row>
    <row r="5127" spans="1:1" x14ac:dyDescent="0.2">
      <c r="A5127" s="1" t="s">
        <v>1186</v>
      </c>
    </row>
    <row r="5128" spans="1:1" x14ac:dyDescent="0.2">
      <c r="A5128" s="1" t="s">
        <v>1187</v>
      </c>
    </row>
    <row r="5129" spans="1:1" x14ac:dyDescent="0.2">
      <c r="A5129" s="1" t="s">
        <v>1188</v>
      </c>
    </row>
    <row r="5130" spans="1:1" x14ac:dyDescent="0.2">
      <c r="A5130" s="1" t="s">
        <v>1189</v>
      </c>
    </row>
    <row r="5131" spans="1:1" x14ac:dyDescent="0.2">
      <c r="A5131" s="1" t="s">
        <v>1190</v>
      </c>
    </row>
    <row r="5132" spans="1:1" x14ac:dyDescent="0.2">
      <c r="A5132" s="1" t="s">
        <v>1181</v>
      </c>
    </row>
    <row r="5133" spans="1:1" x14ac:dyDescent="0.2">
      <c r="A5133" s="1" t="s">
        <v>1182</v>
      </c>
    </row>
    <row r="5134" spans="1:1" x14ac:dyDescent="0.2">
      <c r="A5134" s="1" t="s">
        <v>1181</v>
      </c>
    </row>
    <row r="5135" spans="1:1" x14ac:dyDescent="0.2">
      <c r="A5135" s="1" t="s">
        <v>1182</v>
      </c>
    </row>
    <row r="5136" spans="1:1" x14ac:dyDescent="0.2">
      <c r="A5136" s="1" t="s">
        <v>1181</v>
      </c>
    </row>
    <row r="5137" spans="1:1" x14ac:dyDescent="0.2">
      <c r="A5137" s="1" t="s">
        <v>1182</v>
      </c>
    </row>
    <row r="5138" spans="1:1" x14ac:dyDescent="0.2">
      <c r="A5138" s="1" t="s">
        <v>1183</v>
      </c>
    </row>
    <row r="5139" spans="1:1" x14ac:dyDescent="0.2">
      <c r="A5139" s="1" t="s">
        <v>1184</v>
      </c>
    </row>
    <row r="5140" spans="1:1" x14ac:dyDescent="0.2">
      <c r="A5140" s="1" t="s">
        <v>1185</v>
      </c>
    </row>
    <row r="5141" spans="1:1" x14ac:dyDescent="0.2">
      <c r="A5141" s="1" t="s">
        <v>1186</v>
      </c>
    </row>
    <row r="5142" spans="1:1" x14ac:dyDescent="0.2">
      <c r="A5142" s="1" t="s">
        <v>1187</v>
      </c>
    </row>
    <row r="5143" spans="1:1" x14ac:dyDescent="0.2">
      <c r="A5143" s="1" t="s">
        <v>1188</v>
      </c>
    </row>
    <row r="5144" spans="1:1" x14ac:dyDescent="0.2">
      <c r="A5144" s="1" t="s">
        <v>1189</v>
      </c>
    </row>
    <row r="5145" spans="1:1" x14ac:dyDescent="0.2">
      <c r="A5145" s="1" t="s">
        <v>1190</v>
      </c>
    </row>
    <row r="5146" spans="1:1" x14ac:dyDescent="0.2">
      <c r="A5146" s="1" t="s">
        <v>1181</v>
      </c>
    </row>
    <row r="5147" spans="1:1" x14ac:dyDescent="0.2">
      <c r="A5147" s="1" t="s">
        <v>1182</v>
      </c>
    </row>
    <row r="5148" spans="1:1" x14ac:dyDescent="0.2">
      <c r="A5148" s="1" t="s">
        <v>1181</v>
      </c>
    </row>
    <row r="5149" spans="1:1" x14ac:dyDescent="0.2">
      <c r="A5149" s="1" t="s">
        <v>1182</v>
      </c>
    </row>
    <row r="5150" spans="1:1" x14ac:dyDescent="0.2">
      <c r="A5150" s="1" t="s">
        <v>1181</v>
      </c>
    </row>
    <row r="5151" spans="1:1" x14ac:dyDescent="0.2">
      <c r="A5151" s="1" t="s">
        <v>1182</v>
      </c>
    </row>
    <row r="5152" spans="1:1" x14ac:dyDescent="0.2">
      <c r="A5152" s="1" t="s">
        <v>1183</v>
      </c>
    </row>
    <row r="5153" spans="1:1" x14ac:dyDescent="0.2">
      <c r="A5153" s="1" t="s">
        <v>1184</v>
      </c>
    </row>
    <row r="5154" spans="1:1" x14ac:dyDescent="0.2">
      <c r="A5154" s="1" t="s">
        <v>1185</v>
      </c>
    </row>
    <row r="5155" spans="1:1" x14ac:dyDescent="0.2">
      <c r="A5155" s="1" t="s">
        <v>1186</v>
      </c>
    </row>
    <row r="5156" spans="1:1" x14ac:dyDescent="0.2">
      <c r="A5156" s="1" t="s">
        <v>1187</v>
      </c>
    </row>
    <row r="5157" spans="1:1" x14ac:dyDescent="0.2">
      <c r="A5157" s="1" t="s">
        <v>1188</v>
      </c>
    </row>
    <row r="5158" spans="1:1" x14ac:dyDescent="0.2">
      <c r="A5158" s="1" t="s">
        <v>1189</v>
      </c>
    </row>
    <row r="5159" spans="1:1" x14ac:dyDescent="0.2">
      <c r="A5159" s="1" t="s">
        <v>1190</v>
      </c>
    </row>
    <row r="5160" spans="1:1" x14ac:dyDescent="0.2">
      <c r="A5160" s="1" t="s">
        <v>1181</v>
      </c>
    </row>
    <row r="5161" spans="1:1" x14ac:dyDescent="0.2">
      <c r="A5161" s="1" t="s">
        <v>1182</v>
      </c>
    </row>
    <row r="5162" spans="1:1" x14ac:dyDescent="0.2">
      <c r="A5162" s="1" t="s">
        <v>1181</v>
      </c>
    </row>
    <row r="5163" spans="1:1" x14ac:dyDescent="0.2">
      <c r="A5163" s="1" t="s">
        <v>1182</v>
      </c>
    </row>
    <row r="5164" spans="1:1" x14ac:dyDescent="0.2">
      <c r="A5164" s="1" t="s">
        <v>1181</v>
      </c>
    </row>
    <row r="5165" spans="1:1" x14ac:dyDescent="0.2">
      <c r="A5165" s="1" t="s">
        <v>1182</v>
      </c>
    </row>
    <row r="5166" spans="1:1" x14ac:dyDescent="0.2">
      <c r="A5166" s="1" t="s">
        <v>1183</v>
      </c>
    </row>
    <row r="5167" spans="1:1" x14ac:dyDescent="0.2">
      <c r="A5167" s="1" t="s">
        <v>1184</v>
      </c>
    </row>
    <row r="5168" spans="1:1" x14ac:dyDescent="0.2">
      <c r="A5168" s="1" t="s">
        <v>1185</v>
      </c>
    </row>
    <row r="5169" spans="1:1" x14ac:dyDescent="0.2">
      <c r="A5169" s="1" t="s">
        <v>1186</v>
      </c>
    </row>
    <row r="5170" spans="1:1" x14ac:dyDescent="0.2">
      <c r="A5170" s="1" t="s">
        <v>1187</v>
      </c>
    </row>
    <row r="5171" spans="1:1" x14ac:dyDescent="0.2">
      <c r="A5171" s="1" t="s">
        <v>1188</v>
      </c>
    </row>
    <row r="5172" spans="1:1" x14ac:dyDescent="0.2">
      <c r="A5172" s="1" t="s">
        <v>1189</v>
      </c>
    </row>
    <row r="5173" spans="1:1" x14ac:dyDescent="0.2">
      <c r="A5173" s="1" t="s">
        <v>1191</v>
      </c>
    </row>
    <row r="5174" spans="1:1" x14ac:dyDescent="0.2">
      <c r="A5174" s="1" t="s">
        <v>1192</v>
      </c>
    </row>
    <row r="5175" spans="1:1" x14ac:dyDescent="0.2">
      <c r="A5175" s="1" t="s">
        <v>1193</v>
      </c>
    </row>
    <row r="5176" spans="1:1" x14ac:dyDescent="0.2">
      <c r="A5176" s="1" t="s">
        <v>1192</v>
      </c>
    </row>
    <row r="5177" spans="1:1" x14ac:dyDescent="0.2">
      <c r="A5177" s="1" t="s">
        <v>1193</v>
      </c>
    </row>
    <row r="5178" spans="1:1" x14ac:dyDescent="0.2">
      <c r="A5178" s="1" t="s">
        <v>1192</v>
      </c>
    </row>
    <row r="5179" spans="1:1" x14ac:dyDescent="0.2">
      <c r="A5179" s="1" t="s">
        <v>1193</v>
      </c>
    </row>
    <row r="5180" spans="1:1" x14ac:dyDescent="0.2">
      <c r="A5180" s="1" t="s">
        <v>1194</v>
      </c>
    </row>
    <row r="5181" spans="1:1" x14ac:dyDescent="0.2">
      <c r="A5181" s="1" t="s">
        <v>1195</v>
      </c>
    </row>
    <row r="5182" spans="1:1" x14ac:dyDescent="0.2">
      <c r="A5182" s="1" t="s">
        <v>1196</v>
      </c>
    </row>
    <row r="5183" spans="1:1" x14ac:dyDescent="0.2">
      <c r="A5183" s="1" t="s">
        <v>1197</v>
      </c>
    </row>
    <row r="5184" spans="1:1" x14ac:dyDescent="0.2">
      <c r="A5184" s="1" t="s">
        <v>1198</v>
      </c>
    </row>
    <row r="5185" spans="1:1" x14ac:dyDescent="0.2">
      <c r="A5185" s="1" t="s">
        <v>1199</v>
      </c>
    </row>
    <row r="5186" spans="1:1" x14ac:dyDescent="0.2">
      <c r="A5186" s="1" t="s">
        <v>1200</v>
      </c>
    </row>
    <row r="5187" spans="1:1" x14ac:dyDescent="0.2">
      <c r="A5187" s="1" t="s">
        <v>1191</v>
      </c>
    </row>
    <row r="5188" spans="1:1" x14ac:dyDescent="0.2">
      <c r="A5188" s="1" t="s">
        <v>1192</v>
      </c>
    </row>
    <row r="5189" spans="1:1" x14ac:dyDescent="0.2">
      <c r="A5189" s="1" t="s">
        <v>1193</v>
      </c>
    </row>
    <row r="5190" spans="1:1" x14ac:dyDescent="0.2">
      <c r="A5190" s="1" t="s">
        <v>1201</v>
      </c>
    </row>
    <row r="5191" spans="1:1" x14ac:dyDescent="0.2">
      <c r="A5191" s="1" t="s">
        <v>1202</v>
      </c>
    </row>
    <row r="5192" spans="1:1" x14ac:dyDescent="0.2">
      <c r="A5192" s="1" t="s">
        <v>1192</v>
      </c>
    </row>
    <row r="5193" spans="1:1" x14ac:dyDescent="0.2">
      <c r="A5193" s="1" t="s">
        <v>1193</v>
      </c>
    </row>
    <row r="5194" spans="1:1" x14ac:dyDescent="0.2">
      <c r="A5194" s="1" t="s">
        <v>1203</v>
      </c>
    </row>
    <row r="5195" spans="1:1" x14ac:dyDescent="0.2">
      <c r="A5195" s="1" t="s">
        <v>1204</v>
      </c>
    </row>
    <row r="5196" spans="1:1" x14ac:dyDescent="0.2">
      <c r="A5196" s="1" t="s">
        <v>1205</v>
      </c>
    </row>
    <row r="5197" spans="1:1" x14ac:dyDescent="0.2">
      <c r="A5197" s="1" t="s">
        <v>1206</v>
      </c>
    </row>
    <row r="5198" spans="1:1" x14ac:dyDescent="0.2">
      <c r="A5198" s="1" t="s">
        <v>1207</v>
      </c>
    </row>
    <row r="5199" spans="1:1" x14ac:dyDescent="0.2">
      <c r="A5199" s="1" t="s">
        <v>1208</v>
      </c>
    </row>
    <row r="5200" spans="1:1" x14ac:dyDescent="0.2">
      <c r="A5200" s="1" t="s">
        <v>1209</v>
      </c>
    </row>
    <row r="5201" spans="1:1" x14ac:dyDescent="0.2">
      <c r="A5201" s="1" t="s">
        <v>1210</v>
      </c>
    </row>
    <row r="5202" spans="1:1" x14ac:dyDescent="0.2">
      <c r="A5202" s="1" t="s">
        <v>1211</v>
      </c>
    </row>
    <row r="5203" spans="1:1" x14ac:dyDescent="0.2">
      <c r="A5203" s="1" t="s">
        <v>1212</v>
      </c>
    </row>
    <row r="5204" spans="1:1" x14ac:dyDescent="0.2">
      <c r="A5204" s="1" t="s">
        <v>1213</v>
      </c>
    </row>
    <row r="5205" spans="1:1" x14ac:dyDescent="0.2">
      <c r="A5205" s="1" t="s">
        <v>1214</v>
      </c>
    </row>
    <row r="5206" spans="1:1" x14ac:dyDescent="0.2">
      <c r="A5206" s="1" t="s">
        <v>1215</v>
      </c>
    </row>
    <row r="5207" spans="1:1" x14ac:dyDescent="0.2">
      <c r="A5207" s="1" t="s">
        <v>1216</v>
      </c>
    </row>
    <row r="5208" spans="1:1" x14ac:dyDescent="0.2">
      <c r="A5208" s="1" t="s">
        <v>1217</v>
      </c>
    </row>
    <row r="5209" spans="1:1" x14ac:dyDescent="0.2">
      <c r="A5209" s="1" t="s">
        <v>1218</v>
      </c>
    </row>
    <row r="5210" spans="1:1" x14ac:dyDescent="0.2">
      <c r="A5210" s="1" t="s">
        <v>1219</v>
      </c>
    </row>
    <row r="5211" spans="1:1" x14ac:dyDescent="0.2">
      <c r="A5211" s="1" t="s">
        <v>1220</v>
      </c>
    </row>
    <row r="5212" spans="1:1" x14ac:dyDescent="0.2">
      <c r="A5212" s="1" t="s">
        <v>1221</v>
      </c>
    </row>
    <row r="5213" spans="1:1" x14ac:dyDescent="0.2">
      <c r="A5213" s="1" t="s">
        <v>1222</v>
      </c>
    </row>
    <row r="5214" spans="1:1" x14ac:dyDescent="0.2">
      <c r="A5214" s="1" t="s">
        <v>1211</v>
      </c>
    </row>
    <row r="5215" spans="1:1" x14ac:dyDescent="0.2">
      <c r="A5215" s="1" t="s">
        <v>1223</v>
      </c>
    </row>
    <row r="5216" spans="1:1" x14ac:dyDescent="0.2">
      <c r="A5216" s="1" t="s">
        <v>1213</v>
      </c>
    </row>
    <row r="5217" spans="1:1" x14ac:dyDescent="0.2">
      <c r="A5217" s="1" t="s">
        <v>1214</v>
      </c>
    </row>
    <row r="5218" spans="1:1" x14ac:dyDescent="0.2">
      <c r="A5218" s="1" t="s">
        <v>1215</v>
      </c>
    </row>
    <row r="5219" spans="1:1" x14ac:dyDescent="0.2">
      <c r="A5219" s="1" t="s">
        <v>1216</v>
      </c>
    </row>
    <row r="5220" spans="1:1" x14ac:dyDescent="0.2">
      <c r="A5220" s="1" t="s">
        <v>1224</v>
      </c>
    </row>
    <row r="5221" spans="1:1" x14ac:dyDescent="0.2">
      <c r="A5221" s="1" t="s">
        <v>1218</v>
      </c>
    </row>
    <row r="5222" spans="1:1" x14ac:dyDescent="0.2">
      <c r="A5222" s="1" t="s">
        <v>1219</v>
      </c>
    </row>
    <row r="5223" spans="1:1" x14ac:dyDescent="0.2">
      <c r="A5223" s="1" t="s">
        <v>1220</v>
      </c>
    </row>
    <row r="5224" spans="1:1" x14ac:dyDescent="0.2">
      <c r="A5224" s="1" t="s">
        <v>1221</v>
      </c>
    </row>
    <row r="5225" spans="1:1" x14ac:dyDescent="0.2">
      <c r="A5225" s="1" t="s">
        <v>1222</v>
      </c>
    </row>
    <row r="5226" spans="1:1" x14ac:dyDescent="0.2">
      <c r="A5226" s="1" t="s">
        <v>1211</v>
      </c>
    </row>
    <row r="5227" spans="1:1" x14ac:dyDescent="0.2">
      <c r="A5227" s="1" t="s">
        <v>1225</v>
      </c>
    </row>
    <row r="5228" spans="1:1" x14ac:dyDescent="0.2">
      <c r="A5228" s="1" t="s">
        <v>1213</v>
      </c>
    </row>
    <row r="5229" spans="1:1" x14ac:dyDescent="0.2">
      <c r="A5229" s="1" t="s">
        <v>1214</v>
      </c>
    </row>
    <row r="5230" spans="1:1" x14ac:dyDescent="0.2">
      <c r="A5230" s="1" t="s">
        <v>1215</v>
      </c>
    </row>
    <row r="5231" spans="1:1" x14ac:dyDescent="0.2">
      <c r="A5231" s="1" t="s">
        <v>1216</v>
      </c>
    </row>
    <row r="5232" spans="1:1" x14ac:dyDescent="0.2">
      <c r="A5232" s="1" t="s">
        <v>1226</v>
      </c>
    </row>
    <row r="5233" spans="1:1" x14ac:dyDescent="0.2">
      <c r="A5233" s="1" t="s">
        <v>1218</v>
      </c>
    </row>
    <row r="5234" spans="1:1" x14ac:dyDescent="0.2">
      <c r="A5234" s="1" t="s">
        <v>1219</v>
      </c>
    </row>
    <row r="5235" spans="1:1" x14ac:dyDescent="0.2">
      <c r="A5235" s="1" t="s">
        <v>1220</v>
      </c>
    </row>
    <row r="5236" spans="1:1" x14ac:dyDescent="0.2">
      <c r="A5236" s="1" t="s">
        <v>1221</v>
      </c>
    </row>
    <row r="5237" spans="1:1" x14ac:dyDescent="0.2">
      <c r="A5237" s="1" t="s">
        <v>1222</v>
      </c>
    </row>
    <row r="5238" spans="1:1" x14ac:dyDescent="0.2">
      <c r="A5238" s="1" t="s">
        <v>1211</v>
      </c>
    </row>
    <row r="5239" spans="1:1" x14ac:dyDescent="0.2">
      <c r="A5239" s="1" t="s">
        <v>1227</v>
      </c>
    </row>
    <row r="5240" spans="1:1" x14ac:dyDescent="0.2">
      <c r="A5240" s="1" t="s">
        <v>1213</v>
      </c>
    </row>
    <row r="5241" spans="1:1" x14ac:dyDescent="0.2">
      <c r="A5241" s="1" t="s">
        <v>1214</v>
      </c>
    </row>
    <row r="5242" spans="1:1" x14ac:dyDescent="0.2">
      <c r="A5242" s="1" t="s">
        <v>1215</v>
      </c>
    </row>
    <row r="5243" spans="1:1" x14ac:dyDescent="0.2">
      <c r="A5243" s="1" t="s">
        <v>1216</v>
      </c>
    </row>
    <row r="5244" spans="1:1" x14ac:dyDescent="0.2">
      <c r="A5244" s="1" t="s">
        <v>1228</v>
      </c>
    </row>
    <row r="5245" spans="1:1" x14ac:dyDescent="0.2">
      <c r="A5245" s="1" t="s">
        <v>1218</v>
      </c>
    </row>
    <row r="5246" spans="1:1" x14ac:dyDescent="0.2">
      <c r="A5246" s="1" t="s">
        <v>1219</v>
      </c>
    </row>
    <row r="5247" spans="1:1" x14ac:dyDescent="0.2">
      <c r="A5247" s="1" t="s">
        <v>1220</v>
      </c>
    </row>
    <row r="5248" spans="1:1" x14ac:dyDescent="0.2">
      <c r="A5248" s="1" t="s">
        <v>1221</v>
      </c>
    </row>
    <row r="5249" spans="1:1" x14ac:dyDescent="0.2">
      <c r="A5249" s="1" t="s">
        <v>1222</v>
      </c>
    </row>
    <row r="5250" spans="1:1" x14ac:dyDescent="0.2">
      <c r="A5250" s="1" t="s">
        <v>1211</v>
      </c>
    </row>
    <row r="5251" spans="1:1" x14ac:dyDescent="0.2">
      <c r="A5251" s="1" t="s">
        <v>1229</v>
      </c>
    </row>
    <row r="5252" spans="1:1" x14ac:dyDescent="0.2">
      <c r="A5252" s="1" t="s">
        <v>1213</v>
      </c>
    </row>
    <row r="5253" spans="1:1" x14ac:dyDescent="0.2">
      <c r="A5253" s="1" t="s">
        <v>1214</v>
      </c>
    </row>
    <row r="5254" spans="1:1" x14ac:dyDescent="0.2">
      <c r="A5254" s="1" t="s">
        <v>1215</v>
      </c>
    </row>
    <row r="5255" spans="1:1" x14ac:dyDescent="0.2">
      <c r="A5255" s="1" t="s">
        <v>1216</v>
      </c>
    </row>
    <row r="5256" spans="1:1" x14ac:dyDescent="0.2">
      <c r="A5256" s="1" t="s">
        <v>1230</v>
      </c>
    </row>
    <row r="5257" spans="1:1" x14ac:dyDescent="0.2">
      <c r="A5257" s="1" t="s">
        <v>1218</v>
      </c>
    </row>
    <row r="5258" spans="1:1" x14ac:dyDescent="0.2">
      <c r="A5258" s="1" t="s">
        <v>1219</v>
      </c>
    </row>
    <row r="5259" spans="1:1" x14ac:dyDescent="0.2">
      <c r="A5259" s="1" t="s">
        <v>1220</v>
      </c>
    </row>
    <row r="5260" spans="1:1" x14ac:dyDescent="0.2">
      <c r="A5260" s="1" t="s">
        <v>1221</v>
      </c>
    </row>
    <row r="5261" spans="1:1" x14ac:dyDescent="0.2">
      <c r="A5261" s="1" t="s">
        <v>1222</v>
      </c>
    </row>
    <row r="5262" spans="1:1" x14ac:dyDescent="0.2">
      <c r="A5262" s="1" t="s">
        <v>1211</v>
      </c>
    </row>
    <row r="5263" spans="1:1" x14ac:dyDescent="0.2">
      <c r="A5263" s="1" t="s">
        <v>1231</v>
      </c>
    </row>
    <row r="5264" spans="1:1" x14ac:dyDescent="0.2">
      <c r="A5264" s="1" t="s">
        <v>1213</v>
      </c>
    </row>
    <row r="5265" spans="1:1" x14ac:dyDescent="0.2">
      <c r="A5265" s="1" t="s">
        <v>1214</v>
      </c>
    </row>
    <row r="5266" spans="1:1" x14ac:dyDescent="0.2">
      <c r="A5266" s="1" t="s">
        <v>1215</v>
      </c>
    </row>
    <row r="5267" spans="1:1" x14ac:dyDescent="0.2">
      <c r="A5267" s="1" t="s">
        <v>1216</v>
      </c>
    </row>
    <row r="5268" spans="1:1" x14ac:dyDescent="0.2">
      <c r="A5268" s="1" t="s">
        <v>1232</v>
      </c>
    </row>
    <row r="5269" spans="1:1" x14ac:dyDescent="0.2">
      <c r="A5269" s="1" t="s">
        <v>1218</v>
      </c>
    </row>
    <row r="5270" spans="1:1" x14ac:dyDescent="0.2">
      <c r="A5270" s="1" t="s">
        <v>1219</v>
      </c>
    </row>
    <row r="5271" spans="1:1" x14ac:dyDescent="0.2">
      <c r="A5271" s="1" t="s">
        <v>1220</v>
      </c>
    </row>
    <row r="5272" spans="1:1" x14ac:dyDescent="0.2">
      <c r="A5272" s="1" t="s">
        <v>1221</v>
      </c>
    </row>
    <row r="5273" spans="1:1" x14ac:dyDescent="0.2">
      <c r="A5273" s="1" t="s">
        <v>1222</v>
      </c>
    </row>
    <row r="5274" spans="1:1" x14ac:dyDescent="0.2">
      <c r="A5274" s="1" t="s">
        <v>1211</v>
      </c>
    </row>
    <row r="5275" spans="1:1" x14ac:dyDescent="0.2">
      <c r="A5275" s="1" t="s">
        <v>1233</v>
      </c>
    </row>
    <row r="5276" spans="1:1" x14ac:dyDescent="0.2">
      <c r="A5276" s="1" t="s">
        <v>1213</v>
      </c>
    </row>
    <row r="5277" spans="1:1" x14ac:dyDescent="0.2">
      <c r="A5277" s="1" t="s">
        <v>1214</v>
      </c>
    </row>
    <row r="5278" spans="1:1" x14ac:dyDescent="0.2">
      <c r="A5278" s="1" t="s">
        <v>1215</v>
      </c>
    </row>
    <row r="5279" spans="1:1" x14ac:dyDescent="0.2">
      <c r="A5279" s="1" t="s">
        <v>1216</v>
      </c>
    </row>
    <row r="5280" spans="1:1" x14ac:dyDescent="0.2">
      <c r="A5280" s="1" t="s">
        <v>1234</v>
      </c>
    </row>
    <row r="5281" spans="1:1" x14ac:dyDescent="0.2">
      <c r="A5281" s="1" t="s">
        <v>1218</v>
      </c>
    </row>
    <row r="5282" spans="1:1" x14ac:dyDescent="0.2">
      <c r="A5282" s="1" t="s">
        <v>1219</v>
      </c>
    </row>
    <row r="5283" spans="1:1" x14ac:dyDescent="0.2">
      <c r="A5283" s="1" t="s">
        <v>1220</v>
      </c>
    </row>
    <row r="5284" spans="1:1" x14ac:dyDescent="0.2">
      <c r="A5284" s="1" t="s">
        <v>1221</v>
      </c>
    </row>
    <row r="5285" spans="1:1" x14ac:dyDescent="0.2">
      <c r="A5285" s="1" t="s">
        <v>1222</v>
      </c>
    </row>
    <row r="5286" spans="1:1" x14ac:dyDescent="0.2">
      <c r="A5286" s="1" t="s">
        <v>1211</v>
      </c>
    </row>
    <row r="5287" spans="1:1" x14ac:dyDescent="0.2">
      <c r="A5287" s="1" t="s">
        <v>1235</v>
      </c>
    </row>
    <row r="5288" spans="1:1" x14ac:dyDescent="0.2">
      <c r="A5288" s="1" t="s">
        <v>1213</v>
      </c>
    </row>
    <row r="5289" spans="1:1" x14ac:dyDescent="0.2">
      <c r="A5289" s="1" t="s">
        <v>1214</v>
      </c>
    </row>
    <row r="5290" spans="1:1" x14ac:dyDescent="0.2">
      <c r="A5290" s="1" t="s">
        <v>1215</v>
      </c>
    </row>
    <row r="5291" spans="1:1" x14ac:dyDescent="0.2">
      <c r="A5291" s="1" t="s">
        <v>1216</v>
      </c>
    </row>
    <row r="5292" spans="1:1" x14ac:dyDescent="0.2">
      <c r="A5292" s="1" t="s">
        <v>1236</v>
      </c>
    </row>
    <row r="5293" spans="1:1" x14ac:dyDescent="0.2">
      <c r="A5293" s="1" t="s">
        <v>1218</v>
      </c>
    </row>
    <row r="5294" spans="1:1" x14ac:dyDescent="0.2">
      <c r="A5294" s="1" t="s">
        <v>1219</v>
      </c>
    </row>
    <row r="5295" spans="1:1" x14ac:dyDescent="0.2">
      <c r="A5295" s="1" t="s">
        <v>1220</v>
      </c>
    </row>
    <row r="5296" spans="1:1" x14ac:dyDescent="0.2">
      <c r="A5296" s="1" t="s">
        <v>1221</v>
      </c>
    </row>
    <row r="5297" spans="1:1" x14ac:dyDescent="0.2">
      <c r="A5297" s="1" t="s">
        <v>1222</v>
      </c>
    </row>
    <row r="5298" spans="1:1" x14ac:dyDescent="0.2">
      <c r="A5298" s="1" t="s">
        <v>1211</v>
      </c>
    </row>
    <row r="5299" spans="1:1" x14ac:dyDescent="0.2">
      <c r="A5299" s="1" t="s">
        <v>1237</v>
      </c>
    </row>
    <row r="5300" spans="1:1" x14ac:dyDescent="0.2">
      <c r="A5300" s="1" t="s">
        <v>1213</v>
      </c>
    </row>
    <row r="5301" spans="1:1" x14ac:dyDescent="0.2">
      <c r="A5301" s="1" t="s">
        <v>1214</v>
      </c>
    </row>
    <row r="5302" spans="1:1" x14ac:dyDescent="0.2">
      <c r="A5302" s="1" t="s">
        <v>1215</v>
      </c>
    </row>
    <row r="5303" spans="1:1" x14ac:dyDescent="0.2">
      <c r="A5303" s="1" t="s">
        <v>1216</v>
      </c>
    </row>
    <row r="5304" spans="1:1" x14ac:dyDescent="0.2">
      <c r="A5304" s="1" t="s">
        <v>1238</v>
      </c>
    </row>
    <row r="5305" spans="1:1" x14ac:dyDescent="0.2">
      <c r="A5305" s="1" t="s">
        <v>1218</v>
      </c>
    </row>
    <row r="5306" spans="1:1" x14ac:dyDescent="0.2">
      <c r="A5306" s="1" t="s">
        <v>1219</v>
      </c>
    </row>
    <row r="5307" spans="1:1" x14ac:dyDescent="0.2">
      <c r="A5307" s="1" t="s">
        <v>1220</v>
      </c>
    </row>
    <row r="5308" spans="1:1" x14ac:dyDescent="0.2">
      <c r="A5308" s="1" t="s">
        <v>1221</v>
      </c>
    </row>
    <row r="5309" spans="1:1" x14ac:dyDescent="0.2">
      <c r="A5309" s="1" t="s">
        <v>1222</v>
      </c>
    </row>
    <row r="5310" spans="1:1" x14ac:dyDescent="0.2">
      <c r="A5310" s="1" t="s">
        <v>1211</v>
      </c>
    </row>
    <row r="5311" spans="1:1" x14ac:dyDescent="0.2">
      <c r="A5311" s="1" t="s">
        <v>1239</v>
      </c>
    </row>
    <row r="5312" spans="1:1" x14ac:dyDescent="0.2">
      <c r="A5312" s="1" t="s">
        <v>1213</v>
      </c>
    </row>
    <row r="5313" spans="1:1" x14ac:dyDescent="0.2">
      <c r="A5313" s="1" t="s">
        <v>1214</v>
      </c>
    </row>
    <row r="5314" spans="1:1" x14ac:dyDescent="0.2">
      <c r="A5314" s="1" t="s">
        <v>1215</v>
      </c>
    </row>
    <row r="5315" spans="1:1" x14ac:dyDescent="0.2">
      <c r="A5315" s="1" t="s">
        <v>1216</v>
      </c>
    </row>
    <row r="5316" spans="1:1" x14ac:dyDescent="0.2">
      <c r="A5316" s="1" t="s">
        <v>1240</v>
      </c>
    </row>
    <row r="5317" spans="1:1" x14ac:dyDescent="0.2">
      <c r="A5317" s="1" t="s">
        <v>1218</v>
      </c>
    </row>
    <row r="5318" spans="1:1" x14ac:dyDescent="0.2">
      <c r="A5318" s="1" t="s">
        <v>1219</v>
      </c>
    </row>
    <row r="5319" spans="1:1" x14ac:dyDescent="0.2">
      <c r="A5319" s="1" t="s">
        <v>1220</v>
      </c>
    </row>
    <row r="5320" spans="1:1" x14ac:dyDescent="0.2">
      <c r="A5320" s="1" t="s">
        <v>1221</v>
      </c>
    </row>
    <row r="5321" spans="1:1" x14ac:dyDescent="0.2">
      <c r="A5321" s="1" t="s">
        <v>1222</v>
      </c>
    </row>
    <row r="5322" spans="1:1" x14ac:dyDescent="0.2">
      <c r="A5322" s="1" t="s">
        <v>1211</v>
      </c>
    </row>
    <row r="5323" spans="1:1" x14ac:dyDescent="0.2">
      <c r="A5323" s="1" t="s">
        <v>1241</v>
      </c>
    </row>
    <row r="5324" spans="1:1" x14ac:dyDescent="0.2">
      <c r="A5324" s="1" t="s">
        <v>1213</v>
      </c>
    </row>
    <row r="5325" spans="1:1" x14ac:dyDescent="0.2">
      <c r="A5325" s="1" t="s">
        <v>1214</v>
      </c>
    </row>
    <row r="5326" spans="1:1" x14ac:dyDescent="0.2">
      <c r="A5326" s="1" t="s">
        <v>1215</v>
      </c>
    </row>
    <row r="5327" spans="1:1" x14ac:dyDescent="0.2">
      <c r="A5327" s="1" t="s">
        <v>1216</v>
      </c>
    </row>
    <row r="5328" spans="1:1" x14ac:dyDescent="0.2">
      <c r="A5328" s="1" t="s">
        <v>1242</v>
      </c>
    </row>
    <row r="5329" spans="1:1" x14ac:dyDescent="0.2">
      <c r="A5329" s="1" t="s">
        <v>1218</v>
      </c>
    </row>
    <row r="5330" spans="1:1" x14ac:dyDescent="0.2">
      <c r="A5330" s="1" t="s">
        <v>1219</v>
      </c>
    </row>
    <row r="5331" spans="1:1" x14ac:dyDescent="0.2">
      <c r="A5331" s="1" t="s">
        <v>1220</v>
      </c>
    </row>
    <row r="5332" spans="1:1" x14ac:dyDescent="0.2">
      <c r="A5332" s="1" t="s">
        <v>1221</v>
      </c>
    </row>
    <row r="5333" spans="1:1" x14ac:dyDescent="0.2">
      <c r="A5333" s="1" t="s">
        <v>1222</v>
      </c>
    </row>
    <row r="5334" spans="1:1" x14ac:dyDescent="0.2">
      <c r="A5334" s="1" t="s">
        <v>1211</v>
      </c>
    </row>
    <row r="5335" spans="1:1" x14ac:dyDescent="0.2">
      <c r="A5335" s="1" t="s">
        <v>1243</v>
      </c>
    </row>
    <row r="5336" spans="1:1" x14ac:dyDescent="0.2">
      <c r="A5336" s="1" t="s">
        <v>1213</v>
      </c>
    </row>
    <row r="5337" spans="1:1" x14ac:dyDescent="0.2">
      <c r="A5337" s="1" t="s">
        <v>1214</v>
      </c>
    </row>
    <row r="5338" spans="1:1" x14ac:dyDescent="0.2">
      <c r="A5338" s="1" t="s">
        <v>1215</v>
      </c>
    </row>
    <row r="5339" spans="1:1" x14ac:dyDescent="0.2">
      <c r="A5339" s="1" t="s">
        <v>1216</v>
      </c>
    </row>
    <row r="5340" spans="1:1" x14ac:dyDescent="0.2">
      <c r="A5340" s="1" t="s">
        <v>1244</v>
      </c>
    </row>
    <row r="5341" spans="1:1" x14ac:dyDescent="0.2">
      <c r="A5341" s="1" t="s">
        <v>1218</v>
      </c>
    </row>
    <row r="5342" spans="1:1" x14ac:dyDescent="0.2">
      <c r="A5342" s="1" t="s">
        <v>1219</v>
      </c>
    </row>
    <row r="5343" spans="1:1" x14ac:dyDescent="0.2">
      <c r="A5343" s="1" t="s">
        <v>1220</v>
      </c>
    </row>
    <row r="5344" spans="1:1" x14ac:dyDescent="0.2">
      <c r="A5344" s="1" t="s">
        <v>1221</v>
      </c>
    </row>
    <row r="5345" spans="1:1" x14ac:dyDescent="0.2">
      <c r="A5345" s="1" t="s">
        <v>1222</v>
      </c>
    </row>
    <row r="5346" spans="1:1" x14ac:dyDescent="0.2">
      <c r="A5346" s="1" t="s">
        <v>1245</v>
      </c>
    </row>
    <row r="5347" spans="1:1" x14ac:dyDescent="0.2">
      <c r="A5347" s="1" t="s">
        <v>1246</v>
      </c>
    </row>
    <row r="5348" spans="1:1" x14ac:dyDescent="0.2">
      <c r="A5348" s="1" t="s">
        <v>1247</v>
      </c>
    </row>
    <row r="5349" spans="1:1" x14ac:dyDescent="0.2">
      <c r="A5349" s="1" t="s">
        <v>1248</v>
      </c>
    </row>
    <row r="5350" spans="1:1" x14ac:dyDescent="0.2">
      <c r="A5350" s="1" t="s">
        <v>1249</v>
      </c>
    </row>
    <row r="5351" spans="1:1" x14ac:dyDescent="0.2">
      <c r="A5351" s="1" t="s">
        <v>1250</v>
      </c>
    </row>
    <row r="5352" spans="1:1" x14ac:dyDescent="0.2">
      <c r="A5352" s="1" t="s">
        <v>1251</v>
      </c>
    </row>
    <row r="5353" spans="1:1" x14ac:dyDescent="0.2">
      <c r="A5353" s="1" t="s">
        <v>1252</v>
      </c>
    </row>
    <row r="5354" spans="1:1" x14ac:dyDescent="0.2">
      <c r="A5354" s="1" t="s">
        <v>1253</v>
      </c>
    </row>
    <row r="5355" spans="1:1" x14ac:dyDescent="0.2">
      <c r="A5355" s="1" t="s">
        <v>1254</v>
      </c>
    </row>
    <row r="5356" spans="1:1" x14ac:dyDescent="0.2">
      <c r="A5356" s="1" t="s">
        <v>1255</v>
      </c>
    </row>
    <row r="5357" spans="1:1" x14ac:dyDescent="0.2">
      <c r="A5357" s="1" t="s">
        <v>1256</v>
      </c>
    </row>
    <row r="5358" spans="1:1" x14ac:dyDescent="0.2">
      <c r="A5358" s="1" t="s">
        <v>1245</v>
      </c>
    </row>
    <row r="5359" spans="1:1" x14ac:dyDescent="0.2">
      <c r="A5359" s="1" t="s">
        <v>1257</v>
      </c>
    </row>
    <row r="5360" spans="1:1" x14ac:dyDescent="0.2">
      <c r="A5360" s="1" t="s">
        <v>1247</v>
      </c>
    </row>
    <row r="5361" spans="1:1" x14ac:dyDescent="0.2">
      <c r="A5361" s="1" t="s">
        <v>1248</v>
      </c>
    </row>
    <row r="5362" spans="1:1" x14ac:dyDescent="0.2">
      <c r="A5362" s="1" t="s">
        <v>1249</v>
      </c>
    </row>
    <row r="5363" spans="1:1" x14ac:dyDescent="0.2">
      <c r="A5363" s="1" t="s">
        <v>1250</v>
      </c>
    </row>
    <row r="5364" spans="1:1" x14ac:dyDescent="0.2">
      <c r="A5364" s="1" t="s">
        <v>1258</v>
      </c>
    </row>
    <row r="5365" spans="1:1" x14ac:dyDescent="0.2">
      <c r="A5365" s="1" t="s">
        <v>1252</v>
      </c>
    </row>
    <row r="5366" spans="1:1" x14ac:dyDescent="0.2">
      <c r="A5366" s="1" t="s">
        <v>1253</v>
      </c>
    </row>
    <row r="5367" spans="1:1" x14ac:dyDescent="0.2">
      <c r="A5367" s="1" t="s">
        <v>1254</v>
      </c>
    </row>
    <row r="5368" spans="1:1" x14ac:dyDescent="0.2">
      <c r="A5368" s="1" t="s">
        <v>1255</v>
      </c>
    </row>
    <row r="5369" spans="1:1" x14ac:dyDescent="0.2">
      <c r="A5369" s="1" t="s">
        <v>1256</v>
      </c>
    </row>
    <row r="5370" spans="1:1" x14ac:dyDescent="0.2">
      <c r="A5370" s="1" t="s">
        <v>1245</v>
      </c>
    </row>
    <row r="5371" spans="1:1" x14ac:dyDescent="0.2">
      <c r="A5371" s="1" t="s">
        <v>1259</v>
      </c>
    </row>
    <row r="5372" spans="1:1" x14ac:dyDescent="0.2">
      <c r="A5372" s="1" t="s">
        <v>1247</v>
      </c>
    </row>
    <row r="5373" spans="1:1" x14ac:dyDescent="0.2">
      <c r="A5373" s="1" t="s">
        <v>1248</v>
      </c>
    </row>
    <row r="5374" spans="1:1" x14ac:dyDescent="0.2">
      <c r="A5374" s="1" t="s">
        <v>1249</v>
      </c>
    </row>
    <row r="5375" spans="1:1" x14ac:dyDescent="0.2">
      <c r="A5375" s="1" t="s">
        <v>1250</v>
      </c>
    </row>
    <row r="5376" spans="1:1" x14ac:dyDescent="0.2">
      <c r="A5376" s="1" t="s">
        <v>1260</v>
      </c>
    </row>
    <row r="5377" spans="1:1" x14ac:dyDescent="0.2">
      <c r="A5377" s="1" t="s">
        <v>1252</v>
      </c>
    </row>
    <row r="5378" spans="1:1" x14ac:dyDescent="0.2">
      <c r="A5378" s="1" t="s">
        <v>1253</v>
      </c>
    </row>
    <row r="5379" spans="1:1" x14ac:dyDescent="0.2">
      <c r="A5379" s="1" t="s">
        <v>1254</v>
      </c>
    </row>
    <row r="5380" spans="1:1" x14ac:dyDescent="0.2">
      <c r="A5380" s="1" t="s">
        <v>1255</v>
      </c>
    </row>
    <row r="5381" spans="1:1" x14ac:dyDescent="0.2">
      <c r="A5381" s="1" t="s">
        <v>1256</v>
      </c>
    </row>
    <row r="5382" spans="1:1" x14ac:dyDescent="0.2">
      <c r="A5382" s="1" t="s">
        <v>1245</v>
      </c>
    </row>
    <row r="5383" spans="1:1" x14ac:dyDescent="0.2">
      <c r="A5383" s="1" t="s">
        <v>1261</v>
      </c>
    </row>
    <row r="5384" spans="1:1" x14ac:dyDescent="0.2">
      <c r="A5384" s="1" t="s">
        <v>1247</v>
      </c>
    </row>
    <row r="5385" spans="1:1" x14ac:dyDescent="0.2">
      <c r="A5385" s="1" t="s">
        <v>1248</v>
      </c>
    </row>
    <row r="5386" spans="1:1" x14ac:dyDescent="0.2">
      <c r="A5386" s="1" t="s">
        <v>1249</v>
      </c>
    </row>
    <row r="5387" spans="1:1" x14ac:dyDescent="0.2">
      <c r="A5387" s="1" t="s">
        <v>1250</v>
      </c>
    </row>
    <row r="5388" spans="1:1" x14ac:dyDescent="0.2">
      <c r="A5388" s="1" t="s">
        <v>1262</v>
      </c>
    </row>
    <row r="5389" spans="1:1" x14ac:dyDescent="0.2">
      <c r="A5389" s="1" t="s">
        <v>1252</v>
      </c>
    </row>
    <row r="5390" spans="1:1" x14ac:dyDescent="0.2">
      <c r="A5390" s="1" t="s">
        <v>1253</v>
      </c>
    </row>
    <row r="5391" spans="1:1" x14ac:dyDescent="0.2">
      <c r="A5391" s="1" t="s">
        <v>1254</v>
      </c>
    </row>
    <row r="5392" spans="1:1" x14ac:dyDescent="0.2">
      <c r="A5392" s="1" t="s">
        <v>1255</v>
      </c>
    </row>
    <row r="5393" spans="1:1" x14ac:dyDescent="0.2">
      <c r="A5393" s="1" t="s">
        <v>1256</v>
      </c>
    </row>
    <row r="5394" spans="1:1" x14ac:dyDescent="0.2">
      <c r="A5394" s="1" t="s">
        <v>1245</v>
      </c>
    </row>
    <row r="5395" spans="1:1" x14ac:dyDescent="0.2">
      <c r="A5395" s="1" t="s">
        <v>1263</v>
      </c>
    </row>
    <row r="5396" spans="1:1" x14ac:dyDescent="0.2">
      <c r="A5396" s="1" t="s">
        <v>1247</v>
      </c>
    </row>
    <row r="5397" spans="1:1" x14ac:dyDescent="0.2">
      <c r="A5397" s="1" t="s">
        <v>1248</v>
      </c>
    </row>
    <row r="5398" spans="1:1" x14ac:dyDescent="0.2">
      <c r="A5398" s="1" t="s">
        <v>1249</v>
      </c>
    </row>
    <row r="5399" spans="1:1" x14ac:dyDescent="0.2">
      <c r="A5399" s="1" t="s">
        <v>1250</v>
      </c>
    </row>
    <row r="5400" spans="1:1" x14ac:dyDescent="0.2">
      <c r="A5400" s="1" t="s">
        <v>1264</v>
      </c>
    </row>
    <row r="5401" spans="1:1" x14ac:dyDescent="0.2">
      <c r="A5401" s="1" t="s">
        <v>1252</v>
      </c>
    </row>
    <row r="5402" spans="1:1" x14ac:dyDescent="0.2">
      <c r="A5402" s="1" t="s">
        <v>1253</v>
      </c>
    </row>
    <row r="5403" spans="1:1" x14ac:dyDescent="0.2">
      <c r="A5403" s="1" t="s">
        <v>1254</v>
      </c>
    </row>
    <row r="5404" spans="1:1" x14ac:dyDescent="0.2">
      <c r="A5404" s="1" t="s">
        <v>1255</v>
      </c>
    </row>
    <row r="5405" spans="1:1" x14ac:dyDescent="0.2">
      <c r="A5405" s="1" t="s">
        <v>1256</v>
      </c>
    </row>
    <row r="5406" spans="1:1" x14ac:dyDescent="0.2">
      <c r="A5406" s="1" t="s">
        <v>1265</v>
      </c>
    </row>
    <row r="5407" spans="1:1" x14ac:dyDescent="0.2">
      <c r="A5407" s="1" t="s">
        <v>1266</v>
      </c>
    </row>
    <row r="5408" spans="1:1" x14ac:dyDescent="0.2">
      <c r="A5408" s="1" t="s">
        <v>1267</v>
      </c>
    </row>
    <row r="5409" spans="1:1" x14ac:dyDescent="0.2">
      <c r="A5409" s="1" t="s">
        <v>1268</v>
      </c>
    </row>
    <row r="5410" spans="1:1" x14ac:dyDescent="0.2">
      <c r="A5410" s="1" t="s">
        <v>1269</v>
      </c>
    </row>
    <row r="5411" spans="1:1" x14ac:dyDescent="0.2">
      <c r="A5411" s="1" t="s">
        <v>1270</v>
      </c>
    </row>
    <row r="5412" spans="1:1" x14ac:dyDescent="0.2">
      <c r="A5412" s="1" t="s">
        <v>1271</v>
      </c>
    </row>
    <row r="5413" spans="1:1" x14ac:dyDescent="0.2">
      <c r="A5413" s="1" t="s">
        <v>1272</v>
      </c>
    </row>
    <row r="5414" spans="1:1" x14ac:dyDescent="0.2">
      <c r="A5414" s="1" t="s">
        <v>1273</v>
      </c>
    </row>
    <row r="5415" spans="1:1" x14ac:dyDescent="0.2">
      <c r="A5415" s="1" t="s">
        <v>1274</v>
      </c>
    </row>
    <row r="5416" spans="1:1" x14ac:dyDescent="0.2">
      <c r="A5416" s="1" t="s">
        <v>1275</v>
      </c>
    </row>
    <row r="5417" spans="1:1" x14ac:dyDescent="0.2">
      <c r="A5417" s="1" t="s">
        <v>1276</v>
      </c>
    </row>
    <row r="5418" spans="1:1" x14ac:dyDescent="0.2">
      <c r="A5418" s="1" t="s">
        <v>1265</v>
      </c>
    </row>
    <row r="5419" spans="1:1" x14ac:dyDescent="0.2">
      <c r="A5419" s="1" t="s">
        <v>1277</v>
      </c>
    </row>
    <row r="5420" spans="1:1" x14ac:dyDescent="0.2">
      <c r="A5420" s="1" t="s">
        <v>1267</v>
      </c>
    </row>
    <row r="5421" spans="1:1" x14ac:dyDescent="0.2">
      <c r="A5421" s="1" t="s">
        <v>1268</v>
      </c>
    </row>
    <row r="5422" spans="1:1" x14ac:dyDescent="0.2">
      <c r="A5422" s="1" t="s">
        <v>1269</v>
      </c>
    </row>
    <row r="5423" spans="1:1" x14ac:dyDescent="0.2">
      <c r="A5423" s="1" t="s">
        <v>1270</v>
      </c>
    </row>
    <row r="5424" spans="1:1" x14ac:dyDescent="0.2">
      <c r="A5424" s="1" t="s">
        <v>1278</v>
      </c>
    </row>
    <row r="5425" spans="1:1" x14ac:dyDescent="0.2">
      <c r="A5425" s="1" t="s">
        <v>1279</v>
      </c>
    </row>
    <row r="5426" spans="1:1" x14ac:dyDescent="0.2">
      <c r="A5426" s="1" t="s">
        <v>1278</v>
      </c>
    </row>
    <row r="5427" spans="1:1" x14ac:dyDescent="0.2">
      <c r="A5427" s="1" t="s">
        <v>1279</v>
      </c>
    </row>
    <row r="5428" spans="1:1" x14ac:dyDescent="0.2">
      <c r="A5428" s="1" t="s">
        <v>1280</v>
      </c>
    </row>
    <row r="5429" spans="1:1" x14ac:dyDescent="0.2">
      <c r="A5429" s="1" t="s">
        <v>1281</v>
      </c>
    </row>
    <row r="5430" spans="1:1" x14ac:dyDescent="0.2">
      <c r="A5430" s="1" t="s">
        <v>1282</v>
      </c>
    </row>
    <row r="5431" spans="1:1" x14ac:dyDescent="0.2">
      <c r="A5431" s="1" t="s">
        <v>1283</v>
      </c>
    </row>
    <row r="5432" spans="1:1" x14ac:dyDescent="0.2">
      <c r="A5432" s="1" t="s">
        <v>1284</v>
      </c>
    </row>
    <row r="5433" spans="1:1" x14ac:dyDescent="0.2">
      <c r="A5433" s="1" t="s">
        <v>1285</v>
      </c>
    </row>
    <row r="5434" spans="1:1" x14ac:dyDescent="0.2">
      <c r="A5434" s="1" t="s">
        <v>1286</v>
      </c>
    </row>
    <row r="5435" spans="1:1" x14ac:dyDescent="0.2">
      <c r="A5435" s="1" t="s">
        <v>1287</v>
      </c>
    </row>
    <row r="5436" spans="1:1" x14ac:dyDescent="0.2">
      <c r="A5436" s="1" t="s">
        <v>1278</v>
      </c>
    </row>
    <row r="5437" spans="1:1" x14ac:dyDescent="0.2">
      <c r="A5437" s="1" t="s">
        <v>1279</v>
      </c>
    </row>
    <row r="5438" spans="1:1" x14ac:dyDescent="0.2">
      <c r="A5438" s="1" t="s">
        <v>1278</v>
      </c>
    </row>
    <row r="5439" spans="1:1" x14ac:dyDescent="0.2">
      <c r="A5439" s="1" t="s">
        <v>1279</v>
      </c>
    </row>
    <row r="5440" spans="1:1" x14ac:dyDescent="0.2">
      <c r="A5440" s="1" t="s">
        <v>1278</v>
      </c>
    </row>
    <row r="5441" spans="1:1" x14ac:dyDescent="0.2">
      <c r="A5441" s="1" t="s">
        <v>1279</v>
      </c>
    </row>
    <row r="5442" spans="1:1" x14ac:dyDescent="0.2">
      <c r="A5442" s="1" t="s">
        <v>1280</v>
      </c>
    </row>
    <row r="5443" spans="1:1" x14ac:dyDescent="0.2">
      <c r="A5443" s="1" t="s">
        <v>1281</v>
      </c>
    </row>
    <row r="5444" spans="1:1" x14ac:dyDescent="0.2">
      <c r="A5444" s="1" t="s">
        <v>1282</v>
      </c>
    </row>
    <row r="5445" spans="1:1" x14ac:dyDescent="0.2">
      <c r="A5445" s="1" t="s">
        <v>1283</v>
      </c>
    </row>
    <row r="5446" spans="1:1" x14ac:dyDescent="0.2">
      <c r="A5446" s="1" t="s">
        <v>1284</v>
      </c>
    </row>
    <row r="5447" spans="1:1" x14ac:dyDescent="0.2">
      <c r="A5447" s="1" t="s">
        <v>1285</v>
      </c>
    </row>
    <row r="5448" spans="1:1" x14ac:dyDescent="0.2">
      <c r="A5448" s="1" t="s">
        <v>1286</v>
      </c>
    </row>
    <row r="5449" spans="1:1" x14ac:dyDescent="0.2">
      <c r="A5449" s="1" t="s">
        <v>1287</v>
      </c>
    </row>
    <row r="5450" spans="1:1" x14ac:dyDescent="0.2">
      <c r="A5450" s="1" t="s">
        <v>1278</v>
      </c>
    </row>
    <row r="5451" spans="1:1" x14ac:dyDescent="0.2">
      <c r="A5451" s="1" t="s">
        <v>1279</v>
      </c>
    </row>
    <row r="5452" spans="1:1" x14ac:dyDescent="0.2">
      <c r="A5452" s="1" t="s">
        <v>1278</v>
      </c>
    </row>
    <row r="5453" spans="1:1" x14ac:dyDescent="0.2">
      <c r="A5453" s="1" t="s">
        <v>1279</v>
      </c>
    </row>
    <row r="5454" spans="1:1" x14ac:dyDescent="0.2">
      <c r="A5454" s="1" t="s">
        <v>1278</v>
      </c>
    </row>
    <row r="5455" spans="1:1" x14ac:dyDescent="0.2">
      <c r="A5455" s="1" t="s">
        <v>1279</v>
      </c>
    </row>
    <row r="5456" spans="1:1" x14ac:dyDescent="0.2">
      <c r="A5456" s="1" t="s">
        <v>1280</v>
      </c>
    </row>
    <row r="5457" spans="1:1" x14ac:dyDescent="0.2">
      <c r="A5457" s="1" t="s">
        <v>1281</v>
      </c>
    </row>
    <row r="5458" spans="1:1" x14ac:dyDescent="0.2">
      <c r="A5458" s="1" t="s">
        <v>1282</v>
      </c>
    </row>
    <row r="5459" spans="1:1" x14ac:dyDescent="0.2">
      <c r="A5459" s="1" t="s">
        <v>1283</v>
      </c>
    </row>
    <row r="5460" spans="1:1" x14ac:dyDescent="0.2">
      <c r="A5460" s="1" t="s">
        <v>1284</v>
      </c>
    </row>
    <row r="5461" spans="1:1" x14ac:dyDescent="0.2">
      <c r="A5461" s="1" t="s">
        <v>1285</v>
      </c>
    </row>
    <row r="5462" spans="1:1" x14ac:dyDescent="0.2">
      <c r="A5462" s="1" t="s">
        <v>1286</v>
      </c>
    </row>
    <row r="5463" spans="1:1" x14ac:dyDescent="0.2">
      <c r="A5463" s="1" t="s">
        <v>1287</v>
      </c>
    </row>
    <row r="5464" spans="1:1" x14ac:dyDescent="0.2">
      <c r="A5464" s="1" t="s">
        <v>1278</v>
      </c>
    </row>
    <row r="5465" spans="1:1" x14ac:dyDescent="0.2">
      <c r="A5465" s="1" t="s">
        <v>1279</v>
      </c>
    </row>
    <row r="5466" spans="1:1" x14ac:dyDescent="0.2">
      <c r="A5466" s="1" t="s">
        <v>1278</v>
      </c>
    </row>
    <row r="5467" spans="1:1" x14ac:dyDescent="0.2">
      <c r="A5467" s="1" t="s">
        <v>1279</v>
      </c>
    </row>
    <row r="5468" spans="1:1" x14ac:dyDescent="0.2">
      <c r="A5468" s="1" t="s">
        <v>1278</v>
      </c>
    </row>
    <row r="5469" spans="1:1" x14ac:dyDescent="0.2">
      <c r="A5469" s="1" t="s">
        <v>1279</v>
      </c>
    </row>
    <row r="5470" spans="1:1" x14ac:dyDescent="0.2">
      <c r="A5470" s="1" t="s">
        <v>1280</v>
      </c>
    </row>
    <row r="5471" spans="1:1" x14ac:dyDescent="0.2">
      <c r="A5471" s="1" t="s">
        <v>1281</v>
      </c>
    </row>
    <row r="5472" spans="1:1" x14ac:dyDescent="0.2">
      <c r="A5472" s="1" t="s">
        <v>1282</v>
      </c>
    </row>
    <row r="5473" spans="1:1" x14ac:dyDescent="0.2">
      <c r="A5473" s="1" t="s">
        <v>1283</v>
      </c>
    </row>
    <row r="5474" spans="1:1" x14ac:dyDescent="0.2">
      <c r="A5474" s="1" t="s">
        <v>1284</v>
      </c>
    </row>
    <row r="5475" spans="1:1" x14ac:dyDescent="0.2">
      <c r="A5475" s="1" t="s">
        <v>1285</v>
      </c>
    </row>
    <row r="5476" spans="1:1" x14ac:dyDescent="0.2">
      <c r="A5476" s="1" t="s">
        <v>1286</v>
      </c>
    </row>
    <row r="5477" spans="1:1" x14ac:dyDescent="0.2">
      <c r="A5477" s="1" t="s">
        <v>1287</v>
      </c>
    </row>
    <row r="5478" spans="1:1" x14ac:dyDescent="0.2">
      <c r="A5478" s="1" t="s">
        <v>1278</v>
      </c>
    </row>
    <row r="5479" spans="1:1" x14ac:dyDescent="0.2">
      <c r="A5479" s="1" t="s">
        <v>1279</v>
      </c>
    </row>
    <row r="5480" spans="1:1" x14ac:dyDescent="0.2">
      <c r="A5480" s="1" t="s">
        <v>1278</v>
      </c>
    </row>
    <row r="5481" spans="1:1" x14ac:dyDescent="0.2">
      <c r="A5481" s="1" t="s">
        <v>1279</v>
      </c>
    </row>
    <row r="5482" spans="1:1" x14ac:dyDescent="0.2">
      <c r="A5482" s="1" t="s">
        <v>1278</v>
      </c>
    </row>
    <row r="5483" spans="1:1" x14ac:dyDescent="0.2">
      <c r="A5483" s="1" t="s">
        <v>1279</v>
      </c>
    </row>
    <row r="5484" spans="1:1" x14ac:dyDescent="0.2">
      <c r="A5484" s="1" t="s">
        <v>1280</v>
      </c>
    </row>
    <row r="5485" spans="1:1" x14ac:dyDescent="0.2">
      <c r="A5485" s="1" t="s">
        <v>1281</v>
      </c>
    </row>
    <row r="5486" spans="1:1" x14ac:dyDescent="0.2">
      <c r="A5486" s="1" t="s">
        <v>1282</v>
      </c>
    </row>
    <row r="5487" spans="1:1" x14ac:dyDescent="0.2">
      <c r="A5487" s="1" t="s">
        <v>1283</v>
      </c>
    </row>
    <row r="5488" spans="1:1" x14ac:dyDescent="0.2">
      <c r="A5488" s="1" t="s">
        <v>1284</v>
      </c>
    </row>
    <row r="5489" spans="1:1" x14ac:dyDescent="0.2">
      <c r="A5489" s="1" t="s">
        <v>1285</v>
      </c>
    </row>
    <row r="5490" spans="1:1" x14ac:dyDescent="0.2">
      <c r="A5490" s="1" t="s">
        <v>1286</v>
      </c>
    </row>
    <row r="5491" spans="1:1" x14ac:dyDescent="0.2">
      <c r="A5491" s="1" t="s">
        <v>1287</v>
      </c>
    </row>
    <row r="5492" spans="1:1" x14ac:dyDescent="0.2">
      <c r="A5492" s="1" t="s">
        <v>1278</v>
      </c>
    </row>
    <row r="5493" spans="1:1" x14ac:dyDescent="0.2">
      <c r="A5493" s="1" t="s">
        <v>1279</v>
      </c>
    </row>
    <row r="5494" spans="1:1" x14ac:dyDescent="0.2">
      <c r="A5494" s="1" t="s">
        <v>1278</v>
      </c>
    </row>
    <row r="5495" spans="1:1" x14ac:dyDescent="0.2">
      <c r="A5495" s="1" t="s">
        <v>1279</v>
      </c>
    </row>
    <row r="5496" spans="1:1" x14ac:dyDescent="0.2">
      <c r="A5496" s="1" t="s">
        <v>1278</v>
      </c>
    </row>
    <row r="5497" spans="1:1" x14ac:dyDescent="0.2">
      <c r="A5497" s="1" t="s">
        <v>1279</v>
      </c>
    </row>
    <row r="5498" spans="1:1" x14ac:dyDescent="0.2">
      <c r="A5498" s="1" t="s">
        <v>1288</v>
      </c>
    </row>
    <row r="5499" spans="1:1" x14ac:dyDescent="0.2">
      <c r="A5499" s="1" t="s">
        <v>1289</v>
      </c>
    </row>
    <row r="5500" spans="1:1" x14ac:dyDescent="0.2">
      <c r="A5500" s="1" t="s">
        <v>1290</v>
      </c>
    </row>
    <row r="5501" spans="1:1" x14ac:dyDescent="0.2">
      <c r="A5501" s="1" t="s">
        <v>1291</v>
      </c>
    </row>
    <row r="5502" spans="1:1" x14ac:dyDescent="0.2">
      <c r="A5502" s="1" t="s">
        <v>1292</v>
      </c>
    </row>
    <row r="5503" spans="1:1" x14ac:dyDescent="0.2">
      <c r="A5503" s="1" t="s">
        <v>1293</v>
      </c>
    </row>
    <row r="5504" spans="1:1" x14ac:dyDescent="0.2">
      <c r="A5504" s="1" t="s">
        <v>1294</v>
      </c>
    </row>
    <row r="5505" spans="1:1" x14ac:dyDescent="0.2">
      <c r="A5505" s="1" t="s">
        <v>1295</v>
      </c>
    </row>
    <row r="5506" spans="1:1" x14ac:dyDescent="0.2">
      <c r="A5506" s="1" t="s">
        <v>1296</v>
      </c>
    </row>
    <row r="5507" spans="1:1" x14ac:dyDescent="0.2">
      <c r="A5507" s="1" t="s">
        <v>1297</v>
      </c>
    </row>
    <row r="5508" spans="1:1" x14ac:dyDescent="0.2">
      <c r="A5508" s="1" t="s">
        <v>1296</v>
      </c>
    </row>
    <row r="5509" spans="1:1" x14ac:dyDescent="0.2">
      <c r="A5509" s="1" t="s">
        <v>1297</v>
      </c>
    </row>
    <row r="5510" spans="1:1" x14ac:dyDescent="0.2">
      <c r="A5510" s="1" t="s">
        <v>1296</v>
      </c>
    </row>
    <row r="5511" spans="1:1" x14ac:dyDescent="0.2">
      <c r="A5511" s="1" t="s">
        <v>1297</v>
      </c>
    </row>
    <row r="5512" spans="1:1" x14ac:dyDescent="0.2">
      <c r="A5512" s="1" t="s">
        <v>1288</v>
      </c>
    </row>
    <row r="5513" spans="1:1" x14ac:dyDescent="0.2">
      <c r="A5513" s="1" t="s">
        <v>1289</v>
      </c>
    </row>
    <row r="5514" spans="1:1" x14ac:dyDescent="0.2">
      <c r="A5514" s="1" t="s">
        <v>1290</v>
      </c>
    </row>
    <row r="5515" spans="1:1" x14ac:dyDescent="0.2">
      <c r="A5515" s="1" t="s">
        <v>1291</v>
      </c>
    </row>
    <row r="5516" spans="1:1" x14ac:dyDescent="0.2">
      <c r="A5516" s="1" t="s">
        <v>1292</v>
      </c>
    </row>
    <row r="5517" spans="1:1" x14ac:dyDescent="0.2">
      <c r="A5517" s="1" t="s">
        <v>1293</v>
      </c>
    </row>
    <row r="5518" spans="1:1" x14ac:dyDescent="0.2">
      <c r="A5518" s="1" t="s">
        <v>1294</v>
      </c>
    </row>
    <row r="5519" spans="1:1" x14ac:dyDescent="0.2">
      <c r="A5519" s="1" t="s">
        <v>1295</v>
      </c>
    </row>
    <row r="5520" spans="1:1" x14ac:dyDescent="0.2">
      <c r="A5520" s="1" t="s">
        <v>1296</v>
      </c>
    </row>
    <row r="5521" spans="1:1" x14ac:dyDescent="0.2">
      <c r="A5521" s="1" t="s">
        <v>1297</v>
      </c>
    </row>
    <row r="5522" spans="1:1" x14ac:dyDescent="0.2">
      <c r="A5522" s="1" t="s">
        <v>1296</v>
      </c>
    </row>
    <row r="5523" spans="1:1" x14ac:dyDescent="0.2">
      <c r="A5523" s="1" t="s">
        <v>1297</v>
      </c>
    </row>
    <row r="5524" spans="1:1" x14ac:dyDescent="0.2">
      <c r="A5524" s="1" t="s">
        <v>1296</v>
      </c>
    </row>
    <row r="5525" spans="1:1" x14ac:dyDescent="0.2">
      <c r="A5525" s="1" t="s">
        <v>1297</v>
      </c>
    </row>
    <row r="5526" spans="1:1" x14ac:dyDescent="0.2">
      <c r="A5526" s="1" t="s">
        <v>1288</v>
      </c>
    </row>
    <row r="5527" spans="1:1" x14ac:dyDescent="0.2">
      <c r="A5527" s="1" t="s">
        <v>1289</v>
      </c>
    </row>
    <row r="5528" spans="1:1" x14ac:dyDescent="0.2">
      <c r="A5528" s="1" t="s">
        <v>1290</v>
      </c>
    </row>
    <row r="5529" spans="1:1" x14ac:dyDescent="0.2">
      <c r="A5529" s="1" t="s">
        <v>1291</v>
      </c>
    </row>
    <row r="5530" spans="1:1" x14ac:dyDescent="0.2">
      <c r="A5530" s="1" t="s">
        <v>1292</v>
      </c>
    </row>
    <row r="5531" spans="1:1" x14ac:dyDescent="0.2">
      <c r="A5531" s="1" t="s">
        <v>1293</v>
      </c>
    </row>
    <row r="5532" spans="1:1" x14ac:dyDescent="0.2">
      <c r="A5532" s="1" t="s">
        <v>1294</v>
      </c>
    </row>
    <row r="5533" spans="1:1" x14ac:dyDescent="0.2">
      <c r="A5533" s="1" t="s">
        <v>1295</v>
      </c>
    </row>
    <row r="5534" spans="1:1" x14ac:dyDescent="0.2">
      <c r="A5534" s="1" t="s">
        <v>1296</v>
      </c>
    </row>
    <row r="5535" spans="1:1" x14ac:dyDescent="0.2">
      <c r="A5535" s="1" t="s">
        <v>1297</v>
      </c>
    </row>
    <row r="5536" spans="1:1" x14ac:dyDescent="0.2">
      <c r="A5536" s="1" t="s">
        <v>1298</v>
      </c>
    </row>
    <row r="5537" spans="1:1" x14ac:dyDescent="0.2">
      <c r="A5537" s="1" t="s">
        <v>1299</v>
      </c>
    </row>
    <row r="5538" spans="1:1" x14ac:dyDescent="0.2">
      <c r="A5538" s="1" t="s">
        <v>1300</v>
      </c>
    </row>
    <row r="5539" spans="1:1" x14ac:dyDescent="0.2">
      <c r="A5539" s="1" t="s">
        <v>1301</v>
      </c>
    </row>
    <row r="5540" spans="1:1" x14ac:dyDescent="0.2">
      <c r="A5540" s="1" t="s">
        <v>1302</v>
      </c>
    </row>
    <row r="5541" spans="1:1" x14ac:dyDescent="0.2">
      <c r="A5541" s="1" t="s">
        <v>1303</v>
      </c>
    </row>
    <row r="5542" spans="1:1" x14ac:dyDescent="0.2">
      <c r="A5542" s="1" t="s">
        <v>1304</v>
      </c>
    </row>
    <row r="5543" spans="1:1" x14ac:dyDescent="0.2">
      <c r="A5543" s="1" t="s">
        <v>1305</v>
      </c>
    </row>
    <row r="5544" spans="1:1" x14ac:dyDescent="0.2">
      <c r="A5544" s="1" t="s">
        <v>1306</v>
      </c>
    </row>
    <row r="5545" spans="1:1" x14ac:dyDescent="0.2">
      <c r="A5545" s="1" t="s">
        <v>1307</v>
      </c>
    </row>
    <row r="5546" spans="1:1" x14ac:dyDescent="0.2">
      <c r="A5546" s="1" t="s">
        <v>1308</v>
      </c>
    </row>
    <row r="5547" spans="1:1" x14ac:dyDescent="0.2">
      <c r="A5547" s="1" t="s">
        <v>1309</v>
      </c>
    </row>
    <row r="5548" spans="1:1" x14ac:dyDescent="0.2">
      <c r="A5548" s="1" t="s">
        <v>1298</v>
      </c>
    </row>
    <row r="5549" spans="1:1" x14ac:dyDescent="0.2">
      <c r="A5549" s="1" t="s">
        <v>1310</v>
      </c>
    </row>
    <row r="5550" spans="1:1" x14ac:dyDescent="0.2">
      <c r="A5550" s="1" t="s">
        <v>1300</v>
      </c>
    </row>
    <row r="5551" spans="1:1" x14ac:dyDescent="0.2">
      <c r="A5551" s="1" t="s">
        <v>1301</v>
      </c>
    </row>
    <row r="5552" spans="1:1" x14ac:dyDescent="0.2">
      <c r="A5552" s="1" t="s">
        <v>1302</v>
      </c>
    </row>
    <row r="5553" spans="1:1" x14ac:dyDescent="0.2">
      <c r="A5553" s="1" t="s">
        <v>1303</v>
      </c>
    </row>
    <row r="5554" spans="1:1" x14ac:dyDescent="0.2">
      <c r="A5554" s="1" t="s">
        <v>1311</v>
      </c>
    </row>
    <row r="5555" spans="1:1" x14ac:dyDescent="0.2">
      <c r="A5555" s="1" t="s">
        <v>1305</v>
      </c>
    </row>
    <row r="5556" spans="1:1" x14ac:dyDescent="0.2">
      <c r="A5556" s="1" t="s">
        <v>1306</v>
      </c>
    </row>
    <row r="5557" spans="1:1" x14ac:dyDescent="0.2">
      <c r="A5557" s="1" t="s">
        <v>1307</v>
      </c>
    </row>
    <row r="5558" spans="1:1" x14ac:dyDescent="0.2">
      <c r="A5558" s="1" t="s">
        <v>1308</v>
      </c>
    </row>
    <row r="5559" spans="1:1" x14ac:dyDescent="0.2">
      <c r="A5559" s="1" t="s">
        <v>1309</v>
      </c>
    </row>
    <row r="5560" spans="1:1" x14ac:dyDescent="0.2">
      <c r="A5560" s="1" t="s">
        <v>1298</v>
      </c>
    </row>
    <row r="5561" spans="1:1" x14ac:dyDescent="0.2">
      <c r="A5561" s="1" t="s">
        <v>1312</v>
      </c>
    </row>
    <row r="5562" spans="1:1" x14ac:dyDescent="0.2">
      <c r="A5562" s="1" t="s">
        <v>1300</v>
      </c>
    </row>
    <row r="5563" spans="1:1" x14ac:dyDescent="0.2">
      <c r="A5563" s="1" t="s">
        <v>1301</v>
      </c>
    </row>
    <row r="5564" spans="1:1" x14ac:dyDescent="0.2">
      <c r="A5564" s="1" t="s">
        <v>1302</v>
      </c>
    </row>
    <row r="5565" spans="1:1" x14ac:dyDescent="0.2">
      <c r="A5565" s="1" t="s">
        <v>1303</v>
      </c>
    </row>
    <row r="5566" spans="1:1" x14ac:dyDescent="0.2">
      <c r="A5566" s="1" t="s">
        <v>1313</v>
      </c>
    </row>
    <row r="5567" spans="1:1" x14ac:dyDescent="0.2">
      <c r="A5567" s="1" t="s">
        <v>1305</v>
      </c>
    </row>
    <row r="5568" spans="1:1" x14ac:dyDescent="0.2">
      <c r="A5568" s="1" t="s">
        <v>1306</v>
      </c>
    </row>
    <row r="5569" spans="1:1" x14ac:dyDescent="0.2">
      <c r="A5569" s="1" t="s">
        <v>1307</v>
      </c>
    </row>
    <row r="5570" spans="1:1" x14ac:dyDescent="0.2">
      <c r="A5570" s="1" t="s">
        <v>1308</v>
      </c>
    </row>
    <row r="5571" spans="1:1" x14ac:dyDescent="0.2">
      <c r="A5571" s="1" t="s">
        <v>1309</v>
      </c>
    </row>
    <row r="5572" spans="1:1" x14ac:dyDescent="0.2">
      <c r="A5572" s="1" t="s">
        <v>1314</v>
      </c>
    </row>
    <row r="5573" spans="1:1" x14ac:dyDescent="0.2">
      <c r="A5573" s="1" t="s">
        <v>1315</v>
      </c>
    </row>
    <row r="5574" spans="1:1" x14ac:dyDescent="0.2">
      <c r="A5574" s="1" t="s">
        <v>1314</v>
      </c>
    </row>
    <row r="5575" spans="1:1" x14ac:dyDescent="0.2">
      <c r="A5575" s="1" t="s">
        <v>1315</v>
      </c>
    </row>
    <row r="5576" spans="1:1" x14ac:dyDescent="0.2">
      <c r="A5576" s="1" t="s">
        <v>1316</v>
      </c>
    </row>
    <row r="5577" spans="1:1" x14ac:dyDescent="0.2">
      <c r="A5577" s="1" t="s">
        <v>1317</v>
      </c>
    </row>
    <row r="5578" spans="1:1" x14ac:dyDescent="0.2">
      <c r="A5578" s="1" t="s">
        <v>1318</v>
      </c>
    </row>
    <row r="5579" spans="1:1" x14ac:dyDescent="0.2">
      <c r="A5579" s="1" t="s">
        <v>1319</v>
      </c>
    </row>
    <row r="5580" spans="1:1" x14ac:dyDescent="0.2">
      <c r="A5580" s="1" t="s">
        <v>1320</v>
      </c>
    </row>
    <row r="5581" spans="1:1" x14ac:dyDescent="0.2">
      <c r="A5581" s="1" t="s">
        <v>1321</v>
      </c>
    </row>
    <row r="5582" spans="1:1" x14ac:dyDescent="0.2">
      <c r="A5582" s="1" t="s">
        <v>1322</v>
      </c>
    </row>
    <row r="5583" spans="1:1" x14ac:dyDescent="0.2">
      <c r="A5583" s="1" t="s">
        <v>1323</v>
      </c>
    </row>
    <row r="5584" spans="1:1" x14ac:dyDescent="0.2">
      <c r="A5584" s="1" t="s">
        <v>1314</v>
      </c>
    </row>
    <row r="5585" spans="1:1" x14ac:dyDescent="0.2">
      <c r="A5585" s="1" t="s">
        <v>1315</v>
      </c>
    </row>
    <row r="5586" spans="1:1" x14ac:dyDescent="0.2">
      <c r="A5586" s="1" t="s">
        <v>1314</v>
      </c>
    </row>
    <row r="5587" spans="1:1" x14ac:dyDescent="0.2">
      <c r="A5587" s="1" t="s">
        <v>1315</v>
      </c>
    </row>
    <row r="5588" spans="1:1" x14ac:dyDescent="0.2">
      <c r="A5588" s="1" t="s">
        <v>1314</v>
      </c>
    </row>
    <row r="5589" spans="1:1" x14ac:dyDescent="0.2">
      <c r="A5589" s="1" t="s">
        <v>1315</v>
      </c>
    </row>
    <row r="5590" spans="1:1" x14ac:dyDescent="0.2">
      <c r="A5590" s="1" t="s">
        <v>1316</v>
      </c>
    </row>
    <row r="5591" spans="1:1" x14ac:dyDescent="0.2">
      <c r="A5591" s="1" t="s">
        <v>1317</v>
      </c>
    </row>
    <row r="5592" spans="1:1" x14ac:dyDescent="0.2">
      <c r="A5592" s="1" t="s">
        <v>1318</v>
      </c>
    </row>
    <row r="5593" spans="1:1" x14ac:dyDescent="0.2">
      <c r="A5593" s="1" t="s">
        <v>1319</v>
      </c>
    </row>
    <row r="5594" spans="1:1" x14ac:dyDescent="0.2">
      <c r="A5594" s="1" t="s">
        <v>1320</v>
      </c>
    </row>
    <row r="5595" spans="1:1" x14ac:dyDescent="0.2">
      <c r="A5595" s="1" t="s">
        <v>1321</v>
      </c>
    </row>
    <row r="5596" spans="1:1" x14ac:dyDescent="0.2">
      <c r="A5596" s="1" t="s">
        <v>1322</v>
      </c>
    </row>
    <row r="5597" spans="1:1" x14ac:dyDescent="0.2">
      <c r="A5597" s="1" t="s">
        <v>1323</v>
      </c>
    </row>
    <row r="5598" spans="1:1" x14ac:dyDescent="0.2">
      <c r="A5598" s="1" t="s">
        <v>1314</v>
      </c>
    </row>
    <row r="5599" spans="1:1" x14ac:dyDescent="0.2">
      <c r="A5599" s="1" t="s">
        <v>1315</v>
      </c>
    </row>
    <row r="5600" spans="1:1" x14ac:dyDescent="0.2">
      <c r="A5600" s="1" t="s">
        <v>1314</v>
      </c>
    </row>
    <row r="5601" spans="1:1" x14ac:dyDescent="0.2">
      <c r="A5601" s="1" t="s">
        <v>1315</v>
      </c>
    </row>
    <row r="5602" spans="1:1" x14ac:dyDescent="0.2">
      <c r="A5602" s="1" t="s">
        <v>1314</v>
      </c>
    </row>
    <row r="5603" spans="1:1" x14ac:dyDescent="0.2">
      <c r="A5603" s="1" t="s">
        <v>1315</v>
      </c>
    </row>
    <row r="5604" spans="1:1" x14ac:dyDescent="0.2">
      <c r="A5604" s="1" t="s">
        <v>1316</v>
      </c>
    </row>
    <row r="5605" spans="1:1" x14ac:dyDescent="0.2">
      <c r="A5605" s="1" t="s">
        <v>1317</v>
      </c>
    </row>
    <row r="5606" spans="1:1" x14ac:dyDescent="0.2">
      <c r="A5606" s="1" t="s">
        <v>1318</v>
      </c>
    </row>
    <row r="5607" spans="1:1" x14ac:dyDescent="0.2">
      <c r="A5607" s="1" t="s">
        <v>1319</v>
      </c>
    </row>
    <row r="5608" spans="1:1" x14ac:dyDescent="0.2">
      <c r="A5608" s="1" t="s">
        <v>1320</v>
      </c>
    </row>
    <row r="5609" spans="1:1" x14ac:dyDescent="0.2">
      <c r="A5609" s="1" t="s">
        <v>1321</v>
      </c>
    </row>
    <row r="5610" spans="1:1" x14ac:dyDescent="0.2">
      <c r="A5610" s="1" t="s">
        <v>1322</v>
      </c>
    </row>
    <row r="5611" spans="1:1" x14ac:dyDescent="0.2">
      <c r="A5611" s="1" t="s">
        <v>1323</v>
      </c>
    </row>
    <row r="5612" spans="1:1" x14ac:dyDescent="0.2">
      <c r="A5612" s="1" t="s">
        <v>1314</v>
      </c>
    </row>
    <row r="5613" spans="1:1" x14ac:dyDescent="0.2">
      <c r="A5613" s="1" t="s">
        <v>1315</v>
      </c>
    </row>
    <row r="5614" spans="1:1" x14ac:dyDescent="0.2">
      <c r="A5614" s="1" t="s">
        <v>1314</v>
      </c>
    </row>
    <row r="5615" spans="1:1" x14ac:dyDescent="0.2">
      <c r="A5615" s="1" t="s">
        <v>1315</v>
      </c>
    </row>
    <row r="5616" spans="1:1" x14ac:dyDescent="0.2">
      <c r="A5616" s="1" t="s">
        <v>1314</v>
      </c>
    </row>
    <row r="5617" spans="1:1" x14ac:dyDescent="0.2">
      <c r="A5617" s="1" t="s">
        <v>1315</v>
      </c>
    </row>
    <row r="5618" spans="1:1" x14ac:dyDescent="0.2">
      <c r="A5618" s="1" t="s">
        <v>1316</v>
      </c>
    </row>
    <row r="5619" spans="1:1" x14ac:dyDescent="0.2">
      <c r="A5619" s="1" t="s">
        <v>1317</v>
      </c>
    </row>
    <row r="5620" spans="1:1" x14ac:dyDescent="0.2">
      <c r="A5620" s="1" t="s">
        <v>1318</v>
      </c>
    </row>
    <row r="5621" spans="1:1" x14ac:dyDescent="0.2">
      <c r="A5621" s="1" t="s">
        <v>1319</v>
      </c>
    </row>
    <row r="5622" spans="1:1" x14ac:dyDescent="0.2">
      <c r="A5622" s="1" t="s">
        <v>1320</v>
      </c>
    </row>
    <row r="5623" spans="1:1" x14ac:dyDescent="0.2">
      <c r="A5623" s="1" t="s">
        <v>1321</v>
      </c>
    </row>
    <row r="5624" spans="1:1" x14ac:dyDescent="0.2">
      <c r="A5624" s="1" t="s">
        <v>1322</v>
      </c>
    </row>
    <row r="5625" spans="1:1" x14ac:dyDescent="0.2">
      <c r="A5625" s="1" t="s">
        <v>1323</v>
      </c>
    </row>
    <row r="5626" spans="1:1" x14ac:dyDescent="0.2">
      <c r="A5626" s="1" t="s">
        <v>1314</v>
      </c>
    </row>
    <row r="5627" spans="1:1" x14ac:dyDescent="0.2">
      <c r="A5627" s="1" t="s">
        <v>1315</v>
      </c>
    </row>
    <row r="5628" spans="1:1" x14ac:dyDescent="0.2">
      <c r="A5628" s="1" t="s">
        <v>1314</v>
      </c>
    </row>
    <row r="5629" spans="1:1" x14ac:dyDescent="0.2">
      <c r="A5629" s="1" t="s">
        <v>1315</v>
      </c>
    </row>
    <row r="5630" spans="1:1" x14ac:dyDescent="0.2">
      <c r="A5630" s="1" t="s">
        <v>1314</v>
      </c>
    </row>
    <row r="5631" spans="1:1" x14ac:dyDescent="0.2">
      <c r="A5631" s="1" t="s">
        <v>1315</v>
      </c>
    </row>
    <row r="5632" spans="1:1" x14ac:dyDescent="0.2">
      <c r="A5632" s="1" t="s">
        <v>1316</v>
      </c>
    </row>
    <row r="5633" spans="1:1" x14ac:dyDescent="0.2">
      <c r="A5633" s="1" t="s">
        <v>1317</v>
      </c>
    </row>
    <row r="5634" spans="1:1" x14ac:dyDescent="0.2">
      <c r="A5634" s="1" t="s">
        <v>1318</v>
      </c>
    </row>
    <row r="5635" spans="1:1" x14ac:dyDescent="0.2">
      <c r="A5635" s="1" t="s">
        <v>1319</v>
      </c>
    </row>
    <row r="5636" spans="1:1" x14ac:dyDescent="0.2">
      <c r="A5636" s="1" t="s">
        <v>1320</v>
      </c>
    </row>
    <row r="5637" spans="1:1" x14ac:dyDescent="0.2">
      <c r="A5637" s="1" t="s">
        <v>1321</v>
      </c>
    </row>
    <row r="5638" spans="1:1" x14ac:dyDescent="0.2">
      <c r="A5638" s="1" t="s">
        <v>1322</v>
      </c>
    </row>
    <row r="5639" spans="1:1" x14ac:dyDescent="0.2">
      <c r="A5639" s="1" t="s">
        <v>1323</v>
      </c>
    </row>
    <row r="5640" spans="1:1" x14ac:dyDescent="0.2">
      <c r="A5640" s="1" t="s">
        <v>1314</v>
      </c>
    </row>
    <row r="5641" spans="1:1" x14ac:dyDescent="0.2">
      <c r="A5641" s="1" t="s">
        <v>1315</v>
      </c>
    </row>
    <row r="5642" spans="1:1" x14ac:dyDescent="0.2">
      <c r="A5642" s="1" t="s">
        <v>1314</v>
      </c>
    </row>
    <row r="5643" spans="1:1" x14ac:dyDescent="0.2">
      <c r="A5643" s="1" t="s">
        <v>1315</v>
      </c>
    </row>
    <row r="5644" spans="1:1" x14ac:dyDescent="0.2">
      <c r="A5644" s="1" t="s">
        <v>1314</v>
      </c>
    </row>
    <row r="5645" spans="1:1" x14ac:dyDescent="0.2">
      <c r="A5645" s="1" t="s">
        <v>1315</v>
      </c>
    </row>
    <row r="5646" spans="1:1" x14ac:dyDescent="0.2">
      <c r="A5646" s="1" t="s">
        <v>1316</v>
      </c>
    </row>
    <row r="5647" spans="1:1" x14ac:dyDescent="0.2">
      <c r="A5647" s="1" t="s">
        <v>1317</v>
      </c>
    </row>
    <row r="5648" spans="1:1" x14ac:dyDescent="0.2">
      <c r="A5648" s="1" t="s">
        <v>1318</v>
      </c>
    </row>
    <row r="5649" spans="1:1" x14ac:dyDescent="0.2">
      <c r="A5649" s="1" t="s">
        <v>1319</v>
      </c>
    </row>
    <row r="5650" spans="1:1" x14ac:dyDescent="0.2">
      <c r="A5650" s="1" t="s">
        <v>1320</v>
      </c>
    </row>
    <row r="5651" spans="1:1" x14ac:dyDescent="0.2">
      <c r="A5651" s="1" t="s">
        <v>1321</v>
      </c>
    </row>
    <row r="5652" spans="1:1" x14ac:dyDescent="0.2">
      <c r="A5652" s="1" t="s">
        <v>1322</v>
      </c>
    </row>
    <row r="5653" spans="1:1" x14ac:dyDescent="0.2">
      <c r="A5653" s="1" t="s">
        <v>1323</v>
      </c>
    </row>
    <row r="5654" spans="1:1" x14ac:dyDescent="0.2">
      <c r="A5654" s="1" t="s">
        <v>1314</v>
      </c>
    </row>
    <row r="5655" spans="1:1" x14ac:dyDescent="0.2">
      <c r="A5655" s="1" t="s">
        <v>1315</v>
      </c>
    </row>
    <row r="5656" spans="1:1" x14ac:dyDescent="0.2">
      <c r="A5656" s="1" t="s">
        <v>1314</v>
      </c>
    </row>
    <row r="5657" spans="1:1" x14ac:dyDescent="0.2">
      <c r="A5657" s="1" t="s">
        <v>1315</v>
      </c>
    </row>
    <row r="5658" spans="1:1" x14ac:dyDescent="0.2">
      <c r="A5658" s="1" t="s">
        <v>1314</v>
      </c>
    </row>
    <row r="5659" spans="1:1" x14ac:dyDescent="0.2">
      <c r="A5659" s="1" t="s">
        <v>1315</v>
      </c>
    </row>
    <row r="5660" spans="1:1" x14ac:dyDescent="0.2">
      <c r="A5660" s="1" t="s">
        <v>1316</v>
      </c>
    </row>
    <row r="5661" spans="1:1" x14ac:dyDescent="0.2">
      <c r="A5661" s="1" t="s">
        <v>1317</v>
      </c>
    </row>
    <row r="5662" spans="1:1" x14ac:dyDescent="0.2">
      <c r="A5662" s="1" t="s">
        <v>1318</v>
      </c>
    </row>
    <row r="5663" spans="1:1" x14ac:dyDescent="0.2">
      <c r="A5663" s="1" t="s">
        <v>1319</v>
      </c>
    </row>
    <row r="5664" spans="1:1" x14ac:dyDescent="0.2">
      <c r="A5664" s="1" t="s">
        <v>1320</v>
      </c>
    </row>
    <row r="5665" spans="1:1" x14ac:dyDescent="0.2">
      <c r="A5665" s="1" t="s">
        <v>1321</v>
      </c>
    </row>
    <row r="5666" spans="1:1" x14ac:dyDescent="0.2">
      <c r="A5666" s="1" t="s">
        <v>1322</v>
      </c>
    </row>
    <row r="5667" spans="1:1" x14ac:dyDescent="0.2">
      <c r="A5667" s="1" t="s">
        <v>1323</v>
      </c>
    </row>
    <row r="5668" spans="1:1" x14ac:dyDescent="0.2">
      <c r="A5668" s="1" t="s">
        <v>1314</v>
      </c>
    </row>
    <row r="5669" spans="1:1" x14ac:dyDescent="0.2">
      <c r="A5669" s="1" t="s">
        <v>1315</v>
      </c>
    </row>
    <row r="5670" spans="1:1" x14ac:dyDescent="0.2">
      <c r="A5670" s="1" t="s">
        <v>1314</v>
      </c>
    </row>
    <row r="5671" spans="1:1" x14ac:dyDescent="0.2">
      <c r="A5671" s="1" t="s">
        <v>1315</v>
      </c>
    </row>
    <row r="5672" spans="1:1" x14ac:dyDescent="0.2">
      <c r="A5672" s="1" t="s">
        <v>1314</v>
      </c>
    </row>
    <row r="5673" spans="1:1" x14ac:dyDescent="0.2">
      <c r="A5673" s="1" t="s">
        <v>1315</v>
      </c>
    </row>
    <row r="5674" spans="1:1" x14ac:dyDescent="0.2">
      <c r="A5674" s="1" t="s">
        <v>1316</v>
      </c>
    </row>
    <row r="5675" spans="1:1" x14ac:dyDescent="0.2">
      <c r="A5675" s="1" t="s">
        <v>1317</v>
      </c>
    </row>
    <row r="5676" spans="1:1" x14ac:dyDescent="0.2">
      <c r="A5676" s="1" t="s">
        <v>1318</v>
      </c>
    </row>
    <row r="5677" spans="1:1" x14ac:dyDescent="0.2">
      <c r="A5677" s="1" t="s">
        <v>1319</v>
      </c>
    </row>
    <row r="5678" spans="1:1" x14ac:dyDescent="0.2">
      <c r="A5678" s="1" t="s">
        <v>1320</v>
      </c>
    </row>
    <row r="5679" spans="1:1" x14ac:dyDescent="0.2">
      <c r="A5679" s="1" t="s">
        <v>1321</v>
      </c>
    </row>
    <row r="5680" spans="1:1" x14ac:dyDescent="0.2">
      <c r="A5680" s="1" t="s">
        <v>1322</v>
      </c>
    </row>
    <row r="5681" spans="1:1" x14ac:dyDescent="0.2">
      <c r="A5681" s="1" t="s">
        <v>1323</v>
      </c>
    </row>
    <row r="5682" spans="1:1" x14ac:dyDescent="0.2">
      <c r="A5682" s="1" t="s">
        <v>1314</v>
      </c>
    </row>
    <row r="5683" spans="1:1" x14ac:dyDescent="0.2">
      <c r="A5683" s="1" t="s">
        <v>1315</v>
      </c>
    </row>
    <row r="5684" spans="1:1" x14ac:dyDescent="0.2">
      <c r="A5684" s="1" t="s">
        <v>1324</v>
      </c>
    </row>
    <row r="5685" spans="1:1" x14ac:dyDescent="0.2">
      <c r="A5685" s="1" t="s">
        <v>1325</v>
      </c>
    </row>
    <row r="5686" spans="1:1" x14ac:dyDescent="0.2">
      <c r="A5686" s="1" t="s">
        <v>1326</v>
      </c>
    </row>
    <row r="5687" spans="1:1" x14ac:dyDescent="0.2">
      <c r="A5687" s="1" t="s">
        <v>1327</v>
      </c>
    </row>
    <row r="5688" spans="1:1" x14ac:dyDescent="0.2">
      <c r="A5688" s="1" t="s">
        <v>1328</v>
      </c>
    </row>
    <row r="5689" spans="1:1" x14ac:dyDescent="0.2">
      <c r="A5689" s="1" t="s">
        <v>1329</v>
      </c>
    </row>
    <row r="5690" spans="1:1" x14ac:dyDescent="0.2">
      <c r="A5690" s="1" t="s">
        <v>1330</v>
      </c>
    </row>
    <row r="5691" spans="1:1" x14ac:dyDescent="0.2">
      <c r="A5691" s="1" t="s">
        <v>1331</v>
      </c>
    </row>
    <row r="5692" spans="1:1" x14ac:dyDescent="0.2">
      <c r="A5692" s="1" t="s">
        <v>1332</v>
      </c>
    </row>
    <row r="5693" spans="1:1" x14ac:dyDescent="0.2">
      <c r="A5693" s="1" t="s">
        <v>1333</v>
      </c>
    </row>
    <row r="5694" spans="1:1" x14ac:dyDescent="0.2">
      <c r="A5694" s="1" t="s">
        <v>1334</v>
      </c>
    </row>
    <row r="5695" spans="1:1" x14ac:dyDescent="0.2">
      <c r="A5695" s="1" t="s">
        <v>1335</v>
      </c>
    </row>
    <row r="5696" spans="1:1" x14ac:dyDescent="0.2">
      <c r="A5696" s="1" t="s">
        <v>1324</v>
      </c>
    </row>
    <row r="5697" spans="1:1" x14ac:dyDescent="0.2">
      <c r="A5697" s="1" t="s">
        <v>1336</v>
      </c>
    </row>
    <row r="5698" spans="1:1" x14ac:dyDescent="0.2">
      <c r="A5698" s="1" t="s">
        <v>1326</v>
      </c>
    </row>
    <row r="5699" spans="1:1" x14ac:dyDescent="0.2">
      <c r="A5699" s="1" t="s">
        <v>1327</v>
      </c>
    </row>
    <row r="5700" spans="1:1" x14ac:dyDescent="0.2">
      <c r="A5700" s="1" t="s">
        <v>1328</v>
      </c>
    </row>
    <row r="5701" spans="1:1" x14ac:dyDescent="0.2">
      <c r="A5701" s="1" t="s">
        <v>1329</v>
      </c>
    </row>
    <row r="5702" spans="1:1" x14ac:dyDescent="0.2">
      <c r="A5702" s="1" t="s">
        <v>1337</v>
      </c>
    </row>
    <row r="5703" spans="1:1" x14ac:dyDescent="0.2">
      <c r="A5703" s="1" t="s">
        <v>1331</v>
      </c>
    </row>
    <row r="5704" spans="1:1" x14ac:dyDescent="0.2">
      <c r="A5704" s="1" t="s">
        <v>1332</v>
      </c>
    </row>
    <row r="5705" spans="1:1" x14ac:dyDescent="0.2">
      <c r="A5705" s="1" t="s">
        <v>1333</v>
      </c>
    </row>
    <row r="5706" spans="1:1" x14ac:dyDescent="0.2">
      <c r="A5706" s="1" t="s">
        <v>1334</v>
      </c>
    </row>
    <row r="5707" spans="1:1" x14ac:dyDescent="0.2">
      <c r="A5707" s="1" t="s">
        <v>1335</v>
      </c>
    </row>
    <row r="5708" spans="1:1" x14ac:dyDescent="0.2">
      <c r="A5708" s="1" t="s">
        <v>1338</v>
      </c>
    </row>
    <row r="5709" spans="1:1" x14ac:dyDescent="0.2">
      <c r="A5709" s="1" t="s">
        <v>1339</v>
      </c>
    </row>
    <row r="5710" spans="1:1" x14ac:dyDescent="0.2">
      <c r="A5710" s="1" t="s">
        <v>1338</v>
      </c>
    </row>
    <row r="5711" spans="1:1" x14ac:dyDescent="0.2">
      <c r="A5711" s="1" t="s">
        <v>1339</v>
      </c>
    </row>
    <row r="5712" spans="1:1" x14ac:dyDescent="0.2">
      <c r="A5712" s="1" t="s">
        <v>1340</v>
      </c>
    </row>
    <row r="5713" spans="1:1" x14ac:dyDescent="0.2">
      <c r="A5713" s="1" t="s">
        <v>1341</v>
      </c>
    </row>
    <row r="5714" spans="1:1" x14ac:dyDescent="0.2">
      <c r="A5714" s="1" t="s">
        <v>1342</v>
      </c>
    </row>
    <row r="5715" spans="1:1" x14ac:dyDescent="0.2">
      <c r="A5715" s="1" t="s">
        <v>1343</v>
      </c>
    </row>
    <row r="5716" spans="1:1" x14ac:dyDescent="0.2">
      <c r="A5716" s="1" t="s">
        <v>1344</v>
      </c>
    </row>
    <row r="5717" spans="1:1" x14ac:dyDescent="0.2">
      <c r="A5717" s="1" t="s">
        <v>1345</v>
      </c>
    </row>
    <row r="5718" spans="1:1" x14ac:dyDescent="0.2">
      <c r="A5718" s="1" t="s">
        <v>1346</v>
      </c>
    </row>
    <row r="5719" spans="1:1" x14ac:dyDescent="0.2">
      <c r="A5719" s="1" t="s">
        <v>1347</v>
      </c>
    </row>
    <row r="5720" spans="1:1" x14ac:dyDescent="0.2">
      <c r="A5720" s="1" t="s">
        <v>1338</v>
      </c>
    </row>
    <row r="5721" spans="1:1" x14ac:dyDescent="0.2">
      <c r="A5721" s="1" t="s">
        <v>1339</v>
      </c>
    </row>
    <row r="5722" spans="1:1" x14ac:dyDescent="0.2">
      <c r="A5722" s="1" t="s">
        <v>1338</v>
      </c>
    </row>
    <row r="5723" spans="1:1" x14ac:dyDescent="0.2">
      <c r="A5723" s="1" t="s">
        <v>1339</v>
      </c>
    </row>
    <row r="5724" spans="1:1" x14ac:dyDescent="0.2">
      <c r="A5724" s="1" t="s">
        <v>1338</v>
      </c>
    </row>
    <row r="5725" spans="1:1" x14ac:dyDescent="0.2">
      <c r="A5725" s="1" t="s">
        <v>1339</v>
      </c>
    </row>
    <row r="5726" spans="1:1" x14ac:dyDescent="0.2">
      <c r="A5726" s="1" t="s">
        <v>1340</v>
      </c>
    </row>
    <row r="5727" spans="1:1" x14ac:dyDescent="0.2">
      <c r="A5727" s="1" t="s">
        <v>1341</v>
      </c>
    </row>
    <row r="5728" spans="1:1" x14ac:dyDescent="0.2">
      <c r="A5728" s="1" t="s">
        <v>1342</v>
      </c>
    </row>
    <row r="5729" spans="1:1" x14ac:dyDescent="0.2">
      <c r="A5729" s="1" t="s">
        <v>1343</v>
      </c>
    </row>
    <row r="5730" spans="1:1" x14ac:dyDescent="0.2">
      <c r="A5730" s="1" t="s">
        <v>1344</v>
      </c>
    </row>
    <row r="5731" spans="1:1" x14ac:dyDescent="0.2">
      <c r="A5731" s="1" t="s">
        <v>1345</v>
      </c>
    </row>
    <row r="5732" spans="1:1" x14ac:dyDescent="0.2">
      <c r="A5732" s="1" t="s">
        <v>1346</v>
      </c>
    </row>
    <row r="5733" spans="1:1" x14ac:dyDescent="0.2">
      <c r="A5733" s="1" t="s">
        <v>1347</v>
      </c>
    </row>
    <row r="5734" spans="1:1" x14ac:dyDescent="0.2">
      <c r="A5734" s="1" t="s">
        <v>1338</v>
      </c>
    </row>
    <row r="5735" spans="1:1" x14ac:dyDescent="0.2">
      <c r="A5735" s="1" t="s">
        <v>1339</v>
      </c>
    </row>
    <row r="5736" spans="1:1" x14ac:dyDescent="0.2">
      <c r="A5736" s="1" t="s">
        <v>1338</v>
      </c>
    </row>
    <row r="5737" spans="1:1" x14ac:dyDescent="0.2">
      <c r="A5737" s="1" t="s">
        <v>1339</v>
      </c>
    </row>
    <row r="5738" spans="1:1" x14ac:dyDescent="0.2">
      <c r="A5738" s="1" t="s">
        <v>1338</v>
      </c>
    </row>
    <row r="5739" spans="1:1" x14ac:dyDescent="0.2">
      <c r="A5739" s="1" t="s">
        <v>1339</v>
      </c>
    </row>
    <row r="5740" spans="1:1" x14ac:dyDescent="0.2">
      <c r="A5740" s="1" t="s">
        <v>1340</v>
      </c>
    </row>
    <row r="5741" spans="1:1" x14ac:dyDescent="0.2">
      <c r="A5741" s="1" t="s">
        <v>1341</v>
      </c>
    </row>
    <row r="5742" spans="1:1" x14ac:dyDescent="0.2">
      <c r="A5742" s="1" t="s">
        <v>1342</v>
      </c>
    </row>
    <row r="5743" spans="1:1" x14ac:dyDescent="0.2">
      <c r="A5743" s="1" t="s">
        <v>1343</v>
      </c>
    </row>
    <row r="5744" spans="1:1" x14ac:dyDescent="0.2">
      <c r="A5744" s="1" t="s">
        <v>1344</v>
      </c>
    </row>
    <row r="5745" spans="1:1" x14ac:dyDescent="0.2">
      <c r="A5745" s="1" t="s">
        <v>1345</v>
      </c>
    </row>
    <row r="5746" spans="1:1" x14ac:dyDescent="0.2">
      <c r="A5746" s="1" t="s">
        <v>1346</v>
      </c>
    </row>
    <row r="5747" spans="1:1" x14ac:dyDescent="0.2">
      <c r="A5747" s="1" t="s">
        <v>1347</v>
      </c>
    </row>
    <row r="5748" spans="1:1" x14ac:dyDescent="0.2">
      <c r="A5748" s="1" t="s">
        <v>1338</v>
      </c>
    </row>
    <row r="5749" spans="1:1" x14ac:dyDescent="0.2">
      <c r="A5749" s="1" t="s">
        <v>1339</v>
      </c>
    </row>
    <row r="5750" spans="1:1" x14ac:dyDescent="0.2">
      <c r="A5750" s="1" t="s">
        <v>1338</v>
      </c>
    </row>
    <row r="5751" spans="1:1" x14ac:dyDescent="0.2">
      <c r="A5751" s="1" t="s">
        <v>1339</v>
      </c>
    </row>
    <row r="5752" spans="1:1" x14ac:dyDescent="0.2">
      <c r="A5752" s="1" t="s">
        <v>1338</v>
      </c>
    </row>
    <row r="5753" spans="1:1" x14ac:dyDescent="0.2">
      <c r="A5753" s="1" t="s">
        <v>1339</v>
      </c>
    </row>
    <row r="5754" spans="1:1" x14ac:dyDescent="0.2">
      <c r="A5754" s="1" t="s">
        <v>1340</v>
      </c>
    </row>
    <row r="5755" spans="1:1" x14ac:dyDescent="0.2">
      <c r="A5755" s="1" t="s">
        <v>1341</v>
      </c>
    </row>
    <row r="5756" spans="1:1" x14ac:dyDescent="0.2">
      <c r="A5756" s="1" t="s">
        <v>1342</v>
      </c>
    </row>
    <row r="5757" spans="1:1" x14ac:dyDescent="0.2">
      <c r="A5757" s="1" t="s">
        <v>1343</v>
      </c>
    </row>
    <row r="5758" spans="1:1" x14ac:dyDescent="0.2">
      <c r="A5758" s="1" t="s">
        <v>1344</v>
      </c>
    </row>
    <row r="5759" spans="1:1" x14ac:dyDescent="0.2">
      <c r="A5759" s="1" t="s">
        <v>1345</v>
      </c>
    </row>
    <row r="5760" spans="1:1" x14ac:dyDescent="0.2">
      <c r="A5760" s="1" t="s">
        <v>1346</v>
      </c>
    </row>
    <row r="5761" spans="1:1" x14ac:dyDescent="0.2">
      <c r="A5761" s="1" t="s">
        <v>1347</v>
      </c>
    </row>
    <row r="5762" spans="1:1" x14ac:dyDescent="0.2">
      <c r="A5762" s="1" t="s">
        <v>1338</v>
      </c>
    </row>
    <row r="5763" spans="1:1" x14ac:dyDescent="0.2">
      <c r="A5763" s="1" t="s">
        <v>1339</v>
      </c>
    </row>
    <row r="5764" spans="1:1" x14ac:dyDescent="0.2">
      <c r="A5764" s="1" t="s">
        <v>1338</v>
      </c>
    </row>
    <row r="5765" spans="1:1" x14ac:dyDescent="0.2">
      <c r="A5765" s="1" t="s">
        <v>1339</v>
      </c>
    </row>
    <row r="5766" spans="1:1" x14ac:dyDescent="0.2">
      <c r="A5766" s="1" t="s">
        <v>1338</v>
      </c>
    </row>
    <row r="5767" spans="1:1" x14ac:dyDescent="0.2">
      <c r="A5767" s="1" t="s">
        <v>1339</v>
      </c>
    </row>
    <row r="5768" spans="1:1" x14ac:dyDescent="0.2">
      <c r="A5768" s="1" t="s">
        <v>1340</v>
      </c>
    </row>
    <row r="5769" spans="1:1" x14ac:dyDescent="0.2">
      <c r="A5769" s="1" t="s">
        <v>1341</v>
      </c>
    </row>
    <row r="5770" spans="1:1" x14ac:dyDescent="0.2">
      <c r="A5770" s="1" t="s">
        <v>1342</v>
      </c>
    </row>
    <row r="5771" spans="1:1" x14ac:dyDescent="0.2">
      <c r="A5771" s="1" t="s">
        <v>1343</v>
      </c>
    </row>
    <row r="5772" spans="1:1" x14ac:dyDescent="0.2">
      <c r="A5772" s="1" t="s">
        <v>1344</v>
      </c>
    </row>
    <row r="5773" spans="1:1" x14ac:dyDescent="0.2">
      <c r="A5773" s="1" t="s">
        <v>1345</v>
      </c>
    </row>
    <row r="5774" spans="1:1" x14ac:dyDescent="0.2">
      <c r="A5774" s="1" t="s">
        <v>1346</v>
      </c>
    </row>
    <row r="5775" spans="1:1" x14ac:dyDescent="0.2">
      <c r="A5775" s="1" t="s">
        <v>1347</v>
      </c>
    </row>
    <row r="5776" spans="1:1" x14ac:dyDescent="0.2">
      <c r="A5776" s="1" t="s">
        <v>1338</v>
      </c>
    </row>
    <row r="5777" spans="1:1" x14ac:dyDescent="0.2">
      <c r="A5777" s="1" t="s">
        <v>1339</v>
      </c>
    </row>
    <row r="5778" spans="1:1" x14ac:dyDescent="0.2">
      <c r="A5778" s="1" t="s">
        <v>1338</v>
      </c>
    </row>
    <row r="5779" spans="1:1" x14ac:dyDescent="0.2">
      <c r="A5779" s="1" t="s">
        <v>1339</v>
      </c>
    </row>
    <row r="5780" spans="1:1" x14ac:dyDescent="0.2">
      <c r="A5780" s="1" t="s">
        <v>1338</v>
      </c>
    </row>
    <row r="5781" spans="1:1" x14ac:dyDescent="0.2">
      <c r="A5781" s="1" t="s">
        <v>1339</v>
      </c>
    </row>
    <row r="5782" spans="1:1" x14ac:dyDescent="0.2">
      <c r="A5782" s="1" t="s">
        <v>1340</v>
      </c>
    </row>
    <row r="5783" spans="1:1" x14ac:dyDescent="0.2">
      <c r="A5783" s="1" t="s">
        <v>1341</v>
      </c>
    </row>
    <row r="5784" spans="1:1" x14ac:dyDescent="0.2">
      <c r="A5784" s="1" t="s">
        <v>1342</v>
      </c>
    </row>
    <row r="5785" spans="1:1" x14ac:dyDescent="0.2">
      <c r="A5785" s="1" t="s">
        <v>1343</v>
      </c>
    </row>
    <row r="5786" spans="1:1" x14ac:dyDescent="0.2">
      <c r="A5786" s="1" t="s">
        <v>1344</v>
      </c>
    </row>
    <row r="5787" spans="1:1" x14ac:dyDescent="0.2">
      <c r="A5787" s="1" t="s">
        <v>1345</v>
      </c>
    </row>
    <row r="5788" spans="1:1" x14ac:dyDescent="0.2">
      <c r="A5788" s="1" t="s">
        <v>1346</v>
      </c>
    </row>
    <row r="5789" spans="1:1" x14ac:dyDescent="0.2">
      <c r="A5789" s="1" t="s">
        <v>1347</v>
      </c>
    </row>
    <row r="5790" spans="1:1" x14ac:dyDescent="0.2">
      <c r="A5790" s="1" t="s">
        <v>1338</v>
      </c>
    </row>
    <row r="5791" spans="1:1" x14ac:dyDescent="0.2">
      <c r="A5791" s="1" t="s">
        <v>1339</v>
      </c>
    </row>
    <row r="5792" spans="1:1" x14ac:dyDescent="0.2">
      <c r="A5792" s="1" t="s">
        <v>1338</v>
      </c>
    </row>
    <row r="5793" spans="1:1" x14ac:dyDescent="0.2">
      <c r="A5793" s="1" t="s">
        <v>1339</v>
      </c>
    </row>
    <row r="5794" spans="1:1" x14ac:dyDescent="0.2">
      <c r="A5794" s="1" t="s">
        <v>1338</v>
      </c>
    </row>
    <row r="5795" spans="1:1" x14ac:dyDescent="0.2">
      <c r="A5795" s="1" t="s">
        <v>1339</v>
      </c>
    </row>
    <row r="5796" spans="1:1" x14ac:dyDescent="0.2">
      <c r="A5796" s="1" t="s">
        <v>1340</v>
      </c>
    </row>
    <row r="5797" spans="1:1" x14ac:dyDescent="0.2">
      <c r="A5797" s="1" t="s">
        <v>1341</v>
      </c>
    </row>
    <row r="5798" spans="1:1" x14ac:dyDescent="0.2">
      <c r="A5798" s="1" t="s">
        <v>1342</v>
      </c>
    </row>
    <row r="5799" spans="1:1" x14ac:dyDescent="0.2">
      <c r="A5799" s="1" t="s">
        <v>1343</v>
      </c>
    </row>
    <row r="5800" spans="1:1" x14ac:dyDescent="0.2">
      <c r="A5800" s="1" t="s">
        <v>1344</v>
      </c>
    </row>
    <row r="5801" spans="1:1" x14ac:dyDescent="0.2">
      <c r="A5801" s="1" t="s">
        <v>1345</v>
      </c>
    </row>
    <row r="5802" spans="1:1" x14ac:dyDescent="0.2">
      <c r="A5802" s="1" t="s">
        <v>1346</v>
      </c>
    </row>
    <row r="5803" spans="1:1" x14ac:dyDescent="0.2">
      <c r="A5803" s="1" t="s">
        <v>1348</v>
      </c>
    </row>
    <row r="5804" spans="1:1" x14ac:dyDescent="0.2">
      <c r="A5804" s="1" t="s">
        <v>1349</v>
      </c>
    </row>
    <row r="5805" spans="1:1" x14ac:dyDescent="0.2">
      <c r="A5805" s="1" t="s">
        <v>1350</v>
      </c>
    </row>
    <row r="5806" spans="1:1" x14ac:dyDescent="0.2">
      <c r="A5806" s="1" t="s">
        <v>1349</v>
      </c>
    </row>
    <row r="5807" spans="1:1" x14ac:dyDescent="0.2">
      <c r="A5807" s="1" t="s">
        <v>1350</v>
      </c>
    </row>
    <row r="5808" spans="1:1" x14ac:dyDescent="0.2">
      <c r="A5808" s="1" t="s">
        <v>1349</v>
      </c>
    </row>
    <row r="5809" spans="1:1" x14ac:dyDescent="0.2">
      <c r="A5809" s="1" t="s">
        <v>1350</v>
      </c>
    </row>
    <row r="5810" spans="1:1" x14ac:dyDescent="0.2">
      <c r="A5810" s="1" t="s">
        <v>1351</v>
      </c>
    </row>
    <row r="5811" spans="1:1" x14ac:dyDescent="0.2">
      <c r="A5811" s="1" t="s">
        <v>1352</v>
      </c>
    </row>
    <row r="5812" spans="1:1" x14ac:dyDescent="0.2">
      <c r="A5812" s="1" t="s">
        <v>1353</v>
      </c>
    </row>
    <row r="5813" spans="1:1" x14ac:dyDescent="0.2">
      <c r="A5813" s="1" t="s">
        <v>1354</v>
      </c>
    </row>
    <row r="5814" spans="1:1" x14ac:dyDescent="0.2">
      <c r="A5814" s="1" t="s">
        <v>1355</v>
      </c>
    </row>
    <row r="5815" spans="1:1" x14ac:dyDescent="0.2">
      <c r="A5815" s="1" t="s">
        <v>1356</v>
      </c>
    </row>
    <row r="5816" spans="1:1" x14ac:dyDescent="0.2">
      <c r="A5816" s="1" t="s">
        <v>1357</v>
      </c>
    </row>
    <row r="5817" spans="1:1" x14ac:dyDescent="0.2">
      <c r="A5817" s="1" t="s">
        <v>1348</v>
      </c>
    </row>
    <row r="5818" spans="1:1" x14ac:dyDescent="0.2">
      <c r="A5818" s="1" t="s">
        <v>1358</v>
      </c>
    </row>
    <row r="5819" spans="1:1" x14ac:dyDescent="0.2">
      <c r="A5819" s="1" t="s">
        <v>1359</v>
      </c>
    </row>
    <row r="5820" spans="1:1" x14ac:dyDescent="0.2">
      <c r="A5820" s="1" t="s">
        <v>1360</v>
      </c>
    </row>
    <row r="5821" spans="1:1" x14ac:dyDescent="0.2">
      <c r="A5821" s="1" t="s">
        <v>1361</v>
      </c>
    </row>
    <row r="5822" spans="1:1" x14ac:dyDescent="0.2">
      <c r="A5822" s="1" t="s">
        <v>1362</v>
      </c>
    </row>
    <row r="5823" spans="1:1" x14ac:dyDescent="0.2">
      <c r="A5823" s="1" t="s">
        <v>1363</v>
      </c>
    </row>
    <row r="5824" spans="1:1" x14ac:dyDescent="0.2">
      <c r="A5824" s="1" t="s">
        <v>1364</v>
      </c>
    </row>
    <row r="5825" spans="1:1" x14ac:dyDescent="0.2">
      <c r="A5825" s="1" t="s">
        <v>1365</v>
      </c>
    </row>
    <row r="5826" spans="1:1" x14ac:dyDescent="0.2">
      <c r="A5826" s="1" t="s">
        <v>1366</v>
      </c>
    </row>
    <row r="5827" spans="1:1" x14ac:dyDescent="0.2">
      <c r="A5827" s="1" t="s">
        <v>1367</v>
      </c>
    </row>
    <row r="5828" spans="1:1" x14ac:dyDescent="0.2">
      <c r="A5828" s="1" t="s">
        <v>1368</v>
      </c>
    </row>
    <row r="5829" spans="1:1" x14ac:dyDescent="0.2">
      <c r="A5829" s="1" t="s">
        <v>1369</v>
      </c>
    </row>
    <row r="5830" spans="1:1" x14ac:dyDescent="0.2">
      <c r="A5830" s="1" t="s">
        <v>1370</v>
      </c>
    </row>
    <row r="5831" spans="1:1" x14ac:dyDescent="0.2">
      <c r="A5831" s="1" t="s">
        <v>1371</v>
      </c>
    </row>
    <row r="5832" spans="1:1" x14ac:dyDescent="0.2">
      <c r="A5832" s="1" t="s">
        <v>1360</v>
      </c>
    </row>
    <row r="5833" spans="1:1" x14ac:dyDescent="0.2">
      <c r="A5833" s="1" t="s">
        <v>1372</v>
      </c>
    </row>
    <row r="5834" spans="1:1" x14ac:dyDescent="0.2">
      <c r="A5834" s="1" t="s">
        <v>1362</v>
      </c>
    </row>
    <row r="5835" spans="1:1" x14ac:dyDescent="0.2">
      <c r="A5835" s="1" t="s">
        <v>1363</v>
      </c>
    </row>
    <row r="5836" spans="1:1" x14ac:dyDescent="0.2">
      <c r="A5836" s="1" t="s">
        <v>1364</v>
      </c>
    </row>
    <row r="5837" spans="1:1" x14ac:dyDescent="0.2">
      <c r="A5837" s="1" t="s">
        <v>1365</v>
      </c>
    </row>
    <row r="5838" spans="1:1" x14ac:dyDescent="0.2">
      <c r="A5838" s="1" t="s">
        <v>1373</v>
      </c>
    </row>
    <row r="5839" spans="1:1" x14ac:dyDescent="0.2">
      <c r="A5839" s="1" t="s">
        <v>1367</v>
      </c>
    </row>
    <row r="5840" spans="1:1" x14ac:dyDescent="0.2">
      <c r="A5840" s="1" t="s">
        <v>1368</v>
      </c>
    </row>
    <row r="5841" spans="1:1" x14ac:dyDescent="0.2">
      <c r="A5841" s="1" t="s">
        <v>1369</v>
      </c>
    </row>
    <row r="5842" spans="1:1" x14ac:dyDescent="0.2">
      <c r="A5842" s="1" t="s">
        <v>1370</v>
      </c>
    </row>
    <row r="5843" spans="1:1" x14ac:dyDescent="0.2">
      <c r="A5843" s="1" t="s">
        <v>1371</v>
      </c>
    </row>
    <row r="5844" spans="1:1" x14ac:dyDescent="0.2">
      <c r="A5844" s="1" t="s">
        <v>1360</v>
      </c>
    </row>
    <row r="5845" spans="1:1" x14ac:dyDescent="0.2">
      <c r="A5845" s="1" t="s">
        <v>1374</v>
      </c>
    </row>
    <row r="5846" spans="1:1" x14ac:dyDescent="0.2">
      <c r="A5846" s="1" t="s">
        <v>1362</v>
      </c>
    </row>
    <row r="5847" spans="1:1" x14ac:dyDescent="0.2">
      <c r="A5847" s="1" t="s">
        <v>1363</v>
      </c>
    </row>
    <row r="5848" spans="1:1" x14ac:dyDescent="0.2">
      <c r="A5848" s="1" t="s">
        <v>1364</v>
      </c>
    </row>
    <row r="5849" spans="1:1" x14ac:dyDescent="0.2">
      <c r="A5849" s="1" t="s">
        <v>1365</v>
      </c>
    </row>
    <row r="5850" spans="1:1" x14ac:dyDescent="0.2">
      <c r="A5850" s="1" t="s">
        <v>1375</v>
      </c>
    </row>
    <row r="5851" spans="1:1" x14ac:dyDescent="0.2">
      <c r="A5851" s="1" t="s">
        <v>1367</v>
      </c>
    </row>
    <row r="5852" spans="1:1" x14ac:dyDescent="0.2">
      <c r="A5852" s="1" t="s">
        <v>1368</v>
      </c>
    </row>
    <row r="5853" spans="1:1" x14ac:dyDescent="0.2">
      <c r="A5853" s="1" t="s">
        <v>1369</v>
      </c>
    </row>
    <row r="5854" spans="1:1" x14ac:dyDescent="0.2">
      <c r="A5854" s="1" t="s">
        <v>1370</v>
      </c>
    </row>
    <row r="5855" spans="1:1" x14ac:dyDescent="0.2">
      <c r="A5855" s="1" t="s">
        <v>1371</v>
      </c>
    </row>
    <row r="5856" spans="1:1" x14ac:dyDescent="0.2">
      <c r="A5856" s="1" t="s">
        <v>1360</v>
      </c>
    </row>
    <row r="5857" spans="1:1" x14ac:dyDescent="0.2">
      <c r="A5857" s="1" t="s">
        <v>1376</v>
      </c>
    </row>
    <row r="5858" spans="1:1" x14ac:dyDescent="0.2">
      <c r="A5858" s="1" t="s">
        <v>1362</v>
      </c>
    </row>
    <row r="5859" spans="1:1" x14ac:dyDescent="0.2">
      <c r="A5859" s="1" t="s">
        <v>1363</v>
      </c>
    </row>
    <row r="5860" spans="1:1" x14ac:dyDescent="0.2">
      <c r="A5860" s="1" t="s">
        <v>1364</v>
      </c>
    </row>
    <row r="5861" spans="1:1" x14ac:dyDescent="0.2">
      <c r="A5861" s="1" t="s">
        <v>1365</v>
      </c>
    </row>
    <row r="5862" spans="1:1" x14ac:dyDescent="0.2">
      <c r="A5862" s="1" t="s">
        <v>1377</v>
      </c>
    </row>
    <row r="5863" spans="1:1" x14ac:dyDescent="0.2">
      <c r="A5863" s="1" t="s">
        <v>1367</v>
      </c>
    </row>
    <row r="5864" spans="1:1" x14ac:dyDescent="0.2">
      <c r="A5864" s="1" t="s">
        <v>1368</v>
      </c>
    </row>
    <row r="5865" spans="1:1" x14ac:dyDescent="0.2">
      <c r="A5865" s="1" t="s">
        <v>1369</v>
      </c>
    </row>
    <row r="5866" spans="1:1" x14ac:dyDescent="0.2">
      <c r="A5866" s="1" t="s">
        <v>1370</v>
      </c>
    </row>
    <row r="5867" spans="1:1" x14ac:dyDescent="0.2">
      <c r="A5867" s="1" t="s">
        <v>1371</v>
      </c>
    </row>
    <row r="5868" spans="1:1" x14ac:dyDescent="0.2">
      <c r="A5868" s="1" t="s">
        <v>1360</v>
      </c>
    </row>
    <row r="5869" spans="1:1" x14ac:dyDescent="0.2">
      <c r="A5869" s="1" t="s">
        <v>1378</v>
      </c>
    </row>
    <row r="5870" spans="1:1" x14ac:dyDescent="0.2">
      <c r="A5870" s="1" t="s">
        <v>1362</v>
      </c>
    </row>
    <row r="5871" spans="1:1" x14ac:dyDescent="0.2">
      <c r="A5871" s="1" t="s">
        <v>1363</v>
      </c>
    </row>
    <row r="5872" spans="1:1" x14ac:dyDescent="0.2">
      <c r="A5872" s="1" t="s">
        <v>1364</v>
      </c>
    </row>
    <row r="5873" spans="1:1" x14ac:dyDescent="0.2">
      <c r="A5873" s="1" t="s">
        <v>1365</v>
      </c>
    </row>
    <row r="5874" spans="1:1" x14ac:dyDescent="0.2">
      <c r="A5874" s="1" t="s">
        <v>1379</v>
      </c>
    </row>
    <row r="5875" spans="1:1" x14ac:dyDescent="0.2">
      <c r="A5875" s="1" t="s">
        <v>1367</v>
      </c>
    </row>
    <row r="5876" spans="1:1" x14ac:dyDescent="0.2">
      <c r="A5876" s="1" t="s">
        <v>1368</v>
      </c>
    </row>
    <row r="5877" spans="1:1" x14ac:dyDescent="0.2">
      <c r="A5877" s="1" t="s">
        <v>1369</v>
      </c>
    </row>
    <row r="5878" spans="1:1" x14ac:dyDescent="0.2">
      <c r="A5878" s="1" t="s">
        <v>1370</v>
      </c>
    </row>
    <row r="5879" spans="1:1" x14ac:dyDescent="0.2">
      <c r="A5879" s="1" t="s">
        <v>1371</v>
      </c>
    </row>
    <row r="5880" spans="1:1" x14ac:dyDescent="0.2">
      <c r="A5880" s="1" t="s">
        <v>1360</v>
      </c>
    </row>
    <row r="5881" spans="1:1" x14ac:dyDescent="0.2">
      <c r="A5881" s="1" t="s">
        <v>1380</v>
      </c>
    </row>
    <row r="5882" spans="1:1" x14ac:dyDescent="0.2">
      <c r="A5882" s="1" t="s">
        <v>1362</v>
      </c>
    </row>
    <row r="5883" spans="1:1" x14ac:dyDescent="0.2">
      <c r="A5883" s="1" t="s">
        <v>1363</v>
      </c>
    </row>
    <row r="5884" spans="1:1" x14ac:dyDescent="0.2">
      <c r="A5884" s="1" t="s">
        <v>1364</v>
      </c>
    </row>
    <row r="5885" spans="1:1" x14ac:dyDescent="0.2">
      <c r="A5885" s="1" t="s">
        <v>1365</v>
      </c>
    </row>
    <row r="5886" spans="1:1" x14ac:dyDescent="0.2">
      <c r="A5886" s="1" t="s">
        <v>1381</v>
      </c>
    </row>
    <row r="5887" spans="1:1" x14ac:dyDescent="0.2">
      <c r="A5887" s="1" t="s">
        <v>1367</v>
      </c>
    </row>
    <row r="5888" spans="1:1" x14ac:dyDescent="0.2">
      <c r="A5888" s="1" t="s">
        <v>1368</v>
      </c>
    </row>
    <row r="5889" spans="1:1" x14ac:dyDescent="0.2">
      <c r="A5889" s="1" t="s">
        <v>1369</v>
      </c>
    </row>
    <row r="5890" spans="1:1" x14ac:dyDescent="0.2">
      <c r="A5890" s="1" t="s">
        <v>1370</v>
      </c>
    </row>
    <row r="5891" spans="1:1" x14ac:dyDescent="0.2">
      <c r="A5891" s="1" t="s">
        <v>1371</v>
      </c>
    </row>
    <row r="5892" spans="1:1" x14ac:dyDescent="0.2">
      <c r="A5892" s="1" t="s">
        <v>1360</v>
      </c>
    </row>
    <row r="5893" spans="1:1" x14ac:dyDescent="0.2">
      <c r="A5893" s="1" t="s">
        <v>1382</v>
      </c>
    </row>
    <row r="5894" spans="1:1" x14ac:dyDescent="0.2">
      <c r="A5894" s="1" t="s">
        <v>1362</v>
      </c>
    </row>
    <row r="5895" spans="1:1" x14ac:dyDescent="0.2">
      <c r="A5895" s="1" t="s">
        <v>1363</v>
      </c>
    </row>
    <row r="5896" spans="1:1" x14ac:dyDescent="0.2">
      <c r="A5896" s="1" t="s">
        <v>1364</v>
      </c>
    </row>
    <row r="5897" spans="1:1" x14ac:dyDescent="0.2">
      <c r="A5897" s="1" t="s">
        <v>1365</v>
      </c>
    </row>
    <row r="5898" spans="1:1" x14ac:dyDescent="0.2">
      <c r="A5898" s="1" t="s">
        <v>1383</v>
      </c>
    </row>
    <row r="5899" spans="1:1" x14ac:dyDescent="0.2">
      <c r="A5899" s="1" t="s">
        <v>1367</v>
      </c>
    </row>
    <row r="5900" spans="1:1" x14ac:dyDescent="0.2">
      <c r="A5900" s="1" t="s">
        <v>1368</v>
      </c>
    </row>
    <row r="5901" spans="1:1" x14ac:dyDescent="0.2">
      <c r="A5901" s="1" t="s">
        <v>1369</v>
      </c>
    </row>
    <row r="5902" spans="1:1" x14ac:dyDescent="0.2">
      <c r="A5902" s="1" t="s">
        <v>1370</v>
      </c>
    </row>
    <row r="5903" spans="1:1" x14ac:dyDescent="0.2">
      <c r="A5903" s="1" t="s">
        <v>1371</v>
      </c>
    </row>
    <row r="5904" spans="1:1" x14ac:dyDescent="0.2">
      <c r="A5904" s="1" t="s">
        <v>1384</v>
      </c>
    </row>
    <row r="5905" spans="1:1" x14ac:dyDescent="0.2">
      <c r="A5905" s="1" t="s">
        <v>1385</v>
      </c>
    </row>
    <row r="5906" spans="1:1" x14ac:dyDescent="0.2">
      <c r="A5906" s="1" t="s">
        <v>1386</v>
      </c>
    </row>
    <row r="5907" spans="1:1" x14ac:dyDescent="0.2">
      <c r="A5907" s="1" t="s">
        <v>1387</v>
      </c>
    </row>
    <row r="5908" spans="1:1" x14ac:dyDescent="0.2">
      <c r="A5908" s="1" t="s">
        <v>1388</v>
      </c>
    </row>
    <row r="5909" spans="1:1" x14ac:dyDescent="0.2">
      <c r="A5909" s="1" t="s">
        <v>1389</v>
      </c>
    </row>
    <row r="5910" spans="1:1" x14ac:dyDescent="0.2">
      <c r="A5910" s="1" t="s">
        <v>1390</v>
      </c>
    </row>
    <row r="5911" spans="1:1" x14ac:dyDescent="0.2">
      <c r="A5911" s="1" t="s">
        <v>1391</v>
      </c>
    </row>
    <row r="5912" spans="1:1" x14ac:dyDescent="0.2">
      <c r="A5912" s="1" t="s">
        <v>1392</v>
      </c>
    </row>
    <row r="5913" spans="1:1" x14ac:dyDescent="0.2">
      <c r="A5913" s="1" t="s">
        <v>1393</v>
      </c>
    </row>
    <row r="5914" spans="1:1" x14ac:dyDescent="0.2">
      <c r="A5914" s="1" t="s">
        <v>1394</v>
      </c>
    </row>
    <row r="5915" spans="1:1" x14ac:dyDescent="0.2">
      <c r="A5915" s="1" t="s">
        <v>1395</v>
      </c>
    </row>
    <row r="5916" spans="1:1" x14ac:dyDescent="0.2">
      <c r="A5916" s="1" t="s">
        <v>1384</v>
      </c>
    </row>
    <row r="5917" spans="1:1" x14ac:dyDescent="0.2">
      <c r="A5917" s="1" t="s">
        <v>1396</v>
      </c>
    </row>
    <row r="5918" spans="1:1" x14ac:dyDescent="0.2">
      <c r="A5918" s="1" t="s">
        <v>1386</v>
      </c>
    </row>
    <row r="5919" spans="1:1" x14ac:dyDescent="0.2">
      <c r="A5919" s="1" t="s">
        <v>1387</v>
      </c>
    </row>
    <row r="5920" spans="1:1" x14ac:dyDescent="0.2">
      <c r="A5920" s="1" t="s">
        <v>1388</v>
      </c>
    </row>
    <row r="5921" spans="1:1" x14ac:dyDescent="0.2">
      <c r="A5921" s="1" t="s">
        <v>1389</v>
      </c>
    </row>
    <row r="5922" spans="1:1" x14ac:dyDescent="0.2">
      <c r="A5922" s="1" t="s">
        <v>1397</v>
      </c>
    </row>
    <row r="5923" spans="1:1" x14ac:dyDescent="0.2">
      <c r="A5923" s="1" t="s">
        <v>1391</v>
      </c>
    </row>
    <row r="5924" spans="1:1" x14ac:dyDescent="0.2">
      <c r="A5924" s="1" t="s">
        <v>1392</v>
      </c>
    </row>
    <row r="5925" spans="1:1" x14ac:dyDescent="0.2">
      <c r="A5925" s="1" t="s">
        <v>1393</v>
      </c>
    </row>
    <row r="5926" spans="1:1" x14ac:dyDescent="0.2">
      <c r="A5926" s="1" t="s">
        <v>1394</v>
      </c>
    </row>
    <row r="5927" spans="1:1" x14ac:dyDescent="0.2">
      <c r="A5927" s="1" t="s">
        <v>1395</v>
      </c>
    </row>
    <row r="5928" spans="1:1" x14ac:dyDescent="0.2">
      <c r="A5928" s="1" t="s">
        <v>1384</v>
      </c>
    </row>
    <row r="5929" spans="1:1" x14ac:dyDescent="0.2">
      <c r="A5929" s="1" t="s">
        <v>1398</v>
      </c>
    </row>
    <row r="5930" spans="1:1" x14ac:dyDescent="0.2">
      <c r="A5930" s="1" t="s">
        <v>1386</v>
      </c>
    </row>
    <row r="5931" spans="1:1" x14ac:dyDescent="0.2">
      <c r="A5931" s="1" t="s">
        <v>1387</v>
      </c>
    </row>
    <row r="5932" spans="1:1" x14ac:dyDescent="0.2">
      <c r="A5932" s="1" t="s">
        <v>1388</v>
      </c>
    </row>
    <row r="5933" spans="1:1" x14ac:dyDescent="0.2">
      <c r="A5933" s="1" t="s">
        <v>1389</v>
      </c>
    </row>
    <row r="5934" spans="1:1" x14ac:dyDescent="0.2">
      <c r="A5934" s="1" t="s">
        <v>1399</v>
      </c>
    </row>
    <row r="5935" spans="1:1" x14ac:dyDescent="0.2">
      <c r="A5935" s="1" t="s">
        <v>1391</v>
      </c>
    </row>
    <row r="5936" spans="1:1" x14ac:dyDescent="0.2">
      <c r="A5936" s="1" t="s">
        <v>1392</v>
      </c>
    </row>
    <row r="5937" spans="1:1" x14ac:dyDescent="0.2">
      <c r="A5937" s="1" t="s">
        <v>1393</v>
      </c>
    </row>
    <row r="5938" spans="1:1" x14ac:dyDescent="0.2">
      <c r="A5938" s="1" t="s">
        <v>1394</v>
      </c>
    </row>
    <row r="5939" spans="1:1" x14ac:dyDescent="0.2">
      <c r="A5939" s="1" t="s">
        <v>1395</v>
      </c>
    </row>
    <row r="5940" spans="1:1" x14ac:dyDescent="0.2">
      <c r="A5940" s="1" t="s">
        <v>1400</v>
      </c>
    </row>
    <row r="5941" spans="1:1" x14ac:dyDescent="0.2">
      <c r="A5941" s="1" t="s">
        <v>1401</v>
      </c>
    </row>
    <row r="5942" spans="1:1" x14ac:dyDescent="0.2">
      <c r="A5942" s="1" t="s">
        <v>1402</v>
      </c>
    </row>
    <row r="5943" spans="1:1" x14ac:dyDescent="0.2">
      <c r="A5943" s="1" t="s">
        <v>1403</v>
      </c>
    </row>
    <row r="5944" spans="1:1" x14ac:dyDescent="0.2">
      <c r="A5944" s="1" t="s">
        <v>1404</v>
      </c>
    </row>
    <row r="5945" spans="1:1" x14ac:dyDescent="0.2">
      <c r="A5945" s="1" t="s">
        <v>1405</v>
      </c>
    </row>
    <row r="5946" spans="1:1" x14ac:dyDescent="0.2">
      <c r="A5946" s="1" t="s">
        <v>1406</v>
      </c>
    </row>
    <row r="5947" spans="1:1" x14ac:dyDescent="0.2">
      <c r="A5947" s="1" t="s">
        <v>1407</v>
      </c>
    </row>
    <row r="5948" spans="1:1" x14ac:dyDescent="0.2">
      <c r="A5948" s="1" t="s">
        <v>1408</v>
      </c>
    </row>
    <row r="5949" spans="1:1" x14ac:dyDescent="0.2">
      <c r="A5949" s="1" t="s">
        <v>1409</v>
      </c>
    </row>
    <row r="5950" spans="1:1" x14ac:dyDescent="0.2">
      <c r="A5950" s="1" t="s">
        <v>1410</v>
      </c>
    </row>
    <row r="5951" spans="1:1" x14ac:dyDescent="0.2">
      <c r="A5951" s="1" t="s">
        <v>1411</v>
      </c>
    </row>
    <row r="5952" spans="1:1" x14ac:dyDescent="0.2">
      <c r="A5952" s="1" t="s">
        <v>1400</v>
      </c>
    </row>
    <row r="5953" spans="1:1" x14ac:dyDescent="0.2">
      <c r="A5953" s="1" t="s">
        <v>1412</v>
      </c>
    </row>
    <row r="5954" spans="1:1" x14ac:dyDescent="0.2">
      <c r="A5954" s="1" t="s">
        <v>1402</v>
      </c>
    </row>
    <row r="5955" spans="1:1" x14ac:dyDescent="0.2">
      <c r="A5955" s="1" t="s">
        <v>1403</v>
      </c>
    </row>
    <row r="5956" spans="1:1" x14ac:dyDescent="0.2">
      <c r="A5956" s="1" t="s">
        <v>1404</v>
      </c>
    </row>
    <row r="5957" spans="1:1" x14ac:dyDescent="0.2">
      <c r="A5957" s="1" t="s">
        <v>1405</v>
      </c>
    </row>
    <row r="5958" spans="1:1" x14ac:dyDescent="0.2">
      <c r="A5958" s="1" t="s">
        <v>1413</v>
      </c>
    </row>
    <row r="5959" spans="1:1" x14ac:dyDescent="0.2">
      <c r="A5959" s="1" t="s">
        <v>1407</v>
      </c>
    </row>
    <row r="5960" spans="1:1" x14ac:dyDescent="0.2">
      <c r="A5960" s="1" t="s">
        <v>1408</v>
      </c>
    </row>
    <row r="5961" spans="1:1" x14ac:dyDescent="0.2">
      <c r="A5961" s="1" t="s">
        <v>1409</v>
      </c>
    </row>
    <row r="5962" spans="1:1" x14ac:dyDescent="0.2">
      <c r="A5962" s="1" t="s">
        <v>1410</v>
      </c>
    </row>
    <row r="5963" spans="1:1" x14ac:dyDescent="0.2">
      <c r="A5963" s="1" t="s">
        <v>1411</v>
      </c>
    </row>
    <row r="5964" spans="1:1" x14ac:dyDescent="0.2">
      <c r="A5964" s="1" t="s">
        <v>1400</v>
      </c>
    </row>
    <row r="5965" spans="1:1" x14ac:dyDescent="0.2">
      <c r="A5965" s="1" t="s">
        <v>1414</v>
      </c>
    </row>
    <row r="5966" spans="1:1" x14ac:dyDescent="0.2">
      <c r="A5966" s="1" t="s">
        <v>1402</v>
      </c>
    </row>
    <row r="5967" spans="1:1" x14ac:dyDescent="0.2">
      <c r="A5967" s="1" t="s">
        <v>1403</v>
      </c>
    </row>
    <row r="5968" spans="1:1" x14ac:dyDescent="0.2">
      <c r="A5968" s="1" t="s">
        <v>1404</v>
      </c>
    </row>
    <row r="5969" spans="1:1" x14ac:dyDescent="0.2">
      <c r="A5969" s="1" t="s">
        <v>1405</v>
      </c>
    </row>
    <row r="5970" spans="1:1" x14ac:dyDescent="0.2">
      <c r="A5970" s="1" t="s">
        <v>1415</v>
      </c>
    </row>
    <row r="5971" spans="1:1" x14ac:dyDescent="0.2">
      <c r="A5971" s="1" t="s">
        <v>1407</v>
      </c>
    </row>
    <row r="5972" spans="1:1" x14ac:dyDescent="0.2">
      <c r="A5972" s="1" t="s">
        <v>1408</v>
      </c>
    </row>
    <row r="5973" spans="1:1" x14ac:dyDescent="0.2">
      <c r="A5973" s="1" t="s">
        <v>1409</v>
      </c>
    </row>
    <row r="5974" spans="1:1" x14ac:dyDescent="0.2">
      <c r="A5974" s="1" t="s">
        <v>1410</v>
      </c>
    </row>
    <row r="5975" spans="1:1" x14ac:dyDescent="0.2">
      <c r="A5975" s="1" t="s">
        <v>1411</v>
      </c>
    </row>
    <row r="5976" spans="1:1" x14ac:dyDescent="0.2">
      <c r="A5976" s="1" t="s">
        <v>1400</v>
      </c>
    </row>
    <row r="5977" spans="1:1" x14ac:dyDescent="0.2">
      <c r="A5977" s="1" t="s">
        <v>1416</v>
      </c>
    </row>
    <row r="5978" spans="1:1" x14ac:dyDescent="0.2">
      <c r="A5978" s="1" t="s">
        <v>1402</v>
      </c>
    </row>
    <row r="5979" spans="1:1" x14ac:dyDescent="0.2">
      <c r="A5979" s="1" t="s">
        <v>1403</v>
      </c>
    </row>
    <row r="5980" spans="1:1" x14ac:dyDescent="0.2">
      <c r="A5980" s="1" t="s">
        <v>1404</v>
      </c>
    </row>
    <row r="5981" spans="1:1" x14ac:dyDescent="0.2">
      <c r="A5981" s="1" t="s">
        <v>1405</v>
      </c>
    </row>
    <row r="5982" spans="1:1" x14ac:dyDescent="0.2">
      <c r="A5982" s="1" t="s">
        <v>1417</v>
      </c>
    </row>
    <row r="5983" spans="1:1" x14ac:dyDescent="0.2">
      <c r="A5983" s="1" t="s">
        <v>1407</v>
      </c>
    </row>
    <row r="5984" spans="1:1" x14ac:dyDescent="0.2">
      <c r="A5984" s="1" t="s">
        <v>1408</v>
      </c>
    </row>
    <row r="5985" spans="1:1" x14ac:dyDescent="0.2">
      <c r="A5985" s="1" t="s">
        <v>1409</v>
      </c>
    </row>
    <row r="5986" spans="1:1" x14ac:dyDescent="0.2">
      <c r="A5986" s="1" t="s">
        <v>1410</v>
      </c>
    </row>
    <row r="5987" spans="1:1" x14ac:dyDescent="0.2">
      <c r="A5987" s="1" t="s">
        <v>1411</v>
      </c>
    </row>
    <row r="5988" spans="1:1" x14ac:dyDescent="0.2">
      <c r="A5988" s="1" t="s">
        <v>1418</v>
      </c>
    </row>
    <row r="5989" spans="1:1" x14ac:dyDescent="0.2">
      <c r="A5989" s="1" t="s">
        <v>1419</v>
      </c>
    </row>
    <row r="5990" spans="1:1" x14ac:dyDescent="0.2">
      <c r="A5990" s="1" t="s">
        <v>1420</v>
      </c>
    </row>
    <row r="5991" spans="1:1" x14ac:dyDescent="0.2">
      <c r="A5991" s="1" t="s">
        <v>1421</v>
      </c>
    </row>
    <row r="5992" spans="1:1" x14ac:dyDescent="0.2">
      <c r="A5992" s="1" t="s">
        <v>1422</v>
      </c>
    </row>
    <row r="5993" spans="1:1" x14ac:dyDescent="0.2">
      <c r="A5993" s="1" t="s">
        <v>1423</v>
      </c>
    </row>
    <row r="5994" spans="1:1" x14ac:dyDescent="0.2">
      <c r="A5994" s="1" t="s">
        <v>1422</v>
      </c>
    </row>
    <row r="5995" spans="1:1" x14ac:dyDescent="0.2">
      <c r="A5995" s="1" t="s">
        <v>1424</v>
      </c>
    </row>
    <row r="5996" spans="1:1" x14ac:dyDescent="0.2">
      <c r="A5996" s="1" t="s">
        <v>1425</v>
      </c>
    </row>
    <row r="5997" spans="1:1" x14ac:dyDescent="0.2">
      <c r="A5997" s="1" t="s">
        <v>1426</v>
      </c>
    </row>
    <row r="5998" spans="1:1" x14ac:dyDescent="0.2">
      <c r="A5998" s="1" t="s">
        <v>1427</v>
      </c>
    </row>
    <row r="5999" spans="1:1" x14ac:dyDescent="0.2">
      <c r="A5999" s="1" t="s">
        <v>1428</v>
      </c>
    </row>
    <row r="6000" spans="1:1" x14ac:dyDescent="0.2">
      <c r="A6000" s="1" t="s">
        <v>1429</v>
      </c>
    </row>
    <row r="6001" spans="1:1" x14ac:dyDescent="0.2">
      <c r="A6001" s="1" t="s">
        <v>1430</v>
      </c>
    </row>
    <row r="6002" spans="1:1" x14ac:dyDescent="0.2">
      <c r="A6002" s="1" t="s">
        <v>1431</v>
      </c>
    </row>
    <row r="6003" spans="1:1" x14ac:dyDescent="0.2">
      <c r="A6003" s="1" t="s">
        <v>1432</v>
      </c>
    </row>
    <row r="6004" spans="1:1" x14ac:dyDescent="0.2">
      <c r="A6004" s="1" t="s">
        <v>1433</v>
      </c>
    </row>
    <row r="6005" spans="1:1" x14ac:dyDescent="0.2">
      <c r="A6005" s="1" t="s">
        <v>1434</v>
      </c>
    </row>
    <row r="6006" spans="1:1" x14ac:dyDescent="0.2">
      <c r="A6006" s="1" t="s">
        <v>1435</v>
      </c>
    </row>
    <row r="6007" spans="1:1" x14ac:dyDescent="0.2">
      <c r="A6007" s="1" t="s">
        <v>1436</v>
      </c>
    </row>
    <row r="6008" spans="1:1" x14ac:dyDescent="0.2">
      <c r="A6008" s="1" t="s">
        <v>1437</v>
      </c>
    </row>
    <row r="6009" spans="1:1" x14ac:dyDescent="0.2">
      <c r="A6009" s="1" t="s">
        <v>1438</v>
      </c>
    </row>
    <row r="6010" spans="1:1" x14ac:dyDescent="0.2">
      <c r="A6010" s="1" t="s">
        <v>1439</v>
      </c>
    </row>
    <row r="6011" spans="1:1" x14ac:dyDescent="0.2">
      <c r="A6011" s="1" t="s">
        <v>1440</v>
      </c>
    </row>
    <row r="6012" spans="1:1" x14ac:dyDescent="0.2">
      <c r="A6012" s="1" t="s">
        <v>1441</v>
      </c>
    </row>
    <row r="6013" spans="1:1" x14ac:dyDescent="0.2">
      <c r="A6013" s="1" t="s">
        <v>1442</v>
      </c>
    </row>
    <row r="6014" spans="1:1" x14ac:dyDescent="0.2">
      <c r="A6014" s="1" t="s">
        <v>1443</v>
      </c>
    </row>
    <row r="6015" spans="1:1" x14ac:dyDescent="0.2">
      <c r="A6015" s="1" t="s">
        <v>1444</v>
      </c>
    </row>
    <row r="6016" spans="1:1" x14ac:dyDescent="0.2">
      <c r="A6016" s="1" t="s">
        <v>1445</v>
      </c>
    </row>
    <row r="6017" spans="1:1" x14ac:dyDescent="0.2">
      <c r="A6017" s="1" t="s">
        <v>1446</v>
      </c>
    </row>
    <row r="6018" spans="1:1" x14ac:dyDescent="0.2">
      <c r="A6018" s="1" t="s">
        <v>1447</v>
      </c>
    </row>
    <row r="6019" spans="1:1" x14ac:dyDescent="0.2">
      <c r="A6019" s="1" t="s">
        <v>1448</v>
      </c>
    </row>
    <row r="6020" spans="1:1" x14ac:dyDescent="0.2">
      <c r="A6020" s="1" t="s">
        <v>1449</v>
      </c>
    </row>
    <row r="6021" spans="1:1" x14ac:dyDescent="0.2">
      <c r="A6021" s="1" t="s">
        <v>1450</v>
      </c>
    </row>
    <row r="6022" spans="1:1" x14ac:dyDescent="0.2">
      <c r="A6022" s="1" t="s">
        <v>1451</v>
      </c>
    </row>
    <row r="6023" spans="1:1" x14ac:dyDescent="0.2">
      <c r="A6023" s="1" t="s">
        <v>1440</v>
      </c>
    </row>
    <row r="6024" spans="1:1" x14ac:dyDescent="0.2">
      <c r="A6024" s="1" t="s">
        <v>1452</v>
      </c>
    </row>
    <row r="6025" spans="1:1" x14ac:dyDescent="0.2">
      <c r="A6025" s="1" t="s">
        <v>1453</v>
      </c>
    </row>
    <row r="6026" spans="1:1" x14ac:dyDescent="0.2">
      <c r="A6026" s="1" t="s">
        <v>1454</v>
      </c>
    </row>
    <row r="6027" spans="1:1" x14ac:dyDescent="0.2">
      <c r="A6027" s="1" t="s">
        <v>1455</v>
      </c>
    </row>
    <row r="6028" spans="1:1" x14ac:dyDescent="0.2">
      <c r="A6028" s="1" t="s">
        <v>1456</v>
      </c>
    </row>
    <row r="6029" spans="1:1" x14ac:dyDescent="0.2">
      <c r="A6029" s="1" t="s">
        <v>1457</v>
      </c>
    </row>
    <row r="6030" spans="1:1" x14ac:dyDescent="0.2">
      <c r="A6030" s="1" t="s">
        <v>1458</v>
      </c>
    </row>
    <row r="6031" spans="1:1" x14ac:dyDescent="0.2">
      <c r="A6031" s="1" t="s">
        <v>1459</v>
      </c>
    </row>
    <row r="6032" spans="1:1" x14ac:dyDescent="0.2">
      <c r="A6032" s="1" t="s">
        <v>1460</v>
      </c>
    </row>
    <row r="6033" spans="1:1" x14ac:dyDescent="0.2">
      <c r="A6033" s="1" t="s">
        <v>1461</v>
      </c>
    </row>
    <row r="6034" spans="1:1" x14ac:dyDescent="0.2">
      <c r="A6034" s="1" t="s">
        <v>1462</v>
      </c>
    </row>
    <row r="6035" spans="1:1" x14ac:dyDescent="0.2">
      <c r="A6035" s="1" t="s">
        <v>1463</v>
      </c>
    </row>
    <row r="6036" spans="1:1" x14ac:dyDescent="0.2">
      <c r="A6036" s="1" t="s">
        <v>1464</v>
      </c>
    </row>
    <row r="6037" spans="1:1" x14ac:dyDescent="0.2">
      <c r="A6037" s="1" t="s">
        <v>1465</v>
      </c>
    </row>
    <row r="6038" spans="1:1" x14ac:dyDescent="0.2">
      <c r="A6038" s="1" t="s">
        <v>1466</v>
      </c>
    </row>
    <row r="6039" spans="1:1" x14ac:dyDescent="0.2">
      <c r="A6039" s="1" t="s">
        <v>1467</v>
      </c>
    </row>
    <row r="6040" spans="1:1" x14ac:dyDescent="0.2">
      <c r="A6040" s="1" t="s">
        <v>1468</v>
      </c>
    </row>
    <row r="6041" spans="1:1" x14ac:dyDescent="0.2">
      <c r="A6041" s="1" t="s">
        <v>1469</v>
      </c>
    </row>
    <row r="6042" spans="1:1" x14ac:dyDescent="0.2">
      <c r="A6042" s="1" t="s">
        <v>1470</v>
      </c>
    </row>
    <row r="6043" spans="1:1" x14ac:dyDescent="0.2">
      <c r="A6043" s="1" t="s">
        <v>1471</v>
      </c>
    </row>
    <row r="6044" spans="1:1" x14ac:dyDescent="0.2">
      <c r="A6044" s="1" t="s">
        <v>1472</v>
      </c>
    </row>
    <row r="6045" spans="1:1" x14ac:dyDescent="0.2">
      <c r="A6045" s="1" t="s">
        <v>1473</v>
      </c>
    </row>
    <row r="6046" spans="1:1" x14ac:dyDescent="0.2">
      <c r="A6046" s="1" t="s">
        <v>1474</v>
      </c>
    </row>
    <row r="6047" spans="1:1" x14ac:dyDescent="0.2">
      <c r="A6047" s="1" t="s">
        <v>1475</v>
      </c>
    </row>
    <row r="6048" spans="1:1" x14ac:dyDescent="0.2">
      <c r="A6048" s="1" t="s">
        <v>1476</v>
      </c>
    </row>
    <row r="6049" spans="1:1" x14ac:dyDescent="0.2">
      <c r="A6049" s="1" t="s">
        <v>1477</v>
      </c>
    </row>
    <row r="6050" spans="1:1" x14ac:dyDescent="0.2">
      <c r="A6050" s="1" t="s">
        <v>1478</v>
      </c>
    </row>
    <row r="6051" spans="1:1" x14ac:dyDescent="0.2">
      <c r="A6051" s="1" t="s">
        <v>1479</v>
      </c>
    </row>
    <row r="6052" spans="1:1" x14ac:dyDescent="0.2">
      <c r="A6052" s="1" t="s">
        <v>1480</v>
      </c>
    </row>
    <row r="6053" spans="1:1" x14ac:dyDescent="0.2">
      <c r="A6053" s="1" t="s">
        <v>1481</v>
      </c>
    </row>
    <row r="6054" spans="1:1" x14ac:dyDescent="0.2">
      <c r="A6054" s="1" t="s">
        <v>1482</v>
      </c>
    </row>
    <row r="6055" spans="1:1" x14ac:dyDescent="0.2">
      <c r="A6055" s="1" t="s">
        <v>1483</v>
      </c>
    </row>
    <row r="6056" spans="1:1" x14ac:dyDescent="0.2">
      <c r="A6056" s="1" t="s">
        <v>1482</v>
      </c>
    </row>
    <row r="6057" spans="1:1" x14ac:dyDescent="0.2">
      <c r="A6057" s="1" t="s">
        <v>1484</v>
      </c>
    </row>
    <row r="6058" spans="1:1" x14ac:dyDescent="0.2">
      <c r="A6058" s="1" t="s">
        <v>1485</v>
      </c>
    </row>
    <row r="6059" spans="1:1" x14ac:dyDescent="0.2">
      <c r="A6059" s="1" t="s">
        <v>1486</v>
      </c>
    </row>
    <row r="6060" spans="1:1" x14ac:dyDescent="0.2">
      <c r="A6060" s="1" t="s">
        <v>1487</v>
      </c>
    </row>
    <row r="6061" spans="1:1" x14ac:dyDescent="0.2">
      <c r="A6061" s="1" t="s">
        <v>1485</v>
      </c>
    </row>
    <row r="6062" spans="1:1" x14ac:dyDescent="0.2">
      <c r="A6062" s="1" t="s">
        <v>1488</v>
      </c>
    </row>
    <row r="6063" spans="1:1" x14ac:dyDescent="0.2">
      <c r="A6063" s="1" t="s">
        <v>1485</v>
      </c>
    </row>
    <row r="6064" spans="1:1" x14ac:dyDescent="0.2">
      <c r="A6064" s="1" t="s">
        <v>1489</v>
      </c>
    </row>
    <row r="6065" spans="1:1" x14ac:dyDescent="0.2">
      <c r="A6065" s="1" t="s">
        <v>1490</v>
      </c>
    </row>
    <row r="6066" spans="1:1" x14ac:dyDescent="0.2">
      <c r="A6066" s="1" t="s">
        <v>1491</v>
      </c>
    </row>
    <row r="6067" spans="1:1" x14ac:dyDescent="0.2">
      <c r="A6067" s="1" t="s">
        <v>1492</v>
      </c>
    </row>
    <row r="6068" spans="1:1" x14ac:dyDescent="0.2">
      <c r="A6068" s="1" t="s">
        <v>1490</v>
      </c>
    </row>
    <row r="6069" spans="1:1" x14ac:dyDescent="0.2">
      <c r="A6069" s="1" t="s">
        <v>1493</v>
      </c>
    </row>
    <row r="6070" spans="1:1" x14ac:dyDescent="0.2">
      <c r="A6070" s="1" t="s">
        <v>1492</v>
      </c>
    </row>
    <row r="6071" spans="1:1" x14ac:dyDescent="0.2">
      <c r="A6071" s="1" t="s">
        <v>1490</v>
      </c>
    </row>
    <row r="6072" spans="1:1" x14ac:dyDescent="0.2">
      <c r="A6072" s="1" t="s">
        <v>1494</v>
      </c>
    </row>
    <row r="6073" spans="1:1" x14ac:dyDescent="0.2">
      <c r="A6073" s="1" t="s">
        <v>1492</v>
      </c>
    </row>
    <row r="6074" spans="1:1" x14ac:dyDescent="0.2">
      <c r="A6074" s="1" t="s">
        <v>1495</v>
      </c>
    </row>
    <row r="6075" spans="1:1" x14ac:dyDescent="0.2">
      <c r="A6075" s="1" t="s">
        <v>1496</v>
      </c>
    </row>
    <row r="6076" spans="1:1" x14ac:dyDescent="0.2">
      <c r="A6076" s="1" t="s">
        <v>1497</v>
      </c>
    </row>
    <row r="6077" spans="1:1" x14ac:dyDescent="0.2">
      <c r="A6077" s="1" t="s">
        <v>1495</v>
      </c>
    </row>
    <row r="6078" spans="1:1" x14ac:dyDescent="0.2">
      <c r="A6078" s="1" t="s">
        <v>1498</v>
      </c>
    </row>
    <row r="6079" spans="1:1" x14ac:dyDescent="0.2">
      <c r="A6079" s="1" t="s">
        <v>1497</v>
      </c>
    </row>
    <row r="6080" spans="1:1" x14ac:dyDescent="0.2">
      <c r="A6080" s="1" t="s">
        <v>1495</v>
      </c>
    </row>
    <row r="6081" spans="1:1" x14ac:dyDescent="0.2">
      <c r="A6081" s="1" t="s">
        <v>1499</v>
      </c>
    </row>
    <row r="6082" spans="1:1" x14ac:dyDescent="0.2">
      <c r="A6082" s="1" t="s">
        <v>1497</v>
      </c>
    </row>
    <row r="6083" spans="1:1" x14ac:dyDescent="0.2">
      <c r="A6083" s="1" t="s">
        <v>1500</v>
      </c>
    </row>
    <row r="6084" spans="1:1" x14ac:dyDescent="0.2">
      <c r="A6084" s="1" t="s">
        <v>1501</v>
      </c>
    </row>
    <row r="6085" spans="1:1" x14ac:dyDescent="0.2">
      <c r="A6085" s="1" t="s">
        <v>1502</v>
      </c>
    </row>
    <row r="6086" spans="1:1" x14ac:dyDescent="0.2">
      <c r="A6086" s="1" t="s">
        <v>1503</v>
      </c>
    </row>
    <row r="6087" spans="1:1" x14ac:dyDescent="0.2">
      <c r="A6087" s="1" t="s">
        <v>1504</v>
      </c>
    </row>
    <row r="6088" spans="1:1" x14ac:dyDescent="0.2">
      <c r="A6088" s="1" t="s">
        <v>1505</v>
      </c>
    </row>
    <row r="6089" spans="1:1" x14ac:dyDescent="0.2">
      <c r="A6089" s="1" t="s">
        <v>1506</v>
      </c>
    </row>
    <row r="6090" spans="1:1" x14ac:dyDescent="0.2">
      <c r="A6090" s="1" t="s">
        <v>1507</v>
      </c>
    </row>
    <row r="6091" spans="1:1" x14ac:dyDescent="0.2">
      <c r="A6091" s="1" t="s">
        <v>1508</v>
      </c>
    </row>
    <row r="6092" spans="1:1" x14ac:dyDescent="0.2">
      <c r="A6092" s="1" t="s">
        <v>1509</v>
      </c>
    </row>
    <row r="6093" spans="1:1" x14ac:dyDescent="0.2">
      <c r="A6093" s="1" t="s">
        <v>1510</v>
      </c>
    </row>
    <row r="6094" spans="1:1" x14ac:dyDescent="0.2">
      <c r="A6094" s="1" t="s">
        <v>1511</v>
      </c>
    </row>
    <row r="6095" spans="1:1" x14ac:dyDescent="0.2">
      <c r="A6095" s="1" t="s">
        <v>1500</v>
      </c>
    </row>
    <row r="6096" spans="1:1" x14ac:dyDescent="0.2">
      <c r="A6096" s="1" t="s">
        <v>1512</v>
      </c>
    </row>
    <row r="6097" spans="1:1" x14ac:dyDescent="0.2">
      <c r="A6097" s="1" t="s">
        <v>1502</v>
      </c>
    </row>
    <row r="6098" spans="1:1" x14ac:dyDescent="0.2">
      <c r="A6098" s="1" t="s">
        <v>1503</v>
      </c>
    </row>
    <row r="6099" spans="1:1" x14ac:dyDescent="0.2">
      <c r="A6099" s="1" t="s">
        <v>1504</v>
      </c>
    </row>
    <row r="6100" spans="1:1" x14ac:dyDescent="0.2">
      <c r="A6100" s="1" t="s">
        <v>1505</v>
      </c>
    </row>
    <row r="6101" spans="1:1" x14ac:dyDescent="0.2">
      <c r="A6101" s="1" t="s">
        <v>1513</v>
      </c>
    </row>
    <row r="6102" spans="1:1" x14ac:dyDescent="0.2">
      <c r="A6102" s="1" t="s">
        <v>1507</v>
      </c>
    </row>
    <row r="6103" spans="1:1" x14ac:dyDescent="0.2">
      <c r="A6103" s="1" t="s">
        <v>1508</v>
      </c>
    </row>
    <row r="6104" spans="1:1" x14ac:dyDescent="0.2">
      <c r="A6104" s="1" t="s">
        <v>1509</v>
      </c>
    </row>
    <row r="6105" spans="1:1" x14ac:dyDescent="0.2">
      <c r="A6105" s="1" t="s">
        <v>1510</v>
      </c>
    </row>
    <row r="6106" spans="1:1" x14ac:dyDescent="0.2">
      <c r="A6106" s="1" t="s">
        <v>1511</v>
      </c>
    </row>
    <row r="6107" spans="1:1" x14ac:dyDescent="0.2">
      <c r="A6107" s="1" t="s">
        <v>1500</v>
      </c>
    </row>
    <row r="6108" spans="1:1" x14ac:dyDescent="0.2">
      <c r="A6108" s="1" t="s">
        <v>1514</v>
      </c>
    </row>
    <row r="6109" spans="1:1" x14ac:dyDescent="0.2">
      <c r="A6109" s="1" t="s">
        <v>1502</v>
      </c>
    </row>
    <row r="6110" spans="1:1" x14ac:dyDescent="0.2">
      <c r="A6110" s="1" t="s">
        <v>1503</v>
      </c>
    </row>
    <row r="6111" spans="1:1" x14ac:dyDescent="0.2">
      <c r="A6111" s="1" t="s">
        <v>1504</v>
      </c>
    </row>
    <row r="6112" spans="1:1" x14ac:dyDescent="0.2">
      <c r="A6112" s="1" t="s">
        <v>1505</v>
      </c>
    </row>
    <row r="6113" spans="1:1" x14ac:dyDescent="0.2">
      <c r="A6113" s="1" t="s">
        <v>1515</v>
      </c>
    </row>
    <row r="6114" spans="1:1" x14ac:dyDescent="0.2">
      <c r="A6114" s="1" t="s">
        <v>1507</v>
      </c>
    </row>
    <row r="6115" spans="1:1" x14ac:dyDescent="0.2">
      <c r="A6115" s="1" t="s">
        <v>1508</v>
      </c>
    </row>
    <row r="6116" spans="1:1" x14ac:dyDescent="0.2">
      <c r="A6116" s="1" t="s">
        <v>1509</v>
      </c>
    </row>
    <row r="6117" spans="1:1" x14ac:dyDescent="0.2">
      <c r="A6117" s="1" t="s">
        <v>1510</v>
      </c>
    </row>
    <row r="6118" spans="1:1" x14ac:dyDescent="0.2">
      <c r="A6118" s="1" t="s">
        <v>1511</v>
      </c>
    </row>
    <row r="6119" spans="1:1" x14ac:dyDescent="0.2">
      <c r="A6119" s="1" t="s">
        <v>1516</v>
      </c>
    </row>
    <row r="6120" spans="1:1" x14ac:dyDescent="0.2">
      <c r="A6120" s="1" t="s">
        <v>1517</v>
      </c>
    </row>
    <row r="6121" spans="1:1" x14ac:dyDescent="0.2">
      <c r="A6121" s="1" t="s">
        <v>1518</v>
      </c>
    </row>
    <row r="6122" spans="1:1" x14ac:dyDescent="0.2">
      <c r="A6122" s="1" t="s">
        <v>1519</v>
      </c>
    </row>
    <row r="6123" spans="1:1" x14ac:dyDescent="0.2">
      <c r="A6123" s="1" t="s">
        <v>1520</v>
      </c>
    </row>
    <row r="6124" spans="1:1" x14ac:dyDescent="0.2">
      <c r="A6124" s="1" t="s">
        <v>1521</v>
      </c>
    </row>
    <row r="6125" spans="1:1" x14ac:dyDescent="0.2">
      <c r="A6125" s="1" t="s">
        <v>1522</v>
      </c>
    </row>
    <row r="6126" spans="1:1" x14ac:dyDescent="0.2">
      <c r="A6126" s="1" t="s">
        <v>1523</v>
      </c>
    </row>
    <row r="6127" spans="1:1" x14ac:dyDescent="0.2">
      <c r="A6127" s="1" t="s">
        <v>1524</v>
      </c>
    </row>
    <row r="6128" spans="1:1" x14ac:dyDescent="0.2">
      <c r="A6128" s="1" t="s">
        <v>1525</v>
      </c>
    </row>
    <row r="6129" spans="1:1" x14ac:dyDescent="0.2">
      <c r="A6129" s="1" t="s">
        <v>1526</v>
      </c>
    </row>
    <row r="6130" spans="1:1" x14ac:dyDescent="0.2">
      <c r="A6130" s="1" t="s">
        <v>1527</v>
      </c>
    </row>
    <row r="6131" spans="1:1" x14ac:dyDescent="0.2">
      <c r="A6131" s="1" t="s">
        <v>1516</v>
      </c>
    </row>
    <row r="6132" spans="1:1" x14ac:dyDescent="0.2">
      <c r="A6132" s="1" t="s">
        <v>1528</v>
      </c>
    </row>
    <row r="6133" spans="1:1" x14ac:dyDescent="0.2">
      <c r="A6133" s="1" t="s">
        <v>1518</v>
      </c>
    </row>
    <row r="6134" spans="1:1" x14ac:dyDescent="0.2">
      <c r="A6134" s="1" t="s">
        <v>1519</v>
      </c>
    </row>
    <row r="6135" spans="1:1" x14ac:dyDescent="0.2">
      <c r="A6135" s="1" t="s">
        <v>1520</v>
      </c>
    </row>
    <row r="6136" spans="1:1" x14ac:dyDescent="0.2">
      <c r="A6136" s="1" t="s">
        <v>1521</v>
      </c>
    </row>
    <row r="6137" spans="1:1" x14ac:dyDescent="0.2">
      <c r="A6137" s="1" t="s">
        <v>1529</v>
      </c>
    </row>
    <row r="6138" spans="1:1" x14ac:dyDescent="0.2">
      <c r="A6138" s="1" t="s">
        <v>1523</v>
      </c>
    </row>
    <row r="6139" spans="1:1" x14ac:dyDescent="0.2">
      <c r="A6139" s="1" t="s">
        <v>1524</v>
      </c>
    </row>
    <row r="6140" spans="1:1" x14ac:dyDescent="0.2">
      <c r="A6140" s="1" t="s">
        <v>1525</v>
      </c>
    </row>
    <row r="6141" spans="1:1" x14ac:dyDescent="0.2">
      <c r="A6141" s="1" t="s">
        <v>1526</v>
      </c>
    </row>
    <row r="6142" spans="1:1" x14ac:dyDescent="0.2">
      <c r="A6142" s="1" t="s">
        <v>1527</v>
      </c>
    </row>
    <row r="6143" spans="1:1" x14ac:dyDescent="0.2">
      <c r="A6143" s="1" t="s">
        <v>1516</v>
      </c>
    </row>
    <row r="6144" spans="1:1" x14ac:dyDescent="0.2">
      <c r="A6144" s="1" t="s">
        <v>1530</v>
      </c>
    </row>
    <row r="6145" spans="1:1" x14ac:dyDescent="0.2">
      <c r="A6145" s="1" t="s">
        <v>1518</v>
      </c>
    </row>
    <row r="6146" spans="1:1" x14ac:dyDescent="0.2">
      <c r="A6146" s="1" t="s">
        <v>1519</v>
      </c>
    </row>
    <row r="6147" spans="1:1" x14ac:dyDescent="0.2">
      <c r="A6147" s="1" t="s">
        <v>1520</v>
      </c>
    </row>
    <row r="6148" spans="1:1" x14ac:dyDescent="0.2">
      <c r="A6148" s="1" t="s">
        <v>1521</v>
      </c>
    </row>
    <row r="6149" spans="1:1" x14ac:dyDescent="0.2">
      <c r="A6149" s="1" t="s">
        <v>1531</v>
      </c>
    </row>
    <row r="6150" spans="1:1" x14ac:dyDescent="0.2">
      <c r="A6150" s="1" t="s">
        <v>1523</v>
      </c>
    </row>
    <row r="6151" spans="1:1" x14ac:dyDescent="0.2">
      <c r="A6151" s="1" t="s">
        <v>1524</v>
      </c>
    </row>
    <row r="6152" spans="1:1" x14ac:dyDescent="0.2">
      <c r="A6152" s="1" t="s">
        <v>1525</v>
      </c>
    </row>
    <row r="6153" spans="1:1" x14ac:dyDescent="0.2">
      <c r="A6153" s="1" t="s">
        <v>1526</v>
      </c>
    </row>
    <row r="6154" spans="1:1" x14ac:dyDescent="0.2">
      <c r="A6154" s="1" t="s">
        <v>1527</v>
      </c>
    </row>
    <row r="6155" spans="1:1" x14ac:dyDescent="0.2">
      <c r="A6155" s="1" t="s">
        <v>1532</v>
      </c>
    </row>
    <row r="6156" spans="1:1" x14ac:dyDescent="0.2">
      <c r="A6156" s="1" t="s">
        <v>1533</v>
      </c>
    </row>
    <row r="6157" spans="1:1" x14ac:dyDescent="0.2">
      <c r="A6157" s="1" t="s">
        <v>1534</v>
      </c>
    </row>
    <row r="6158" spans="1:1" x14ac:dyDescent="0.2">
      <c r="A6158" s="1" t="s">
        <v>1535</v>
      </c>
    </row>
    <row r="6159" spans="1:1" x14ac:dyDescent="0.2">
      <c r="A6159" s="1" t="s">
        <v>1536</v>
      </c>
    </row>
    <row r="6160" spans="1:1" x14ac:dyDescent="0.2">
      <c r="A6160" s="1" t="s">
        <v>1537</v>
      </c>
    </row>
    <row r="6161" spans="1:1" x14ac:dyDescent="0.2">
      <c r="A6161" s="1" t="s">
        <v>1538</v>
      </c>
    </row>
    <row r="6162" spans="1:1" x14ac:dyDescent="0.2">
      <c r="A6162" s="1" t="s">
        <v>1539</v>
      </c>
    </row>
    <row r="6163" spans="1:1" x14ac:dyDescent="0.2">
      <c r="A6163" s="1" t="s">
        <v>1540</v>
      </c>
    </row>
    <row r="6164" spans="1:1" x14ac:dyDescent="0.2">
      <c r="A6164" s="1" t="s">
        <v>1541</v>
      </c>
    </row>
    <row r="6165" spans="1:1" x14ac:dyDescent="0.2">
      <c r="A6165" s="1" t="s">
        <v>1542</v>
      </c>
    </row>
    <row r="6166" spans="1:1" x14ac:dyDescent="0.2">
      <c r="A6166" s="1" t="s">
        <v>1543</v>
      </c>
    </row>
    <row r="6167" spans="1:1" x14ac:dyDescent="0.2">
      <c r="A6167" s="1" t="s">
        <v>1532</v>
      </c>
    </row>
    <row r="6168" spans="1:1" x14ac:dyDescent="0.2">
      <c r="A6168" s="1" t="s">
        <v>1544</v>
      </c>
    </row>
    <row r="6169" spans="1:1" x14ac:dyDescent="0.2">
      <c r="A6169" s="1" t="s">
        <v>1534</v>
      </c>
    </row>
    <row r="6170" spans="1:1" x14ac:dyDescent="0.2">
      <c r="A6170" s="1" t="s">
        <v>1535</v>
      </c>
    </row>
    <row r="6171" spans="1:1" x14ac:dyDescent="0.2">
      <c r="A6171" s="1" t="s">
        <v>1536</v>
      </c>
    </row>
    <row r="6172" spans="1:1" x14ac:dyDescent="0.2">
      <c r="A6172" s="1" t="s">
        <v>1537</v>
      </c>
    </row>
    <row r="6173" spans="1:1" x14ac:dyDescent="0.2">
      <c r="A6173" s="1" t="s">
        <v>1545</v>
      </c>
    </row>
    <row r="6174" spans="1:1" x14ac:dyDescent="0.2">
      <c r="A6174" s="1" t="s">
        <v>1539</v>
      </c>
    </row>
    <row r="6175" spans="1:1" x14ac:dyDescent="0.2">
      <c r="A6175" s="1" t="s">
        <v>1540</v>
      </c>
    </row>
    <row r="6176" spans="1:1" x14ac:dyDescent="0.2">
      <c r="A6176" s="1" t="s">
        <v>1541</v>
      </c>
    </row>
    <row r="6177" spans="1:1" x14ac:dyDescent="0.2">
      <c r="A6177" s="1" t="s">
        <v>1542</v>
      </c>
    </row>
    <row r="6178" spans="1:1" x14ac:dyDescent="0.2">
      <c r="A6178" s="1" t="s">
        <v>1543</v>
      </c>
    </row>
    <row r="6179" spans="1:1" x14ac:dyDescent="0.2">
      <c r="A6179" s="1" t="s">
        <v>1546</v>
      </c>
    </row>
    <row r="6180" spans="1:1" x14ac:dyDescent="0.2">
      <c r="A6180" s="1" t="s">
        <v>1547</v>
      </c>
    </row>
    <row r="6181" spans="1:1" x14ac:dyDescent="0.2">
      <c r="A6181" s="1" t="s">
        <v>1548</v>
      </c>
    </row>
    <row r="6182" spans="1:1" x14ac:dyDescent="0.2">
      <c r="A6182" s="1" t="s">
        <v>1549</v>
      </c>
    </row>
    <row r="6183" spans="1:1" x14ac:dyDescent="0.2">
      <c r="A6183" s="1" t="s">
        <v>1550</v>
      </c>
    </row>
    <row r="6184" spans="1:1" x14ac:dyDescent="0.2">
      <c r="A6184" s="1" t="s">
        <v>1551</v>
      </c>
    </row>
    <row r="6185" spans="1:1" x14ac:dyDescent="0.2">
      <c r="A6185" s="1" t="s">
        <v>1552</v>
      </c>
    </row>
    <row r="6186" spans="1:1" x14ac:dyDescent="0.2">
      <c r="A6186" s="1" t="s">
        <v>1553</v>
      </c>
    </row>
    <row r="6187" spans="1:1" x14ac:dyDescent="0.2">
      <c r="A6187" s="1" t="s">
        <v>1554</v>
      </c>
    </row>
    <row r="6188" spans="1:1" x14ac:dyDescent="0.2">
      <c r="A6188" s="1" t="s">
        <v>1555</v>
      </c>
    </row>
    <row r="6189" spans="1:1" x14ac:dyDescent="0.2">
      <c r="A6189" s="1" t="s">
        <v>1556</v>
      </c>
    </row>
    <row r="6190" spans="1:1" x14ac:dyDescent="0.2">
      <c r="A6190" s="1" t="s">
        <v>1557</v>
      </c>
    </row>
    <row r="6191" spans="1:1" x14ac:dyDescent="0.2">
      <c r="A6191" s="1" t="s">
        <v>1558</v>
      </c>
    </row>
    <row r="6192" spans="1:1" x14ac:dyDescent="0.2">
      <c r="A6192" s="1" t="s">
        <v>1559</v>
      </c>
    </row>
    <row r="6193" spans="1:1" x14ac:dyDescent="0.2">
      <c r="A6193" s="1" t="s">
        <v>1560</v>
      </c>
    </row>
    <row r="6194" spans="1:1" x14ac:dyDescent="0.2">
      <c r="A6194" s="1" t="s">
        <v>1561</v>
      </c>
    </row>
    <row r="6195" spans="1:1" x14ac:dyDescent="0.2">
      <c r="A6195" s="1" t="s">
        <v>1562</v>
      </c>
    </row>
    <row r="6196" spans="1:1" x14ac:dyDescent="0.2">
      <c r="A6196" s="1" t="s">
        <v>1563</v>
      </c>
    </row>
    <row r="6197" spans="1:1" x14ac:dyDescent="0.2">
      <c r="A6197" s="1" t="s">
        <v>1564</v>
      </c>
    </row>
    <row r="6198" spans="1:1" x14ac:dyDescent="0.2">
      <c r="A6198" s="1" t="s">
        <v>1565</v>
      </c>
    </row>
    <row r="6199" spans="1:1" x14ac:dyDescent="0.2">
      <c r="A6199" s="1" t="s">
        <v>1566</v>
      </c>
    </row>
    <row r="6200" spans="1:1" x14ac:dyDescent="0.2">
      <c r="A6200" s="1" t="s">
        <v>1567</v>
      </c>
    </row>
    <row r="6201" spans="1:1" x14ac:dyDescent="0.2">
      <c r="A6201" s="1" t="s">
        <v>1568</v>
      </c>
    </row>
    <row r="6202" spans="1:1" x14ac:dyDescent="0.2">
      <c r="A6202" s="1" t="s">
        <v>1569</v>
      </c>
    </row>
    <row r="6203" spans="1:1" x14ac:dyDescent="0.2">
      <c r="A6203" s="1" t="s">
        <v>1558</v>
      </c>
    </row>
    <row r="6204" spans="1:1" x14ac:dyDescent="0.2">
      <c r="A6204" s="1" t="s">
        <v>1570</v>
      </c>
    </row>
    <row r="6205" spans="1:1" x14ac:dyDescent="0.2">
      <c r="A6205" s="1" t="s">
        <v>1560</v>
      </c>
    </row>
    <row r="6206" spans="1:1" x14ac:dyDescent="0.2">
      <c r="A6206" s="1" t="s">
        <v>1561</v>
      </c>
    </row>
    <row r="6207" spans="1:1" x14ac:dyDescent="0.2">
      <c r="A6207" s="1" t="s">
        <v>1562</v>
      </c>
    </row>
    <row r="6208" spans="1:1" x14ac:dyDescent="0.2">
      <c r="A6208" s="1" t="s">
        <v>1563</v>
      </c>
    </row>
    <row r="6209" spans="1:1" x14ac:dyDescent="0.2">
      <c r="A6209" s="1" t="s">
        <v>1571</v>
      </c>
    </row>
    <row r="6210" spans="1:1" x14ac:dyDescent="0.2">
      <c r="A6210" s="1" t="s">
        <v>1565</v>
      </c>
    </row>
    <row r="6211" spans="1:1" x14ac:dyDescent="0.2">
      <c r="A6211" s="1" t="s">
        <v>1566</v>
      </c>
    </row>
    <row r="6212" spans="1:1" x14ac:dyDescent="0.2">
      <c r="A6212" s="1" t="s">
        <v>1567</v>
      </c>
    </row>
    <row r="6213" spans="1:1" x14ac:dyDescent="0.2">
      <c r="A6213" s="1" t="s">
        <v>1568</v>
      </c>
    </row>
    <row r="6214" spans="1:1" x14ac:dyDescent="0.2">
      <c r="A6214" s="1" t="s">
        <v>1569</v>
      </c>
    </row>
    <row r="6215" spans="1:1" x14ac:dyDescent="0.2">
      <c r="A6215" s="1" t="s">
        <v>1558</v>
      </c>
    </row>
    <row r="6216" spans="1:1" x14ac:dyDescent="0.2">
      <c r="A6216" s="1" t="s">
        <v>1572</v>
      </c>
    </row>
    <row r="6217" spans="1:1" x14ac:dyDescent="0.2">
      <c r="A6217" s="1" t="s">
        <v>1560</v>
      </c>
    </row>
    <row r="6218" spans="1:1" x14ac:dyDescent="0.2">
      <c r="A6218" s="1" t="s">
        <v>1561</v>
      </c>
    </row>
    <row r="6219" spans="1:1" x14ac:dyDescent="0.2">
      <c r="A6219" s="1" t="s">
        <v>1562</v>
      </c>
    </row>
    <row r="6220" spans="1:1" x14ac:dyDescent="0.2">
      <c r="A6220" s="1" t="s">
        <v>1563</v>
      </c>
    </row>
    <row r="6221" spans="1:1" x14ac:dyDescent="0.2">
      <c r="A6221" s="1" t="s">
        <v>1573</v>
      </c>
    </row>
    <row r="6222" spans="1:1" x14ac:dyDescent="0.2">
      <c r="A6222" s="1" t="s">
        <v>1565</v>
      </c>
    </row>
    <row r="6223" spans="1:1" x14ac:dyDescent="0.2">
      <c r="A6223" s="1" t="s">
        <v>1566</v>
      </c>
    </row>
    <row r="6224" spans="1:1" x14ac:dyDescent="0.2">
      <c r="A6224" s="1" t="s">
        <v>1567</v>
      </c>
    </row>
    <row r="6225" spans="1:1" x14ac:dyDescent="0.2">
      <c r="A6225" s="1" t="s">
        <v>1568</v>
      </c>
    </row>
    <row r="6226" spans="1:1" x14ac:dyDescent="0.2">
      <c r="A6226" s="1" t="s">
        <v>1569</v>
      </c>
    </row>
    <row r="6227" spans="1:1" x14ac:dyDescent="0.2">
      <c r="A6227" s="1" t="s">
        <v>1574</v>
      </c>
    </row>
    <row r="6228" spans="1:1" x14ac:dyDescent="0.2">
      <c r="A6228" s="1" t="s">
        <v>1575</v>
      </c>
    </row>
    <row r="6229" spans="1:1" x14ac:dyDescent="0.2">
      <c r="A6229" s="1" t="s">
        <v>1576</v>
      </c>
    </row>
    <row r="6230" spans="1:1" x14ac:dyDescent="0.2">
      <c r="A6230" s="1" t="s">
        <v>1577</v>
      </c>
    </row>
    <row r="6231" spans="1:1" x14ac:dyDescent="0.2">
      <c r="A6231" s="1" t="s">
        <v>1576</v>
      </c>
    </row>
    <row r="6232" spans="1:1" x14ac:dyDescent="0.2">
      <c r="A6232" s="1" t="s">
        <v>1577</v>
      </c>
    </row>
    <row r="6233" spans="1:1" x14ac:dyDescent="0.2">
      <c r="A6233" s="1" t="s">
        <v>1578</v>
      </c>
    </row>
    <row r="6234" spans="1:1" x14ac:dyDescent="0.2">
      <c r="A6234" s="1" t="s">
        <v>1579</v>
      </c>
    </row>
    <row r="6235" spans="1:1" x14ac:dyDescent="0.2">
      <c r="A6235" s="1" t="s">
        <v>1580</v>
      </c>
    </row>
    <row r="6236" spans="1:1" x14ac:dyDescent="0.2">
      <c r="A6236" s="1" t="s">
        <v>1581</v>
      </c>
    </row>
    <row r="6237" spans="1:1" x14ac:dyDescent="0.2">
      <c r="A6237" s="1" t="s">
        <v>1582</v>
      </c>
    </row>
    <row r="6238" spans="1:1" x14ac:dyDescent="0.2">
      <c r="A6238" s="1" t="s">
        <v>1583</v>
      </c>
    </row>
    <row r="6239" spans="1:1" x14ac:dyDescent="0.2">
      <c r="A6239" s="1" t="s">
        <v>1584</v>
      </c>
    </row>
    <row r="6240" spans="1:1" x14ac:dyDescent="0.2">
      <c r="A6240" s="1" t="s">
        <v>1585</v>
      </c>
    </row>
    <row r="6241" spans="1:1" x14ac:dyDescent="0.2">
      <c r="A6241" s="1" t="s">
        <v>1576</v>
      </c>
    </row>
    <row r="6242" spans="1:1" x14ac:dyDescent="0.2">
      <c r="A6242" s="1" t="s">
        <v>1577</v>
      </c>
    </row>
    <row r="6243" spans="1:1" x14ac:dyDescent="0.2">
      <c r="A6243" s="1" t="s">
        <v>1576</v>
      </c>
    </row>
    <row r="6244" spans="1:1" x14ac:dyDescent="0.2">
      <c r="A6244" s="1" t="s">
        <v>1577</v>
      </c>
    </row>
    <row r="6245" spans="1:1" x14ac:dyDescent="0.2">
      <c r="A6245" s="1" t="s">
        <v>1576</v>
      </c>
    </row>
    <row r="6246" spans="1:1" x14ac:dyDescent="0.2">
      <c r="A6246" s="1" t="s">
        <v>1577</v>
      </c>
    </row>
    <row r="6247" spans="1:1" x14ac:dyDescent="0.2">
      <c r="A6247" s="1" t="s">
        <v>1578</v>
      </c>
    </row>
    <row r="6248" spans="1:1" x14ac:dyDescent="0.2">
      <c r="A6248" s="1" t="s">
        <v>1579</v>
      </c>
    </row>
    <row r="6249" spans="1:1" x14ac:dyDescent="0.2">
      <c r="A6249" s="1" t="s">
        <v>1580</v>
      </c>
    </row>
    <row r="6250" spans="1:1" x14ac:dyDescent="0.2">
      <c r="A6250" s="1" t="s">
        <v>1581</v>
      </c>
    </row>
    <row r="6251" spans="1:1" x14ac:dyDescent="0.2">
      <c r="A6251" s="1" t="s">
        <v>1582</v>
      </c>
    </row>
    <row r="6252" spans="1:1" x14ac:dyDescent="0.2">
      <c r="A6252" s="1" t="s">
        <v>1583</v>
      </c>
    </row>
    <row r="6253" spans="1:1" x14ac:dyDescent="0.2">
      <c r="A6253" s="1" t="s">
        <v>1584</v>
      </c>
    </row>
    <row r="6254" spans="1:1" x14ac:dyDescent="0.2">
      <c r="A6254" s="1" t="s">
        <v>1585</v>
      </c>
    </row>
    <row r="6255" spans="1:1" x14ac:dyDescent="0.2">
      <c r="A6255" s="1" t="s">
        <v>1576</v>
      </c>
    </row>
    <row r="6256" spans="1:1" x14ac:dyDescent="0.2">
      <c r="A6256" s="1" t="s">
        <v>1577</v>
      </c>
    </row>
    <row r="6257" spans="1:1" x14ac:dyDescent="0.2">
      <c r="A6257" s="1" t="s">
        <v>1576</v>
      </c>
    </row>
    <row r="6258" spans="1:1" x14ac:dyDescent="0.2">
      <c r="A6258" s="1" t="s">
        <v>1577</v>
      </c>
    </row>
    <row r="6259" spans="1:1" x14ac:dyDescent="0.2">
      <c r="A6259" s="1" t="s">
        <v>1576</v>
      </c>
    </row>
    <row r="6260" spans="1:1" x14ac:dyDescent="0.2">
      <c r="A6260" s="1" t="s">
        <v>1577</v>
      </c>
    </row>
    <row r="6261" spans="1:1" x14ac:dyDescent="0.2">
      <c r="A6261" s="1" t="s">
        <v>1578</v>
      </c>
    </row>
    <row r="6262" spans="1:1" x14ac:dyDescent="0.2">
      <c r="A6262" s="1" t="s">
        <v>1579</v>
      </c>
    </row>
    <row r="6263" spans="1:1" x14ac:dyDescent="0.2">
      <c r="A6263" s="1" t="s">
        <v>1580</v>
      </c>
    </row>
    <row r="6264" spans="1:1" x14ac:dyDescent="0.2">
      <c r="A6264" s="1" t="s">
        <v>1581</v>
      </c>
    </row>
    <row r="6265" spans="1:1" x14ac:dyDescent="0.2">
      <c r="A6265" s="1" t="s">
        <v>1582</v>
      </c>
    </row>
    <row r="6266" spans="1:1" x14ac:dyDescent="0.2">
      <c r="A6266" s="1" t="s">
        <v>1583</v>
      </c>
    </row>
    <row r="6267" spans="1:1" x14ac:dyDescent="0.2">
      <c r="A6267" s="1" t="s">
        <v>1584</v>
      </c>
    </row>
    <row r="6268" spans="1:1" x14ac:dyDescent="0.2">
      <c r="A6268" s="1" t="s">
        <v>1585</v>
      </c>
    </row>
    <row r="6269" spans="1:1" x14ac:dyDescent="0.2">
      <c r="A6269" s="1" t="s">
        <v>1576</v>
      </c>
    </row>
    <row r="6270" spans="1:1" x14ac:dyDescent="0.2">
      <c r="A6270" s="1" t="s">
        <v>1577</v>
      </c>
    </row>
    <row r="6271" spans="1:1" x14ac:dyDescent="0.2">
      <c r="A6271" s="1" t="s">
        <v>1576</v>
      </c>
    </row>
    <row r="6272" spans="1:1" x14ac:dyDescent="0.2">
      <c r="A6272" s="1" t="s">
        <v>1577</v>
      </c>
    </row>
    <row r="6273" spans="1:1" x14ac:dyDescent="0.2">
      <c r="A6273" s="1" t="s">
        <v>1576</v>
      </c>
    </row>
    <row r="6274" spans="1:1" x14ac:dyDescent="0.2">
      <c r="A6274" s="1" t="s">
        <v>1577</v>
      </c>
    </row>
    <row r="6275" spans="1:1" x14ac:dyDescent="0.2">
      <c r="A6275" s="1" t="s">
        <v>1578</v>
      </c>
    </row>
    <row r="6276" spans="1:1" x14ac:dyDescent="0.2">
      <c r="A6276" s="1" t="s">
        <v>1579</v>
      </c>
    </row>
    <row r="6277" spans="1:1" x14ac:dyDescent="0.2">
      <c r="A6277" s="1" t="s">
        <v>1580</v>
      </c>
    </row>
    <row r="6278" spans="1:1" x14ac:dyDescent="0.2">
      <c r="A6278" s="1" t="s">
        <v>1581</v>
      </c>
    </row>
    <row r="6279" spans="1:1" x14ac:dyDescent="0.2">
      <c r="A6279" s="1" t="s">
        <v>1582</v>
      </c>
    </row>
    <row r="6280" spans="1:1" x14ac:dyDescent="0.2">
      <c r="A6280" s="1" t="s">
        <v>1583</v>
      </c>
    </row>
    <row r="6281" spans="1:1" x14ac:dyDescent="0.2">
      <c r="A6281" s="1" t="s">
        <v>1584</v>
      </c>
    </row>
    <row r="6282" spans="1:1" x14ac:dyDescent="0.2">
      <c r="A6282" s="1" t="s">
        <v>1585</v>
      </c>
    </row>
    <row r="6283" spans="1:1" x14ac:dyDescent="0.2">
      <c r="A6283" s="1" t="s">
        <v>1576</v>
      </c>
    </row>
    <row r="6284" spans="1:1" x14ac:dyDescent="0.2">
      <c r="A6284" s="1" t="s">
        <v>1577</v>
      </c>
    </row>
    <row r="6285" spans="1:1" x14ac:dyDescent="0.2">
      <c r="A6285" s="1" t="s">
        <v>1576</v>
      </c>
    </row>
    <row r="6286" spans="1:1" x14ac:dyDescent="0.2">
      <c r="A6286" s="1" t="s">
        <v>1577</v>
      </c>
    </row>
    <row r="6287" spans="1:1" x14ac:dyDescent="0.2">
      <c r="A6287" s="1" t="s">
        <v>1576</v>
      </c>
    </row>
    <row r="6288" spans="1:1" x14ac:dyDescent="0.2">
      <c r="A6288" s="1" t="s">
        <v>1577</v>
      </c>
    </row>
    <row r="6289" spans="1:1" x14ac:dyDescent="0.2">
      <c r="A6289" s="1" t="s">
        <v>1578</v>
      </c>
    </row>
    <row r="6290" spans="1:1" x14ac:dyDescent="0.2">
      <c r="A6290" s="1" t="s">
        <v>1579</v>
      </c>
    </row>
    <row r="6291" spans="1:1" x14ac:dyDescent="0.2">
      <c r="A6291" s="1" t="s">
        <v>1580</v>
      </c>
    </row>
    <row r="6292" spans="1:1" x14ac:dyDescent="0.2">
      <c r="A6292" s="1" t="s">
        <v>1581</v>
      </c>
    </row>
    <row r="6293" spans="1:1" x14ac:dyDescent="0.2">
      <c r="A6293" s="1" t="s">
        <v>1582</v>
      </c>
    </row>
    <row r="6294" spans="1:1" x14ac:dyDescent="0.2">
      <c r="A6294" s="1" t="s">
        <v>1583</v>
      </c>
    </row>
    <row r="6295" spans="1:1" x14ac:dyDescent="0.2">
      <c r="A6295" s="1" t="s">
        <v>1584</v>
      </c>
    </row>
    <row r="6296" spans="1:1" x14ac:dyDescent="0.2">
      <c r="A6296" s="1" t="s">
        <v>1585</v>
      </c>
    </row>
    <row r="6297" spans="1:1" x14ac:dyDescent="0.2">
      <c r="A6297" s="1" t="s">
        <v>1576</v>
      </c>
    </row>
    <row r="6298" spans="1:1" x14ac:dyDescent="0.2">
      <c r="A6298" s="1" t="s">
        <v>1577</v>
      </c>
    </row>
    <row r="6299" spans="1:1" x14ac:dyDescent="0.2">
      <c r="A6299" s="1" t="s">
        <v>1576</v>
      </c>
    </row>
    <row r="6300" spans="1:1" x14ac:dyDescent="0.2">
      <c r="A6300" s="1" t="s">
        <v>1577</v>
      </c>
    </row>
    <row r="6301" spans="1:1" x14ac:dyDescent="0.2">
      <c r="A6301" s="1" t="s">
        <v>1576</v>
      </c>
    </row>
    <row r="6302" spans="1:1" x14ac:dyDescent="0.2">
      <c r="A6302" s="1" t="s">
        <v>1577</v>
      </c>
    </row>
    <row r="6303" spans="1:1" x14ac:dyDescent="0.2">
      <c r="A6303" s="1" t="s">
        <v>1578</v>
      </c>
    </row>
    <row r="6304" spans="1:1" x14ac:dyDescent="0.2">
      <c r="A6304" s="1" t="s">
        <v>1579</v>
      </c>
    </row>
    <row r="6305" spans="1:1" x14ac:dyDescent="0.2">
      <c r="A6305" s="1" t="s">
        <v>1580</v>
      </c>
    </row>
    <row r="6306" spans="1:1" x14ac:dyDescent="0.2">
      <c r="A6306" s="1" t="s">
        <v>1581</v>
      </c>
    </row>
    <row r="6307" spans="1:1" x14ac:dyDescent="0.2">
      <c r="A6307" s="1" t="s">
        <v>1582</v>
      </c>
    </row>
    <row r="6308" spans="1:1" x14ac:dyDescent="0.2">
      <c r="A6308" s="1" t="s">
        <v>1583</v>
      </c>
    </row>
    <row r="6309" spans="1:1" x14ac:dyDescent="0.2">
      <c r="A6309" s="1" t="s">
        <v>1584</v>
      </c>
    </row>
    <row r="6310" spans="1:1" x14ac:dyDescent="0.2">
      <c r="A6310" s="1" t="s">
        <v>1585</v>
      </c>
    </row>
    <row r="6311" spans="1:1" x14ac:dyDescent="0.2">
      <c r="A6311" s="1" t="s">
        <v>1576</v>
      </c>
    </row>
    <row r="6312" spans="1:1" x14ac:dyDescent="0.2">
      <c r="A6312" s="1" t="s">
        <v>1577</v>
      </c>
    </row>
    <row r="6313" spans="1:1" x14ac:dyDescent="0.2">
      <c r="A6313" s="1" t="s">
        <v>1576</v>
      </c>
    </row>
    <row r="6314" spans="1:1" x14ac:dyDescent="0.2">
      <c r="A6314" s="1" t="s">
        <v>1577</v>
      </c>
    </row>
    <row r="6315" spans="1:1" x14ac:dyDescent="0.2">
      <c r="A6315" s="1" t="s">
        <v>1576</v>
      </c>
    </row>
    <row r="6316" spans="1:1" x14ac:dyDescent="0.2">
      <c r="A6316" s="1" t="s">
        <v>1577</v>
      </c>
    </row>
    <row r="6317" spans="1:1" x14ac:dyDescent="0.2">
      <c r="A6317" s="1" t="s">
        <v>1578</v>
      </c>
    </row>
    <row r="6318" spans="1:1" x14ac:dyDescent="0.2">
      <c r="A6318" s="1" t="s">
        <v>1579</v>
      </c>
    </row>
    <row r="6319" spans="1:1" x14ac:dyDescent="0.2">
      <c r="A6319" s="1" t="s">
        <v>1580</v>
      </c>
    </row>
    <row r="6320" spans="1:1" x14ac:dyDescent="0.2">
      <c r="A6320" s="1" t="s">
        <v>1581</v>
      </c>
    </row>
    <row r="6321" spans="1:1" x14ac:dyDescent="0.2">
      <c r="A6321" s="1" t="s">
        <v>1582</v>
      </c>
    </row>
    <row r="6322" spans="1:1" x14ac:dyDescent="0.2">
      <c r="A6322" s="1" t="s">
        <v>1583</v>
      </c>
    </row>
    <row r="6323" spans="1:1" x14ac:dyDescent="0.2">
      <c r="A6323" s="1" t="s">
        <v>1584</v>
      </c>
    </row>
    <row r="6324" spans="1:1" x14ac:dyDescent="0.2">
      <c r="A6324" s="1" t="s">
        <v>1585</v>
      </c>
    </row>
    <row r="6325" spans="1:1" x14ac:dyDescent="0.2">
      <c r="A6325" s="1" t="s">
        <v>1576</v>
      </c>
    </row>
    <row r="6326" spans="1:1" x14ac:dyDescent="0.2">
      <c r="A6326" s="1" t="s">
        <v>1577</v>
      </c>
    </row>
    <row r="6327" spans="1:1" x14ac:dyDescent="0.2">
      <c r="A6327" s="1" t="s">
        <v>1576</v>
      </c>
    </row>
    <row r="6328" spans="1:1" x14ac:dyDescent="0.2">
      <c r="A6328" s="1" t="s">
        <v>1577</v>
      </c>
    </row>
    <row r="6329" spans="1:1" x14ac:dyDescent="0.2">
      <c r="A6329" s="1" t="s">
        <v>1576</v>
      </c>
    </row>
    <row r="6330" spans="1:1" x14ac:dyDescent="0.2">
      <c r="A6330" s="1" t="s">
        <v>1577</v>
      </c>
    </row>
    <row r="6331" spans="1:1" x14ac:dyDescent="0.2">
      <c r="A6331" s="1" t="s">
        <v>1578</v>
      </c>
    </row>
    <row r="6332" spans="1:1" x14ac:dyDescent="0.2">
      <c r="A6332" s="1" t="s">
        <v>1579</v>
      </c>
    </row>
    <row r="6333" spans="1:1" x14ac:dyDescent="0.2">
      <c r="A6333" s="1" t="s">
        <v>1580</v>
      </c>
    </row>
    <row r="6334" spans="1:1" x14ac:dyDescent="0.2">
      <c r="A6334" s="1" t="s">
        <v>1581</v>
      </c>
    </row>
    <row r="6335" spans="1:1" x14ac:dyDescent="0.2">
      <c r="A6335" s="1" t="s">
        <v>1582</v>
      </c>
    </row>
    <row r="6336" spans="1:1" x14ac:dyDescent="0.2">
      <c r="A6336" s="1" t="s">
        <v>1583</v>
      </c>
    </row>
    <row r="6337" spans="1:1" x14ac:dyDescent="0.2">
      <c r="A6337" s="1" t="s">
        <v>1584</v>
      </c>
    </row>
    <row r="6338" spans="1:1" x14ac:dyDescent="0.2">
      <c r="A6338" s="1" t="s">
        <v>1585</v>
      </c>
    </row>
    <row r="6339" spans="1:1" x14ac:dyDescent="0.2">
      <c r="A6339" s="1" t="s">
        <v>1576</v>
      </c>
    </row>
    <row r="6340" spans="1:1" x14ac:dyDescent="0.2">
      <c r="A6340" s="1" t="s">
        <v>1577</v>
      </c>
    </row>
    <row r="6341" spans="1:1" x14ac:dyDescent="0.2">
      <c r="A6341" s="1" t="s">
        <v>1586</v>
      </c>
    </row>
    <row r="6342" spans="1:1" x14ac:dyDescent="0.2">
      <c r="A6342" s="1" t="s">
        <v>1587</v>
      </c>
    </row>
    <row r="6343" spans="1:1" x14ac:dyDescent="0.2">
      <c r="A6343" s="1" t="s">
        <v>1588</v>
      </c>
    </row>
    <row r="6344" spans="1:1" x14ac:dyDescent="0.2">
      <c r="A6344" s="1" t="s">
        <v>1589</v>
      </c>
    </row>
    <row r="6345" spans="1:1" x14ac:dyDescent="0.2">
      <c r="A6345" s="1" t="s">
        <v>1590</v>
      </c>
    </row>
    <row r="6346" spans="1:1" x14ac:dyDescent="0.2">
      <c r="A6346" s="1" t="s">
        <v>1591</v>
      </c>
    </row>
    <row r="6347" spans="1:1" x14ac:dyDescent="0.2">
      <c r="A6347" s="1" t="s">
        <v>1592</v>
      </c>
    </row>
    <row r="6348" spans="1:1" x14ac:dyDescent="0.2">
      <c r="A6348" s="1" t="s">
        <v>1593</v>
      </c>
    </row>
    <row r="6349" spans="1:1" x14ac:dyDescent="0.2">
      <c r="A6349" s="1" t="s">
        <v>1594</v>
      </c>
    </row>
    <row r="6350" spans="1:1" x14ac:dyDescent="0.2">
      <c r="A6350" s="1" t="s">
        <v>1595</v>
      </c>
    </row>
    <row r="6351" spans="1:1" x14ac:dyDescent="0.2">
      <c r="A6351" s="1" t="s">
        <v>1594</v>
      </c>
    </row>
    <row r="6352" spans="1:1" x14ac:dyDescent="0.2">
      <c r="A6352" s="1" t="s">
        <v>1595</v>
      </c>
    </row>
    <row r="6353" spans="1:1" x14ac:dyDescent="0.2">
      <c r="A6353" s="1" t="s">
        <v>1596</v>
      </c>
    </row>
    <row r="6354" spans="1:1" x14ac:dyDescent="0.2">
      <c r="A6354" s="1" t="s">
        <v>1597</v>
      </c>
    </row>
    <row r="6355" spans="1:1" x14ac:dyDescent="0.2">
      <c r="A6355" s="1" t="s">
        <v>1598</v>
      </c>
    </row>
    <row r="6356" spans="1:1" x14ac:dyDescent="0.2">
      <c r="A6356" s="1" t="s">
        <v>1599</v>
      </c>
    </row>
    <row r="6357" spans="1:1" x14ac:dyDescent="0.2">
      <c r="A6357" s="1" t="s">
        <v>1600</v>
      </c>
    </row>
    <row r="6358" spans="1:1" x14ac:dyDescent="0.2">
      <c r="A6358" s="1" t="s">
        <v>1601</v>
      </c>
    </row>
    <row r="6359" spans="1:1" x14ac:dyDescent="0.2">
      <c r="A6359" s="1" t="s">
        <v>1602</v>
      </c>
    </row>
    <row r="6360" spans="1:1" x14ac:dyDescent="0.2">
      <c r="A6360" s="1" t="s">
        <v>1603</v>
      </c>
    </row>
    <row r="6361" spans="1:1" x14ac:dyDescent="0.2">
      <c r="A6361" s="1" t="s">
        <v>1594</v>
      </c>
    </row>
    <row r="6362" spans="1:1" x14ac:dyDescent="0.2">
      <c r="A6362" s="1" t="s">
        <v>1595</v>
      </c>
    </row>
    <row r="6363" spans="1:1" x14ac:dyDescent="0.2">
      <c r="A6363" s="1" t="s">
        <v>1594</v>
      </c>
    </row>
    <row r="6364" spans="1:1" x14ac:dyDescent="0.2">
      <c r="A6364" s="1" t="s">
        <v>1595</v>
      </c>
    </row>
    <row r="6365" spans="1:1" x14ac:dyDescent="0.2">
      <c r="A6365" s="1" t="s">
        <v>1594</v>
      </c>
    </row>
    <row r="6366" spans="1:1" x14ac:dyDescent="0.2">
      <c r="A6366" s="1" t="s">
        <v>1595</v>
      </c>
    </row>
    <row r="6367" spans="1:1" x14ac:dyDescent="0.2">
      <c r="A6367" s="1" t="s">
        <v>1596</v>
      </c>
    </row>
    <row r="6368" spans="1:1" x14ac:dyDescent="0.2">
      <c r="A6368" s="1" t="s">
        <v>1597</v>
      </c>
    </row>
    <row r="6369" spans="1:1" x14ac:dyDescent="0.2">
      <c r="A6369" s="1" t="s">
        <v>1598</v>
      </c>
    </row>
    <row r="6370" spans="1:1" x14ac:dyDescent="0.2">
      <c r="A6370" s="1" t="s">
        <v>1599</v>
      </c>
    </row>
    <row r="6371" spans="1:1" x14ac:dyDescent="0.2">
      <c r="A6371" s="1" t="s">
        <v>1600</v>
      </c>
    </row>
    <row r="6372" spans="1:1" x14ac:dyDescent="0.2">
      <c r="A6372" s="1" t="s">
        <v>1601</v>
      </c>
    </row>
    <row r="6373" spans="1:1" x14ac:dyDescent="0.2">
      <c r="A6373" s="1" t="s">
        <v>1602</v>
      </c>
    </row>
    <row r="6374" spans="1:1" x14ac:dyDescent="0.2">
      <c r="A6374" s="1" t="s">
        <v>1603</v>
      </c>
    </row>
    <row r="6375" spans="1:1" x14ac:dyDescent="0.2">
      <c r="A6375" s="1" t="s">
        <v>1594</v>
      </c>
    </row>
    <row r="6376" spans="1:1" x14ac:dyDescent="0.2">
      <c r="A6376" s="1" t="s">
        <v>1595</v>
      </c>
    </row>
    <row r="6377" spans="1:1" x14ac:dyDescent="0.2">
      <c r="A6377" s="1" t="s">
        <v>1594</v>
      </c>
    </row>
    <row r="6378" spans="1:1" x14ac:dyDescent="0.2">
      <c r="A6378" s="1" t="s">
        <v>1595</v>
      </c>
    </row>
    <row r="6379" spans="1:1" x14ac:dyDescent="0.2">
      <c r="A6379" s="1" t="s">
        <v>1594</v>
      </c>
    </row>
    <row r="6380" spans="1:1" x14ac:dyDescent="0.2">
      <c r="A6380" s="1" t="s">
        <v>1595</v>
      </c>
    </row>
    <row r="6381" spans="1:1" x14ac:dyDescent="0.2">
      <c r="A6381" s="1" t="s">
        <v>1596</v>
      </c>
    </row>
    <row r="6382" spans="1:1" x14ac:dyDescent="0.2">
      <c r="A6382" s="1" t="s">
        <v>1597</v>
      </c>
    </row>
    <row r="6383" spans="1:1" x14ac:dyDescent="0.2">
      <c r="A6383" s="1" t="s">
        <v>1598</v>
      </c>
    </row>
    <row r="6384" spans="1:1" x14ac:dyDescent="0.2">
      <c r="A6384" s="1" t="s">
        <v>1599</v>
      </c>
    </row>
    <row r="6385" spans="1:1" x14ac:dyDescent="0.2">
      <c r="A6385" s="1" t="s">
        <v>1600</v>
      </c>
    </row>
    <row r="6386" spans="1:1" x14ac:dyDescent="0.2">
      <c r="A6386" s="1" t="s">
        <v>1601</v>
      </c>
    </row>
    <row r="6387" spans="1:1" x14ac:dyDescent="0.2">
      <c r="A6387" s="1" t="s">
        <v>1602</v>
      </c>
    </row>
    <row r="6388" spans="1:1" x14ac:dyDescent="0.2">
      <c r="A6388" s="1" t="s">
        <v>1603</v>
      </c>
    </row>
    <row r="6389" spans="1:1" x14ac:dyDescent="0.2">
      <c r="A6389" s="1" t="s">
        <v>1594</v>
      </c>
    </row>
    <row r="6390" spans="1:1" x14ac:dyDescent="0.2">
      <c r="A6390" s="1" t="s">
        <v>1595</v>
      </c>
    </row>
    <row r="6391" spans="1:1" x14ac:dyDescent="0.2">
      <c r="A6391" s="1" t="s">
        <v>1594</v>
      </c>
    </row>
    <row r="6392" spans="1:1" x14ac:dyDescent="0.2">
      <c r="A6392" s="1" t="s">
        <v>1595</v>
      </c>
    </row>
    <row r="6393" spans="1:1" x14ac:dyDescent="0.2">
      <c r="A6393" s="1" t="s">
        <v>1594</v>
      </c>
    </row>
    <row r="6394" spans="1:1" x14ac:dyDescent="0.2">
      <c r="A6394" s="1" t="s">
        <v>1595</v>
      </c>
    </row>
    <row r="6395" spans="1:1" x14ac:dyDescent="0.2">
      <c r="A6395" s="1" t="s">
        <v>1596</v>
      </c>
    </row>
    <row r="6396" spans="1:1" x14ac:dyDescent="0.2">
      <c r="A6396" s="1" t="s">
        <v>1597</v>
      </c>
    </row>
    <row r="6397" spans="1:1" x14ac:dyDescent="0.2">
      <c r="A6397" s="1" t="s">
        <v>1598</v>
      </c>
    </row>
    <row r="6398" spans="1:1" x14ac:dyDescent="0.2">
      <c r="A6398" s="1" t="s">
        <v>1599</v>
      </c>
    </row>
    <row r="6399" spans="1:1" x14ac:dyDescent="0.2">
      <c r="A6399" s="1" t="s">
        <v>1600</v>
      </c>
    </row>
    <row r="6400" spans="1:1" x14ac:dyDescent="0.2">
      <c r="A6400" s="1" t="s">
        <v>1601</v>
      </c>
    </row>
    <row r="6401" spans="1:1" x14ac:dyDescent="0.2">
      <c r="A6401" s="1" t="s">
        <v>1602</v>
      </c>
    </row>
    <row r="6402" spans="1:1" x14ac:dyDescent="0.2">
      <c r="A6402" s="1" t="s">
        <v>1603</v>
      </c>
    </row>
    <row r="6403" spans="1:1" x14ac:dyDescent="0.2">
      <c r="A6403" s="1" t="s">
        <v>1594</v>
      </c>
    </row>
    <row r="6404" spans="1:1" x14ac:dyDescent="0.2">
      <c r="A6404" s="1" t="s">
        <v>1595</v>
      </c>
    </row>
    <row r="6405" spans="1:1" x14ac:dyDescent="0.2">
      <c r="A6405" s="1" t="s">
        <v>1594</v>
      </c>
    </row>
    <row r="6406" spans="1:1" x14ac:dyDescent="0.2">
      <c r="A6406" s="1" t="s">
        <v>1595</v>
      </c>
    </row>
    <row r="6407" spans="1:1" x14ac:dyDescent="0.2">
      <c r="A6407" s="1" t="s">
        <v>1594</v>
      </c>
    </row>
    <row r="6408" spans="1:1" x14ac:dyDescent="0.2">
      <c r="A6408" s="1" t="s">
        <v>1595</v>
      </c>
    </row>
    <row r="6409" spans="1:1" x14ac:dyDescent="0.2">
      <c r="A6409" s="1" t="s">
        <v>1596</v>
      </c>
    </row>
    <row r="6410" spans="1:1" x14ac:dyDescent="0.2">
      <c r="A6410" s="1" t="s">
        <v>1597</v>
      </c>
    </row>
    <row r="6411" spans="1:1" x14ac:dyDescent="0.2">
      <c r="A6411" s="1" t="s">
        <v>1598</v>
      </c>
    </row>
    <row r="6412" spans="1:1" x14ac:dyDescent="0.2">
      <c r="A6412" s="1" t="s">
        <v>1599</v>
      </c>
    </row>
    <row r="6413" spans="1:1" x14ac:dyDescent="0.2">
      <c r="A6413" s="1" t="s">
        <v>1600</v>
      </c>
    </row>
    <row r="6414" spans="1:1" x14ac:dyDescent="0.2">
      <c r="A6414" s="1" t="s">
        <v>1601</v>
      </c>
    </row>
    <row r="6415" spans="1:1" x14ac:dyDescent="0.2">
      <c r="A6415" s="1" t="s">
        <v>1602</v>
      </c>
    </row>
    <row r="6416" spans="1:1" x14ac:dyDescent="0.2">
      <c r="A6416" s="1" t="s">
        <v>1603</v>
      </c>
    </row>
    <row r="6417" spans="1:1" x14ac:dyDescent="0.2">
      <c r="A6417" s="1" t="s">
        <v>1594</v>
      </c>
    </row>
    <row r="6418" spans="1:1" x14ac:dyDescent="0.2">
      <c r="A6418" s="1" t="s">
        <v>1595</v>
      </c>
    </row>
    <row r="6419" spans="1:1" x14ac:dyDescent="0.2">
      <c r="A6419" s="1" t="s">
        <v>1594</v>
      </c>
    </row>
    <row r="6420" spans="1:1" x14ac:dyDescent="0.2">
      <c r="A6420" s="1" t="s">
        <v>1595</v>
      </c>
    </row>
    <row r="6421" spans="1:1" x14ac:dyDescent="0.2">
      <c r="A6421" s="1" t="s">
        <v>1594</v>
      </c>
    </row>
    <row r="6422" spans="1:1" x14ac:dyDescent="0.2">
      <c r="A6422" s="1" t="s">
        <v>1595</v>
      </c>
    </row>
    <row r="6423" spans="1:1" x14ac:dyDescent="0.2">
      <c r="A6423" s="1" t="s">
        <v>1596</v>
      </c>
    </row>
    <row r="6424" spans="1:1" x14ac:dyDescent="0.2">
      <c r="A6424" s="1" t="s">
        <v>1597</v>
      </c>
    </row>
    <row r="6425" spans="1:1" x14ac:dyDescent="0.2">
      <c r="A6425" s="1" t="s">
        <v>1598</v>
      </c>
    </row>
    <row r="6426" spans="1:1" x14ac:dyDescent="0.2">
      <c r="A6426" s="1" t="s">
        <v>1599</v>
      </c>
    </row>
    <row r="6427" spans="1:1" x14ac:dyDescent="0.2">
      <c r="A6427" s="1" t="s">
        <v>1600</v>
      </c>
    </row>
    <row r="6428" spans="1:1" x14ac:dyDescent="0.2">
      <c r="A6428" s="1" t="s">
        <v>1601</v>
      </c>
    </row>
    <row r="6429" spans="1:1" x14ac:dyDescent="0.2">
      <c r="A6429" s="1" t="s">
        <v>1602</v>
      </c>
    </row>
    <row r="6430" spans="1:1" x14ac:dyDescent="0.2">
      <c r="A6430" s="1" t="s">
        <v>1603</v>
      </c>
    </row>
    <row r="6431" spans="1:1" x14ac:dyDescent="0.2">
      <c r="A6431" s="1" t="s">
        <v>1594</v>
      </c>
    </row>
    <row r="6432" spans="1:1" x14ac:dyDescent="0.2">
      <c r="A6432" s="1" t="s">
        <v>1595</v>
      </c>
    </row>
    <row r="6433" spans="1:1" x14ac:dyDescent="0.2">
      <c r="A6433" s="1" t="s">
        <v>1594</v>
      </c>
    </row>
    <row r="6434" spans="1:1" x14ac:dyDescent="0.2">
      <c r="A6434" s="1" t="s">
        <v>1595</v>
      </c>
    </row>
    <row r="6435" spans="1:1" x14ac:dyDescent="0.2">
      <c r="A6435" s="1" t="s">
        <v>1594</v>
      </c>
    </row>
    <row r="6436" spans="1:1" x14ac:dyDescent="0.2">
      <c r="A6436" s="1" t="s">
        <v>1595</v>
      </c>
    </row>
    <row r="6437" spans="1:1" x14ac:dyDescent="0.2">
      <c r="A6437" s="1" t="s">
        <v>1596</v>
      </c>
    </row>
    <row r="6438" spans="1:1" x14ac:dyDescent="0.2">
      <c r="A6438" s="1" t="s">
        <v>1597</v>
      </c>
    </row>
    <row r="6439" spans="1:1" x14ac:dyDescent="0.2">
      <c r="A6439" s="1" t="s">
        <v>1598</v>
      </c>
    </row>
    <row r="6440" spans="1:1" x14ac:dyDescent="0.2">
      <c r="A6440" s="1" t="s">
        <v>1599</v>
      </c>
    </row>
    <row r="6441" spans="1:1" x14ac:dyDescent="0.2">
      <c r="A6441" s="1" t="s">
        <v>1600</v>
      </c>
    </row>
    <row r="6442" spans="1:1" x14ac:dyDescent="0.2">
      <c r="A6442" s="1" t="s">
        <v>1601</v>
      </c>
    </row>
    <row r="6443" spans="1:1" x14ac:dyDescent="0.2">
      <c r="A6443" s="1" t="s">
        <v>1602</v>
      </c>
    </row>
    <row r="6444" spans="1:1" x14ac:dyDescent="0.2">
      <c r="A6444" s="1" t="s">
        <v>1603</v>
      </c>
    </row>
    <row r="6445" spans="1:1" x14ac:dyDescent="0.2">
      <c r="A6445" s="1" t="s">
        <v>1594</v>
      </c>
    </row>
    <row r="6446" spans="1:1" x14ac:dyDescent="0.2">
      <c r="A6446" s="1" t="s">
        <v>1595</v>
      </c>
    </row>
    <row r="6447" spans="1:1" x14ac:dyDescent="0.2">
      <c r="A6447" s="1" t="s">
        <v>1594</v>
      </c>
    </row>
    <row r="6448" spans="1:1" x14ac:dyDescent="0.2">
      <c r="A6448" s="1" t="s">
        <v>1595</v>
      </c>
    </row>
    <row r="6449" spans="1:1" x14ac:dyDescent="0.2">
      <c r="A6449" s="1" t="s">
        <v>1594</v>
      </c>
    </row>
    <row r="6450" spans="1:1" x14ac:dyDescent="0.2">
      <c r="A6450" s="1" t="s">
        <v>1595</v>
      </c>
    </row>
    <row r="6451" spans="1:1" x14ac:dyDescent="0.2">
      <c r="A6451" s="1" t="s">
        <v>1596</v>
      </c>
    </row>
    <row r="6452" spans="1:1" x14ac:dyDescent="0.2">
      <c r="A6452" s="1" t="s">
        <v>1597</v>
      </c>
    </row>
    <row r="6453" spans="1:1" x14ac:dyDescent="0.2">
      <c r="A6453" s="1" t="s">
        <v>1598</v>
      </c>
    </row>
    <row r="6454" spans="1:1" x14ac:dyDescent="0.2">
      <c r="A6454" s="1" t="s">
        <v>1599</v>
      </c>
    </row>
    <row r="6455" spans="1:1" x14ac:dyDescent="0.2">
      <c r="A6455" s="1" t="s">
        <v>1600</v>
      </c>
    </row>
    <row r="6456" spans="1:1" x14ac:dyDescent="0.2">
      <c r="A6456" s="1" t="s">
        <v>1601</v>
      </c>
    </row>
    <row r="6457" spans="1:1" x14ac:dyDescent="0.2">
      <c r="A6457" s="1" t="s">
        <v>1602</v>
      </c>
    </row>
    <row r="6458" spans="1:1" x14ac:dyDescent="0.2">
      <c r="A6458" s="1" t="s">
        <v>1603</v>
      </c>
    </row>
    <row r="6459" spans="1:1" x14ac:dyDescent="0.2">
      <c r="A6459" s="1" t="s">
        <v>1594</v>
      </c>
    </row>
    <row r="6460" spans="1:1" x14ac:dyDescent="0.2">
      <c r="A6460" s="1" t="s">
        <v>1595</v>
      </c>
    </row>
    <row r="6461" spans="1:1" x14ac:dyDescent="0.2">
      <c r="A6461" s="1" t="s">
        <v>1604</v>
      </c>
    </row>
    <row r="6462" spans="1:1" x14ac:dyDescent="0.2">
      <c r="A6462" s="1" t="s">
        <v>1605</v>
      </c>
    </row>
    <row r="6463" spans="1:1" x14ac:dyDescent="0.2">
      <c r="A6463" s="1" t="s">
        <v>1606</v>
      </c>
    </row>
    <row r="6464" spans="1:1" x14ac:dyDescent="0.2">
      <c r="A6464" s="1" t="s">
        <v>1607</v>
      </c>
    </row>
    <row r="6465" spans="1:1" x14ac:dyDescent="0.2">
      <c r="A6465" s="1" t="s">
        <v>1606</v>
      </c>
    </row>
    <row r="6466" spans="1:1" x14ac:dyDescent="0.2">
      <c r="A6466" s="1" t="s">
        <v>1608</v>
      </c>
    </row>
    <row r="6467" spans="1:1" x14ac:dyDescent="0.2">
      <c r="A6467" s="1" t="s">
        <v>1609</v>
      </c>
    </row>
    <row r="6468" spans="1:1" x14ac:dyDescent="0.2">
      <c r="A6468" s="1" t="s">
        <v>1610</v>
      </c>
    </row>
    <row r="6469" spans="1:1" x14ac:dyDescent="0.2">
      <c r="A6469" s="1" t="s">
        <v>1611</v>
      </c>
    </row>
    <row r="6470" spans="1:1" x14ac:dyDescent="0.2">
      <c r="A6470" s="1" t="s">
        <v>1612</v>
      </c>
    </row>
    <row r="6471" spans="1:1" x14ac:dyDescent="0.2">
      <c r="A6471" s="1" t="s">
        <v>1613</v>
      </c>
    </row>
    <row r="6472" spans="1:1" x14ac:dyDescent="0.2">
      <c r="A6472" s="1" t="s">
        <v>1614</v>
      </c>
    </row>
    <row r="6473" spans="1:1" x14ac:dyDescent="0.2">
      <c r="A6473" s="1" t="s">
        <v>1615</v>
      </c>
    </row>
    <row r="6474" spans="1:1" x14ac:dyDescent="0.2">
      <c r="A6474" s="1" t="s">
        <v>1616</v>
      </c>
    </row>
    <row r="6475" spans="1:1" x14ac:dyDescent="0.2">
      <c r="A6475" s="1" t="s">
        <v>1617</v>
      </c>
    </row>
    <row r="6476" spans="1:1" x14ac:dyDescent="0.2">
      <c r="A6476" s="1" t="s">
        <v>1618</v>
      </c>
    </row>
    <row r="6477" spans="1:1" x14ac:dyDescent="0.2">
      <c r="A6477" s="1" t="s">
        <v>1619</v>
      </c>
    </row>
    <row r="6478" spans="1:1" x14ac:dyDescent="0.2">
      <c r="A6478" s="1" t="s">
        <v>1620</v>
      </c>
    </row>
    <row r="6479" spans="1:1" x14ac:dyDescent="0.2">
      <c r="A6479" s="1" t="s">
        <v>1621</v>
      </c>
    </row>
    <row r="6480" spans="1:1" x14ac:dyDescent="0.2">
      <c r="A6480" s="1" t="s">
        <v>1622</v>
      </c>
    </row>
    <row r="6481" spans="1:1" x14ac:dyDescent="0.2">
      <c r="A6481" s="1" t="s">
        <v>1623</v>
      </c>
    </row>
    <row r="6482" spans="1:1" x14ac:dyDescent="0.2">
      <c r="A6482" s="1" t="s">
        <v>1624</v>
      </c>
    </row>
    <row r="6483" spans="1:1" x14ac:dyDescent="0.2">
      <c r="A6483" s="1" t="s">
        <v>1625</v>
      </c>
    </row>
    <row r="6484" spans="1:1" x14ac:dyDescent="0.2">
      <c r="A6484" s="1" t="s">
        <v>1626</v>
      </c>
    </row>
    <row r="6485" spans="1:1" x14ac:dyDescent="0.2">
      <c r="A6485" s="1" t="s">
        <v>1627</v>
      </c>
    </row>
    <row r="6486" spans="1:1" x14ac:dyDescent="0.2">
      <c r="A6486" s="1" t="s">
        <v>1628</v>
      </c>
    </row>
    <row r="6487" spans="1:1" x14ac:dyDescent="0.2">
      <c r="A6487" s="1" t="s">
        <v>1629</v>
      </c>
    </row>
    <row r="6488" spans="1:1" x14ac:dyDescent="0.2">
      <c r="A6488" s="1" t="s">
        <v>1630</v>
      </c>
    </row>
    <row r="6489" spans="1:1" x14ac:dyDescent="0.2">
      <c r="A6489" s="1" t="s">
        <v>1631</v>
      </c>
    </row>
    <row r="6490" spans="1:1" x14ac:dyDescent="0.2">
      <c r="A6490" s="1" t="s">
        <v>1632</v>
      </c>
    </row>
    <row r="6491" spans="1:1" x14ac:dyDescent="0.2">
      <c r="A6491" s="1" t="s">
        <v>1633</v>
      </c>
    </row>
    <row r="6492" spans="1:1" x14ac:dyDescent="0.2">
      <c r="A6492" s="1" t="s">
        <v>1634</v>
      </c>
    </row>
    <row r="6493" spans="1:1" x14ac:dyDescent="0.2">
      <c r="A6493" s="1" t="s">
        <v>1635</v>
      </c>
    </row>
    <row r="6494" spans="1:1" x14ac:dyDescent="0.2">
      <c r="A6494" s="1" t="s">
        <v>1634</v>
      </c>
    </row>
    <row r="6495" spans="1:1" x14ac:dyDescent="0.2">
      <c r="A6495" s="1" t="s">
        <v>1635</v>
      </c>
    </row>
    <row r="6496" spans="1:1" x14ac:dyDescent="0.2">
      <c r="A6496" s="1" t="s">
        <v>1636</v>
      </c>
    </row>
    <row r="6497" spans="1:1" x14ac:dyDescent="0.2">
      <c r="A6497" s="1" t="s">
        <v>1637</v>
      </c>
    </row>
    <row r="6498" spans="1:1" x14ac:dyDescent="0.2">
      <c r="A6498" s="1" t="s">
        <v>1638</v>
      </c>
    </row>
    <row r="6499" spans="1:1" x14ac:dyDescent="0.2">
      <c r="A6499" s="1" t="s">
        <v>1639</v>
      </c>
    </row>
    <row r="6500" spans="1:1" x14ac:dyDescent="0.2">
      <c r="A6500" s="1" t="s">
        <v>1640</v>
      </c>
    </row>
    <row r="6501" spans="1:1" x14ac:dyDescent="0.2">
      <c r="A6501" s="1" t="s">
        <v>1641</v>
      </c>
    </row>
    <row r="6502" spans="1:1" x14ac:dyDescent="0.2">
      <c r="A6502" s="1" t="s">
        <v>1642</v>
      </c>
    </row>
    <row r="6503" spans="1:1" x14ac:dyDescent="0.2">
      <c r="A6503" s="1" t="s">
        <v>1643</v>
      </c>
    </row>
    <row r="6504" spans="1:1" x14ac:dyDescent="0.2">
      <c r="A6504" s="1" t="s">
        <v>1644</v>
      </c>
    </row>
    <row r="6505" spans="1:1" x14ac:dyDescent="0.2">
      <c r="A6505" s="1" t="s">
        <v>1645</v>
      </c>
    </row>
    <row r="6506" spans="1:1" x14ac:dyDescent="0.2">
      <c r="A6506" s="1" t="s">
        <v>1644</v>
      </c>
    </row>
    <row r="6507" spans="1:1" x14ac:dyDescent="0.2">
      <c r="A6507" s="1" t="s">
        <v>1645</v>
      </c>
    </row>
    <row r="6508" spans="1:1" x14ac:dyDescent="0.2">
      <c r="A6508" s="1" t="s">
        <v>1644</v>
      </c>
    </row>
    <row r="6509" spans="1:1" x14ac:dyDescent="0.2">
      <c r="A6509" s="1" t="s">
        <v>1645</v>
      </c>
    </row>
    <row r="6510" spans="1:1" x14ac:dyDescent="0.2">
      <c r="A6510" s="1" t="s">
        <v>1646</v>
      </c>
    </row>
    <row r="6511" spans="1:1" x14ac:dyDescent="0.2">
      <c r="A6511" s="1" t="s">
        <v>1637</v>
      </c>
    </row>
    <row r="6512" spans="1:1" x14ac:dyDescent="0.2">
      <c r="A6512" s="1" t="s">
        <v>1638</v>
      </c>
    </row>
    <row r="6513" spans="1:1" x14ac:dyDescent="0.2">
      <c r="A6513" s="1" t="s">
        <v>1639</v>
      </c>
    </row>
    <row r="6514" spans="1:1" x14ac:dyDescent="0.2">
      <c r="A6514" s="1" t="s">
        <v>1640</v>
      </c>
    </row>
    <row r="6515" spans="1:1" x14ac:dyDescent="0.2">
      <c r="A6515" s="1" t="s">
        <v>1641</v>
      </c>
    </row>
    <row r="6516" spans="1:1" x14ac:dyDescent="0.2">
      <c r="A6516" s="1" t="s">
        <v>1642</v>
      </c>
    </row>
    <row r="6517" spans="1:1" x14ac:dyDescent="0.2">
      <c r="A6517" s="1" t="s">
        <v>1643</v>
      </c>
    </row>
    <row r="6518" spans="1:1" x14ac:dyDescent="0.2">
      <c r="A6518" s="1" t="s">
        <v>1644</v>
      </c>
    </row>
    <row r="6519" spans="1:1" x14ac:dyDescent="0.2">
      <c r="A6519" s="1" t="s">
        <v>1645</v>
      </c>
    </row>
    <row r="6520" spans="1:1" x14ac:dyDescent="0.2">
      <c r="A6520" s="1" t="s">
        <v>1644</v>
      </c>
    </row>
    <row r="6521" spans="1:1" x14ac:dyDescent="0.2">
      <c r="A6521" s="1" t="s">
        <v>1645</v>
      </c>
    </row>
    <row r="6522" spans="1:1" x14ac:dyDescent="0.2">
      <c r="A6522" s="1" t="s">
        <v>1644</v>
      </c>
    </row>
    <row r="6523" spans="1:1" x14ac:dyDescent="0.2">
      <c r="A6523" s="1" t="s">
        <v>1645</v>
      </c>
    </row>
    <row r="6524" spans="1:1" x14ac:dyDescent="0.2">
      <c r="A6524" s="1" t="s">
        <v>1646</v>
      </c>
    </row>
    <row r="6525" spans="1:1" x14ac:dyDescent="0.2">
      <c r="A6525" s="1" t="s">
        <v>1637</v>
      </c>
    </row>
    <row r="6526" spans="1:1" x14ac:dyDescent="0.2">
      <c r="A6526" s="1" t="s">
        <v>1638</v>
      </c>
    </row>
    <row r="6527" spans="1:1" x14ac:dyDescent="0.2">
      <c r="A6527" s="1" t="s">
        <v>1639</v>
      </c>
    </row>
    <row r="6528" spans="1:1" x14ac:dyDescent="0.2">
      <c r="A6528" s="1" t="s">
        <v>1640</v>
      </c>
    </row>
    <row r="6529" spans="1:1" x14ac:dyDescent="0.2">
      <c r="A6529" s="1" t="s">
        <v>1641</v>
      </c>
    </row>
    <row r="6530" spans="1:1" x14ac:dyDescent="0.2">
      <c r="A6530" s="1" t="s">
        <v>1642</v>
      </c>
    </row>
    <row r="6531" spans="1:1" x14ac:dyDescent="0.2">
      <c r="A6531" s="1" t="s">
        <v>1643</v>
      </c>
    </row>
    <row r="6532" spans="1:1" x14ac:dyDescent="0.2">
      <c r="A6532" s="1" t="s">
        <v>1644</v>
      </c>
    </row>
    <row r="6533" spans="1:1" x14ac:dyDescent="0.2">
      <c r="A6533" s="1" t="s">
        <v>1645</v>
      </c>
    </row>
    <row r="6534" spans="1:1" x14ac:dyDescent="0.2">
      <c r="A6534" s="1" t="s">
        <v>1644</v>
      </c>
    </row>
    <row r="6535" spans="1:1" x14ac:dyDescent="0.2">
      <c r="A6535" s="1" t="s">
        <v>1645</v>
      </c>
    </row>
    <row r="6536" spans="1:1" x14ac:dyDescent="0.2">
      <c r="A6536" s="1" t="s">
        <v>1644</v>
      </c>
    </row>
    <row r="6537" spans="1:1" x14ac:dyDescent="0.2">
      <c r="A6537" s="1" t="s">
        <v>1645</v>
      </c>
    </row>
    <row r="6538" spans="1:1" x14ac:dyDescent="0.2">
      <c r="A6538" s="1" t="s">
        <v>1646</v>
      </c>
    </row>
    <row r="6539" spans="1:1" x14ac:dyDescent="0.2">
      <c r="A6539" s="1" t="s">
        <v>1637</v>
      </c>
    </row>
    <row r="6540" spans="1:1" x14ac:dyDescent="0.2">
      <c r="A6540" s="1" t="s">
        <v>1638</v>
      </c>
    </row>
    <row r="6541" spans="1:1" x14ac:dyDescent="0.2">
      <c r="A6541" s="1" t="s">
        <v>1639</v>
      </c>
    </row>
    <row r="6542" spans="1:1" x14ac:dyDescent="0.2">
      <c r="A6542" s="1" t="s">
        <v>1640</v>
      </c>
    </row>
    <row r="6543" spans="1:1" x14ac:dyDescent="0.2">
      <c r="A6543" s="1" t="s">
        <v>1641</v>
      </c>
    </row>
    <row r="6544" spans="1:1" x14ac:dyDescent="0.2">
      <c r="A6544" s="1" t="s">
        <v>1642</v>
      </c>
    </row>
    <row r="6545" spans="1:1" x14ac:dyDescent="0.2">
      <c r="A6545" s="1" t="s">
        <v>1643</v>
      </c>
    </row>
    <row r="6546" spans="1:1" x14ac:dyDescent="0.2">
      <c r="A6546" s="1" t="s">
        <v>1644</v>
      </c>
    </row>
    <row r="6547" spans="1:1" x14ac:dyDescent="0.2">
      <c r="A6547" s="1" t="s">
        <v>1645</v>
      </c>
    </row>
    <row r="6548" spans="1:1" x14ac:dyDescent="0.2">
      <c r="A6548" s="1" t="s">
        <v>1644</v>
      </c>
    </row>
    <row r="6549" spans="1:1" x14ac:dyDescent="0.2">
      <c r="A6549" s="1" t="s">
        <v>1645</v>
      </c>
    </row>
    <row r="6550" spans="1:1" x14ac:dyDescent="0.2">
      <c r="A6550" s="1" t="s">
        <v>1644</v>
      </c>
    </row>
    <row r="6551" spans="1:1" x14ac:dyDescent="0.2">
      <c r="A6551" s="1" t="s">
        <v>1645</v>
      </c>
    </row>
    <row r="6552" spans="1:1" x14ac:dyDescent="0.2">
      <c r="A6552" s="1" t="s">
        <v>1646</v>
      </c>
    </row>
    <row r="6553" spans="1:1" x14ac:dyDescent="0.2">
      <c r="A6553" s="1" t="s">
        <v>1637</v>
      </c>
    </row>
    <row r="6554" spans="1:1" x14ac:dyDescent="0.2">
      <c r="A6554" s="1" t="s">
        <v>1638</v>
      </c>
    </row>
    <row r="6555" spans="1:1" x14ac:dyDescent="0.2">
      <c r="A6555" s="1" t="s">
        <v>1639</v>
      </c>
    </row>
    <row r="6556" spans="1:1" x14ac:dyDescent="0.2">
      <c r="A6556" s="1" t="s">
        <v>1640</v>
      </c>
    </row>
    <row r="6557" spans="1:1" x14ac:dyDescent="0.2">
      <c r="A6557" s="1" t="s">
        <v>1641</v>
      </c>
    </row>
    <row r="6558" spans="1:1" x14ac:dyDescent="0.2">
      <c r="A6558" s="1" t="s">
        <v>1642</v>
      </c>
    </row>
    <row r="6559" spans="1:1" x14ac:dyDescent="0.2">
      <c r="A6559" s="1" t="s">
        <v>1643</v>
      </c>
    </row>
    <row r="6560" spans="1:1" x14ac:dyDescent="0.2">
      <c r="A6560" s="1" t="s">
        <v>1644</v>
      </c>
    </row>
    <row r="6561" spans="1:1" x14ac:dyDescent="0.2">
      <c r="A6561" s="1" t="s">
        <v>1645</v>
      </c>
    </row>
    <row r="6562" spans="1:1" x14ac:dyDescent="0.2">
      <c r="A6562" s="1" t="s">
        <v>1644</v>
      </c>
    </row>
    <row r="6563" spans="1:1" x14ac:dyDescent="0.2">
      <c r="A6563" s="1" t="s">
        <v>1645</v>
      </c>
    </row>
    <row r="6564" spans="1:1" x14ac:dyDescent="0.2">
      <c r="A6564" s="1" t="s">
        <v>1644</v>
      </c>
    </row>
    <row r="6565" spans="1:1" x14ac:dyDescent="0.2">
      <c r="A6565" s="1" t="s">
        <v>1645</v>
      </c>
    </row>
    <row r="6566" spans="1:1" x14ac:dyDescent="0.2">
      <c r="A6566" s="1" t="s">
        <v>1646</v>
      </c>
    </row>
    <row r="6567" spans="1:1" x14ac:dyDescent="0.2">
      <c r="A6567" s="1" t="s">
        <v>1637</v>
      </c>
    </row>
    <row r="6568" spans="1:1" x14ac:dyDescent="0.2">
      <c r="A6568" s="1" t="s">
        <v>1638</v>
      </c>
    </row>
    <row r="6569" spans="1:1" x14ac:dyDescent="0.2">
      <c r="A6569" s="1" t="s">
        <v>1639</v>
      </c>
    </row>
    <row r="6570" spans="1:1" x14ac:dyDescent="0.2">
      <c r="A6570" s="1" t="s">
        <v>1640</v>
      </c>
    </row>
    <row r="6571" spans="1:1" x14ac:dyDescent="0.2">
      <c r="A6571" s="1" t="s">
        <v>1641</v>
      </c>
    </row>
    <row r="6572" spans="1:1" x14ac:dyDescent="0.2">
      <c r="A6572" s="1" t="s">
        <v>1642</v>
      </c>
    </row>
    <row r="6573" spans="1:1" x14ac:dyDescent="0.2">
      <c r="A6573" s="1" t="s">
        <v>1643</v>
      </c>
    </row>
    <row r="6574" spans="1:1" x14ac:dyDescent="0.2">
      <c r="A6574" s="1" t="s">
        <v>1644</v>
      </c>
    </row>
    <row r="6575" spans="1:1" x14ac:dyDescent="0.2">
      <c r="A6575" s="1" t="s">
        <v>1645</v>
      </c>
    </row>
    <row r="6576" spans="1:1" x14ac:dyDescent="0.2">
      <c r="A6576" s="1" t="s">
        <v>1644</v>
      </c>
    </row>
    <row r="6577" spans="1:1" x14ac:dyDescent="0.2">
      <c r="A6577" s="1" t="s">
        <v>1645</v>
      </c>
    </row>
    <row r="6578" spans="1:1" x14ac:dyDescent="0.2">
      <c r="A6578" s="1" t="s">
        <v>1644</v>
      </c>
    </row>
    <row r="6579" spans="1:1" x14ac:dyDescent="0.2">
      <c r="A6579" s="1" t="s">
        <v>1645</v>
      </c>
    </row>
    <row r="6580" spans="1:1" x14ac:dyDescent="0.2">
      <c r="A6580" s="1" t="s">
        <v>1646</v>
      </c>
    </row>
    <row r="6581" spans="1:1" x14ac:dyDescent="0.2">
      <c r="A6581" s="1" t="s">
        <v>1637</v>
      </c>
    </row>
    <row r="6582" spans="1:1" x14ac:dyDescent="0.2">
      <c r="A6582" s="1" t="s">
        <v>1638</v>
      </c>
    </row>
    <row r="6583" spans="1:1" x14ac:dyDescent="0.2">
      <c r="A6583" s="1" t="s">
        <v>1639</v>
      </c>
    </row>
    <row r="6584" spans="1:1" x14ac:dyDescent="0.2">
      <c r="A6584" s="1" t="s">
        <v>1640</v>
      </c>
    </row>
    <row r="6585" spans="1:1" x14ac:dyDescent="0.2">
      <c r="A6585" s="1" t="s">
        <v>1641</v>
      </c>
    </row>
    <row r="6586" spans="1:1" x14ac:dyDescent="0.2">
      <c r="A6586" s="1" t="s">
        <v>1642</v>
      </c>
    </row>
    <row r="6587" spans="1:1" x14ac:dyDescent="0.2">
      <c r="A6587" s="1" t="s">
        <v>1643</v>
      </c>
    </row>
    <row r="6588" spans="1:1" x14ac:dyDescent="0.2">
      <c r="A6588" s="1" t="s">
        <v>1644</v>
      </c>
    </row>
    <row r="6589" spans="1:1" x14ac:dyDescent="0.2">
      <c r="A6589" s="1" t="s">
        <v>1645</v>
      </c>
    </row>
    <row r="6590" spans="1:1" x14ac:dyDescent="0.2">
      <c r="A6590" s="1" t="s">
        <v>1644</v>
      </c>
    </row>
    <row r="6591" spans="1:1" x14ac:dyDescent="0.2">
      <c r="A6591" s="1" t="s">
        <v>1645</v>
      </c>
    </row>
    <row r="6592" spans="1:1" x14ac:dyDescent="0.2">
      <c r="A6592" s="1" t="s">
        <v>1644</v>
      </c>
    </row>
    <row r="6593" spans="1:1" x14ac:dyDescent="0.2">
      <c r="A6593" s="1" t="s">
        <v>1645</v>
      </c>
    </row>
    <row r="6594" spans="1:1" x14ac:dyDescent="0.2">
      <c r="A6594" s="1" t="s">
        <v>1646</v>
      </c>
    </row>
    <row r="6595" spans="1:1" x14ac:dyDescent="0.2">
      <c r="A6595" s="1" t="s">
        <v>1637</v>
      </c>
    </row>
    <row r="6596" spans="1:1" x14ac:dyDescent="0.2">
      <c r="A6596" s="1" t="s">
        <v>1638</v>
      </c>
    </row>
    <row r="6597" spans="1:1" x14ac:dyDescent="0.2">
      <c r="A6597" s="1" t="s">
        <v>1639</v>
      </c>
    </row>
    <row r="6598" spans="1:1" x14ac:dyDescent="0.2">
      <c r="A6598" s="1" t="s">
        <v>1640</v>
      </c>
    </row>
    <row r="6599" spans="1:1" x14ac:dyDescent="0.2">
      <c r="A6599" s="1" t="s">
        <v>1641</v>
      </c>
    </row>
    <row r="6600" spans="1:1" x14ac:dyDescent="0.2">
      <c r="A6600" s="1" t="s">
        <v>1642</v>
      </c>
    </row>
    <row r="6601" spans="1:1" x14ac:dyDescent="0.2">
      <c r="A6601" s="1" t="s">
        <v>1643</v>
      </c>
    </row>
    <row r="6602" spans="1:1" x14ac:dyDescent="0.2">
      <c r="A6602" s="1" t="s">
        <v>1644</v>
      </c>
    </row>
    <row r="6603" spans="1:1" x14ac:dyDescent="0.2">
      <c r="A6603" s="1" t="s">
        <v>1645</v>
      </c>
    </row>
    <row r="6604" spans="1:1" x14ac:dyDescent="0.2">
      <c r="A6604" s="1" t="s">
        <v>1647</v>
      </c>
    </row>
    <row r="6605" spans="1:1" x14ac:dyDescent="0.2">
      <c r="A6605" s="1" t="s">
        <v>1648</v>
      </c>
    </row>
    <row r="6606" spans="1:1" x14ac:dyDescent="0.2">
      <c r="A6606" s="1" t="s">
        <v>1647</v>
      </c>
    </row>
    <row r="6607" spans="1:1" x14ac:dyDescent="0.2">
      <c r="A6607" s="1" t="s">
        <v>1648</v>
      </c>
    </row>
    <row r="6608" spans="1:1" x14ac:dyDescent="0.2">
      <c r="A6608" s="1" t="s">
        <v>1649</v>
      </c>
    </row>
    <row r="6609" spans="1:1" x14ac:dyDescent="0.2">
      <c r="A6609" s="1" t="s">
        <v>1650</v>
      </c>
    </row>
    <row r="6610" spans="1:1" x14ac:dyDescent="0.2">
      <c r="A6610" s="1" t="s">
        <v>1651</v>
      </c>
    </row>
    <row r="6611" spans="1:1" x14ac:dyDescent="0.2">
      <c r="A6611" s="1" t="s">
        <v>1652</v>
      </c>
    </row>
    <row r="6612" spans="1:1" x14ac:dyDescent="0.2">
      <c r="A6612" s="1" t="s">
        <v>1653</v>
      </c>
    </row>
    <row r="6613" spans="1:1" x14ac:dyDescent="0.2">
      <c r="A6613" s="1" t="s">
        <v>1654</v>
      </c>
    </row>
    <row r="6614" spans="1:1" x14ac:dyDescent="0.2">
      <c r="A6614" s="1" t="s">
        <v>1655</v>
      </c>
    </row>
    <row r="6615" spans="1:1" x14ac:dyDescent="0.2">
      <c r="A6615" s="1" t="s">
        <v>1656</v>
      </c>
    </row>
    <row r="6616" spans="1:1" x14ac:dyDescent="0.2">
      <c r="A6616" s="1" t="s">
        <v>1647</v>
      </c>
    </row>
    <row r="6617" spans="1:1" x14ac:dyDescent="0.2">
      <c r="A6617" s="1" t="s">
        <v>1648</v>
      </c>
    </row>
    <row r="6618" spans="1:1" x14ac:dyDescent="0.2">
      <c r="A6618" s="1" t="s">
        <v>1647</v>
      </c>
    </row>
    <row r="6619" spans="1:1" x14ac:dyDescent="0.2">
      <c r="A6619" s="1" t="s">
        <v>1648</v>
      </c>
    </row>
    <row r="6620" spans="1:1" x14ac:dyDescent="0.2">
      <c r="A6620" s="1" t="s">
        <v>1647</v>
      </c>
    </row>
    <row r="6621" spans="1:1" x14ac:dyDescent="0.2">
      <c r="A6621" s="1" t="s">
        <v>1648</v>
      </c>
    </row>
    <row r="6622" spans="1:1" x14ac:dyDescent="0.2">
      <c r="A6622" s="1" t="s">
        <v>1649</v>
      </c>
    </row>
    <row r="6623" spans="1:1" x14ac:dyDescent="0.2">
      <c r="A6623" s="1" t="s">
        <v>1650</v>
      </c>
    </row>
    <row r="6624" spans="1:1" x14ac:dyDescent="0.2">
      <c r="A6624" s="1" t="s">
        <v>1651</v>
      </c>
    </row>
    <row r="6625" spans="1:1" x14ac:dyDescent="0.2">
      <c r="A6625" s="1" t="s">
        <v>1652</v>
      </c>
    </row>
    <row r="6626" spans="1:1" x14ac:dyDescent="0.2">
      <c r="A6626" s="1" t="s">
        <v>1653</v>
      </c>
    </row>
    <row r="6627" spans="1:1" x14ac:dyDescent="0.2">
      <c r="A6627" s="1" t="s">
        <v>1654</v>
      </c>
    </row>
    <row r="6628" spans="1:1" x14ac:dyDescent="0.2">
      <c r="A6628" s="1" t="s">
        <v>1655</v>
      </c>
    </row>
    <row r="6629" spans="1:1" x14ac:dyDescent="0.2">
      <c r="A6629" s="1" t="s">
        <v>1656</v>
      </c>
    </row>
    <row r="6630" spans="1:1" x14ac:dyDescent="0.2">
      <c r="A6630" s="1" t="s">
        <v>1647</v>
      </c>
    </row>
    <row r="6631" spans="1:1" x14ac:dyDescent="0.2">
      <c r="A6631" s="1" t="s">
        <v>1648</v>
      </c>
    </row>
    <row r="6632" spans="1:1" x14ac:dyDescent="0.2">
      <c r="A6632" s="1" t="s">
        <v>1647</v>
      </c>
    </row>
    <row r="6633" spans="1:1" x14ac:dyDescent="0.2">
      <c r="A6633" s="1" t="s">
        <v>1648</v>
      </c>
    </row>
    <row r="6634" spans="1:1" x14ac:dyDescent="0.2">
      <c r="A6634" s="1" t="s">
        <v>1647</v>
      </c>
    </row>
    <row r="6635" spans="1:1" x14ac:dyDescent="0.2">
      <c r="A6635" s="1" t="s">
        <v>1648</v>
      </c>
    </row>
    <row r="6636" spans="1:1" x14ac:dyDescent="0.2">
      <c r="A6636" s="1" t="s">
        <v>1649</v>
      </c>
    </row>
    <row r="6637" spans="1:1" x14ac:dyDescent="0.2">
      <c r="A6637" s="1" t="s">
        <v>1650</v>
      </c>
    </row>
    <row r="6638" spans="1:1" x14ac:dyDescent="0.2">
      <c r="A6638" s="1" t="s">
        <v>1651</v>
      </c>
    </row>
    <row r="6639" spans="1:1" x14ac:dyDescent="0.2">
      <c r="A6639" s="1" t="s">
        <v>1652</v>
      </c>
    </row>
    <row r="6640" spans="1:1" x14ac:dyDescent="0.2">
      <c r="A6640" s="1" t="s">
        <v>1653</v>
      </c>
    </row>
    <row r="6641" spans="1:1" x14ac:dyDescent="0.2">
      <c r="A6641" s="1" t="s">
        <v>1654</v>
      </c>
    </row>
    <row r="6642" spans="1:1" x14ac:dyDescent="0.2">
      <c r="A6642" s="1" t="s">
        <v>1655</v>
      </c>
    </row>
    <row r="6643" spans="1:1" x14ac:dyDescent="0.2">
      <c r="A6643" s="1" t="s">
        <v>1656</v>
      </c>
    </row>
    <row r="6644" spans="1:1" x14ac:dyDescent="0.2">
      <c r="A6644" s="1" t="s">
        <v>1647</v>
      </c>
    </row>
    <row r="6645" spans="1:1" x14ac:dyDescent="0.2">
      <c r="A6645" s="1" t="s">
        <v>1648</v>
      </c>
    </row>
    <row r="6646" spans="1:1" x14ac:dyDescent="0.2">
      <c r="A6646" s="1" t="s">
        <v>1647</v>
      </c>
    </row>
    <row r="6647" spans="1:1" x14ac:dyDescent="0.2">
      <c r="A6647" s="1" t="s">
        <v>1648</v>
      </c>
    </row>
    <row r="6648" spans="1:1" x14ac:dyDescent="0.2">
      <c r="A6648" s="1" t="s">
        <v>1647</v>
      </c>
    </row>
    <row r="6649" spans="1:1" x14ac:dyDescent="0.2">
      <c r="A6649" s="1" t="s">
        <v>1648</v>
      </c>
    </row>
    <row r="6650" spans="1:1" x14ac:dyDescent="0.2">
      <c r="A6650" s="1" t="s">
        <v>1649</v>
      </c>
    </row>
    <row r="6651" spans="1:1" x14ac:dyDescent="0.2">
      <c r="A6651" s="1" t="s">
        <v>1650</v>
      </c>
    </row>
    <row r="6652" spans="1:1" x14ac:dyDescent="0.2">
      <c r="A6652" s="1" t="s">
        <v>1651</v>
      </c>
    </row>
    <row r="6653" spans="1:1" x14ac:dyDescent="0.2">
      <c r="A6653" s="1" t="s">
        <v>1652</v>
      </c>
    </row>
    <row r="6654" spans="1:1" x14ac:dyDescent="0.2">
      <c r="A6654" s="1" t="s">
        <v>1653</v>
      </c>
    </row>
    <row r="6655" spans="1:1" x14ac:dyDescent="0.2">
      <c r="A6655" s="1" t="s">
        <v>1654</v>
      </c>
    </row>
    <row r="6656" spans="1:1" x14ac:dyDescent="0.2">
      <c r="A6656" s="1" t="s">
        <v>1655</v>
      </c>
    </row>
    <row r="6657" spans="1:1" x14ac:dyDescent="0.2">
      <c r="A6657" s="1" t="s">
        <v>1656</v>
      </c>
    </row>
    <row r="6658" spans="1:1" x14ac:dyDescent="0.2">
      <c r="A6658" s="1" t="s">
        <v>1647</v>
      </c>
    </row>
    <row r="6659" spans="1:1" x14ac:dyDescent="0.2">
      <c r="A6659" s="1" t="s">
        <v>1648</v>
      </c>
    </row>
    <row r="6660" spans="1:1" x14ac:dyDescent="0.2">
      <c r="A6660" s="1" t="s">
        <v>1647</v>
      </c>
    </row>
    <row r="6661" spans="1:1" x14ac:dyDescent="0.2">
      <c r="A6661" s="1" t="s">
        <v>1648</v>
      </c>
    </row>
    <row r="6662" spans="1:1" x14ac:dyDescent="0.2">
      <c r="A6662" s="1" t="s">
        <v>1647</v>
      </c>
    </row>
    <row r="6663" spans="1:1" x14ac:dyDescent="0.2">
      <c r="A6663" s="1" t="s">
        <v>1648</v>
      </c>
    </row>
    <row r="6664" spans="1:1" x14ac:dyDescent="0.2">
      <c r="A6664" s="1" t="s">
        <v>1649</v>
      </c>
    </row>
    <row r="6665" spans="1:1" x14ac:dyDescent="0.2">
      <c r="A6665" s="1" t="s">
        <v>1650</v>
      </c>
    </row>
    <row r="6666" spans="1:1" x14ac:dyDescent="0.2">
      <c r="A6666" s="1" t="s">
        <v>1651</v>
      </c>
    </row>
    <row r="6667" spans="1:1" x14ac:dyDescent="0.2">
      <c r="A6667" s="1" t="s">
        <v>1652</v>
      </c>
    </row>
    <row r="6668" spans="1:1" x14ac:dyDescent="0.2">
      <c r="A6668" s="1" t="s">
        <v>1653</v>
      </c>
    </row>
    <row r="6669" spans="1:1" x14ac:dyDescent="0.2">
      <c r="A6669" s="1" t="s">
        <v>1654</v>
      </c>
    </row>
    <row r="6670" spans="1:1" x14ac:dyDescent="0.2">
      <c r="A6670" s="1" t="s">
        <v>1655</v>
      </c>
    </row>
    <row r="6671" spans="1:1" x14ac:dyDescent="0.2">
      <c r="A6671" s="1" t="s">
        <v>1656</v>
      </c>
    </row>
    <row r="6672" spans="1:1" x14ac:dyDescent="0.2">
      <c r="A6672" s="1" t="s">
        <v>1647</v>
      </c>
    </row>
    <row r="6673" spans="1:1" x14ac:dyDescent="0.2">
      <c r="A6673" s="1" t="s">
        <v>1648</v>
      </c>
    </row>
    <row r="6674" spans="1:1" x14ac:dyDescent="0.2">
      <c r="A6674" s="1" t="s">
        <v>1647</v>
      </c>
    </row>
    <row r="6675" spans="1:1" x14ac:dyDescent="0.2">
      <c r="A6675" s="1" t="s">
        <v>1648</v>
      </c>
    </row>
    <row r="6676" spans="1:1" x14ac:dyDescent="0.2">
      <c r="A6676" s="1" t="s">
        <v>1647</v>
      </c>
    </row>
    <row r="6677" spans="1:1" x14ac:dyDescent="0.2">
      <c r="A6677" s="1" t="s">
        <v>1648</v>
      </c>
    </row>
    <row r="6678" spans="1:1" x14ac:dyDescent="0.2">
      <c r="A6678" s="1" t="s">
        <v>1649</v>
      </c>
    </row>
    <row r="6679" spans="1:1" x14ac:dyDescent="0.2">
      <c r="A6679" s="1" t="s">
        <v>1650</v>
      </c>
    </row>
    <row r="6680" spans="1:1" x14ac:dyDescent="0.2">
      <c r="A6680" s="1" t="s">
        <v>1651</v>
      </c>
    </row>
    <row r="6681" spans="1:1" x14ac:dyDescent="0.2">
      <c r="A6681" s="1" t="s">
        <v>1652</v>
      </c>
    </row>
    <row r="6682" spans="1:1" x14ac:dyDescent="0.2">
      <c r="A6682" s="1" t="s">
        <v>1653</v>
      </c>
    </row>
    <row r="6683" spans="1:1" x14ac:dyDescent="0.2">
      <c r="A6683" s="1" t="s">
        <v>1654</v>
      </c>
    </row>
    <row r="6684" spans="1:1" x14ac:dyDescent="0.2">
      <c r="A6684" s="1" t="s">
        <v>1655</v>
      </c>
    </row>
    <row r="6685" spans="1:1" x14ac:dyDescent="0.2">
      <c r="A6685" s="1" t="s">
        <v>1656</v>
      </c>
    </row>
    <row r="6686" spans="1:1" x14ac:dyDescent="0.2">
      <c r="A6686" s="1" t="s">
        <v>1647</v>
      </c>
    </row>
    <row r="6687" spans="1:1" x14ac:dyDescent="0.2">
      <c r="A6687" s="1" t="s">
        <v>1648</v>
      </c>
    </row>
    <row r="6688" spans="1:1" x14ac:dyDescent="0.2">
      <c r="A6688" s="1" t="s">
        <v>1647</v>
      </c>
    </row>
    <row r="6689" spans="1:1" x14ac:dyDescent="0.2">
      <c r="A6689" s="1" t="s">
        <v>1648</v>
      </c>
    </row>
    <row r="6690" spans="1:1" x14ac:dyDescent="0.2">
      <c r="A6690" s="1" t="s">
        <v>1647</v>
      </c>
    </row>
    <row r="6691" spans="1:1" x14ac:dyDescent="0.2">
      <c r="A6691" s="1" t="s">
        <v>1648</v>
      </c>
    </row>
    <row r="6692" spans="1:1" x14ac:dyDescent="0.2">
      <c r="A6692" s="1" t="s">
        <v>1649</v>
      </c>
    </row>
    <row r="6693" spans="1:1" x14ac:dyDescent="0.2">
      <c r="A6693" s="1" t="s">
        <v>1650</v>
      </c>
    </row>
    <row r="6694" spans="1:1" x14ac:dyDescent="0.2">
      <c r="A6694" s="1" t="s">
        <v>1651</v>
      </c>
    </row>
    <row r="6695" spans="1:1" x14ac:dyDescent="0.2">
      <c r="A6695" s="1" t="s">
        <v>1652</v>
      </c>
    </row>
    <row r="6696" spans="1:1" x14ac:dyDescent="0.2">
      <c r="A6696" s="1" t="s">
        <v>1653</v>
      </c>
    </row>
    <row r="6697" spans="1:1" x14ac:dyDescent="0.2">
      <c r="A6697" s="1" t="s">
        <v>1654</v>
      </c>
    </row>
    <row r="6698" spans="1:1" x14ac:dyDescent="0.2">
      <c r="A6698" s="1" t="s">
        <v>1655</v>
      </c>
    </row>
    <row r="6699" spans="1:1" x14ac:dyDescent="0.2">
      <c r="A6699" s="1" t="s">
        <v>1656</v>
      </c>
    </row>
    <row r="6700" spans="1:1" x14ac:dyDescent="0.2">
      <c r="A6700" s="1" t="s">
        <v>1647</v>
      </c>
    </row>
    <row r="6701" spans="1:1" x14ac:dyDescent="0.2">
      <c r="A6701" s="1" t="s">
        <v>1648</v>
      </c>
    </row>
    <row r="6702" spans="1:1" x14ac:dyDescent="0.2">
      <c r="A6702" s="1" t="s">
        <v>1647</v>
      </c>
    </row>
    <row r="6703" spans="1:1" x14ac:dyDescent="0.2">
      <c r="A6703" s="1" t="s">
        <v>1648</v>
      </c>
    </row>
    <row r="6704" spans="1:1" x14ac:dyDescent="0.2">
      <c r="A6704" s="1" t="s">
        <v>1647</v>
      </c>
    </row>
    <row r="6705" spans="1:1" x14ac:dyDescent="0.2">
      <c r="A6705" s="1" t="s">
        <v>1648</v>
      </c>
    </row>
    <row r="6706" spans="1:1" x14ac:dyDescent="0.2">
      <c r="A6706" s="1" t="s">
        <v>1649</v>
      </c>
    </row>
    <row r="6707" spans="1:1" x14ac:dyDescent="0.2">
      <c r="A6707" s="1" t="s">
        <v>1650</v>
      </c>
    </row>
    <row r="6708" spans="1:1" x14ac:dyDescent="0.2">
      <c r="A6708" s="1" t="s">
        <v>1651</v>
      </c>
    </row>
    <row r="6709" spans="1:1" x14ac:dyDescent="0.2">
      <c r="A6709" s="1" t="s">
        <v>1652</v>
      </c>
    </row>
    <row r="6710" spans="1:1" x14ac:dyDescent="0.2">
      <c r="A6710" s="1" t="s">
        <v>1653</v>
      </c>
    </row>
    <row r="6711" spans="1:1" x14ac:dyDescent="0.2">
      <c r="A6711" s="1" t="s">
        <v>1654</v>
      </c>
    </row>
    <row r="6712" spans="1:1" x14ac:dyDescent="0.2">
      <c r="A6712" s="1" t="s">
        <v>1655</v>
      </c>
    </row>
    <row r="6713" spans="1:1" x14ac:dyDescent="0.2">
      <c r="A6713" s="1" t="s">
        <v>1656</v>
      </c>
    </row>
    <row r="6714" spans="1:1" x14ac:dyDescent="0.2">
      <c r="A6714" s="1" t="s">
        <v>1647</v>
      </c>
    </row>
    <row r="6715" spans="1:1" x14ac:dyDescent="0.2">
      <c r="A6715" s="1" t="s">
        <v>1648</v>
      </c>
    </row>
    <row r="6716" spans="1:1" x14ac:dyDescent="0.2">
      <c r="A6716" s="1" t="s">
        <v>1657</v>
      </c>
    </row>
    <row r="6717" spans="1:1" x14ac:dyDescent="0.2">
      <c r="A6717" s="1" t="s">
        <v>1658</v>
      </c>
    </row>
    <row r="6718" spans="1:1" x14ac:dyDescent="0.2">
      <c r="A6718" s="1" t="s">
        <v>1657</v>
      </c>
    </row>
    <row r="6719" spans="1:1" x14ac:dyDescent="0.2">
      <c r="A6719" s="1" t="s">
        <v>1658</v>
      </c>
    </row>
    <row r="6720" spans="1:1" x14ac:dyDescent="0.2">
      <c r="A6720" s="1" t="s">
        <v>1659</v>
      </c>
    </row>
    <row r="6721" spans="1:1" x14ac:dyDescent="0.2">
      <c r="A6721" s="1" t="s">
        <v>1660</v>
      </c>
    </row>
    <row r="6722" spans="1:1" x14ac:dyDescent="0.2">
      <c r="A6722" s="1" t="s">
        <v>1661</v>
      </c>
    </row>
    <row r="6723" spans="1:1" x14ac:dyDescent="0.2">
      <c r="A6723" s="1" t="s">
        <v>1662</v>
      </c>
    </row>
    <row r="6724" spans="1:1" x14ac:dyDescent="0.2">
      <c r="A6724" s="1" t="s">
        <v>1663</v>
      </c>
    </row>
    <row r="6725" spans="1:1" x14ac:dyDescent="0.2">
      <c r="A6725" s="1" t="s">
        <v>1664</v>
      </c>
    </row>
    <row r="6726" spans="1:1" x14ac:dyDescent="0.2">
      <c r="A6726" s="1" t="s">
        <v>1665</v>
      </c>
    </row>
    <row r="6727" spans="1:1" x14ac:dyDescent="0.2">
      <c r="A6727" s="1" t="s">
        <v>1666</v>
      </c>
    </row>
    <row r="6728" spans="1:1" x14ac:dyDescent="0.2">
      <c r="A6728" s="1" t="s">
        <v>1657</v>
      </c>
    </row>
    <row r="6729" spans="1:1" x14ac:dyDescent="0.2">
      <c r="A6729" s="1" t="s">
        <v>1658</v>
      </c>
    </row>
    <row r="6730" spans="1:1" x14ac:dyDescent="0.2">
      <c r="A6730" s="1" t="s">
        <v>1657</v>
      </c>
    </row>
    <row r="6731" spans="1:1" x14ac:dyDescent="0.2">
      <c r="A6731" s="1" t="s">
        <v>1658</v>
      </c>
    </row>
    <row r="6732" spans="1:1" x14ac:dyDescent="0.2">
      <c r="A6732" s="1" t="s">
        <v>1657</v>
      </c>
    </row>
    <row r="6733" spans="1:1" x14ac:dyDescent="0.2">
      <c r="A6733" s="1" t="s">
        <v>1658</v>
      </c>
    </row>
    <row r="6734" spans="1:1" x14ac:dyDescent="0.2">
      <c r="A6734" s="1" t="s">
        <v>1659</v>
      </c>
    </row>
    <row r="6735" spans="1:1" x14ac:dyDescent="0.2">
      <c r="A6735" s="1" t="s">
        <v>1660</v>
      </c>
    </row>
    <row r="6736" spans="1:1" x14ac:dyDescent="0.2">
      <c r="A6736" s="1" t="s">
        <v>1661</v>
      </c>
    </row>
    <row r="6737" spans="1:1" x14ac:dyDescent="0.2">
      <c r="A6737" s="1" t="s">
        <v>1662</v>
      </c>
    </row>
    <row r="6738" spans="1:1" x14ac:dyDescent="0.2">
      <c r="A6738" s="1" t="s">
        <v>1663</v>
      </c>
    </row>
    <row r="6739" spans="1:1" x14ac:dyDescent="0.2">
      <c r="A6739" s="1" t="s">
        <v>1664</v>
      </c>
    </row>
    <row r="6740" spans="1:1" x14ac:dyDescent="0.2">
      <c r="A6740" s="1" t="s">
        <v>1665</v>
      </c>
    </row>
    <row r="6741" spans="1:1" x14ac:dyDescent="0.2">
      <c r="A6741" s="1" t="s">
        <v>1666</v>
      </c>
    </row>
    <row r="6742" spans="1:1" x14ac:dyDescent="0.2">
      <c r="A6742" s="1" t="s">
        <v>1657</v>
      </c>
    </row>
    <row r="6743" spans="1:1" x14ac:dyDescent="0.2">
      <c r="A6743" s="1" t="s">
        <v>1658</v>
      </c>
    </row>
    <row r="6744" spans="1:1" x14ac:dyDescent="0.2">
      <c r="A6744" s="1" t="s">
        <v>1657</v>
      </c>
    </row>
    <row r="6745" spans="1:1" x14ac:dyDescent="0.2">
      <c r="A6745" s="1" t="s">
        <v>1658</v>
      </c>
    </row>
    <row r="6746" spans="1:1" x14ac:dyDescent="0.2">
      <c r="A6746" s="1" t="s">
        <v>1657</v>
      </c>
    </row>
    <row r="6747" spans="1:1" x14ac:dyDescent="0.2">
      <c r="A6747" s="1" t="s">
        <v>1658</v>
      </c>
    </row>
    <row r="6748" spans="1:1" x14ac:dyDescent="0.2">
      <c r="A6748" s="1" t="s">
        <v>1659</v>
      </c>
    </row>
    <row r="6749" spans="1:1" x14ac:dyDescent="0.2">
      <c r="A6749" s="1" t="s">
        <v>1660</v>
      </c>
    </row>
    <row r="6750" spans="1:1" x14ac:dyDescent="0.2">
      <c r="A6750" s="1" t="s">
        <v>1661</v>
      </c>
    </row>
    <row r="6751" spans="1:1" x14ac:dyDescent="0.2">
      <c r="A6751" s="1" t="s">
        <v>1662</v>
      </c>
    </row>
    <row r="6752" spans="1:1" x14ac:dyDescent="0.2">
      <c r="A6752" s="1" t="s">
        <v>1663</v>
      </c>
    </row>
    <row r="6753" spans="1:1" x14ac:dyDescent="0.2">
      <c r="A6753" s="1" t="s">
        <v>1664</v>
      </c>
    </row>
    <row r="6754" spans="1:1" x14ac:dyDescent="0.2">
      <c r="A6754" s="1" t="s">
        <v>1665</v>
      </c>
    </row>
    <row r="6755" spans="1:1" x14ac:dyDescent="0.2">
      <c r="A6755" s="1" t="s">
        <v>1666</v>
      </c>
    </row>
    <row r="6756" spans="1:1" x14ac:dyDescent="0.2">
      <c r="A6756" s="1" t="s">
        <v>1657</v>
      </c>
    </row>
    <row r="6757" spans="1:1" x14ac:dyDescent="0.2">
      <c r="A6757" s="1" t="s">
        <v>1658</v>
      </c>
    </row>
    <row r="6758" spans="1:1" x14ac:dyDescent="0.2">
      <c r="A6758" s="1" t="s">
        <v>1657</v>
      </c>
    </row>
    <row r="6759" spans="1:1" x14ac:dyDescent="0.2">
      <c r="A6759" s="1" t="s">
        <v>1658</v>
      </c>
    </row>
    <row r="6760" spans="1:1" x14ac:dyDescent="0.2">
      <c r="A6760" s="1" t="s">
        <v>1657</v>
      </c>
    </row>
    <row r="6761" spans="1:1" x14ac:dyDescent="0.2">
      <c r="A6761" s="1" t="s">
        <v>1658</v>
      </c>
    </row>
    <row r="6762" spans="1:1" x14ac:dyDescent="0.2">
      <c r="A6762" s="1" t="s">
        <v>1659</v>
      </c>
    </row>
    <row r="6763" spans="1:1" x14ac:dyDescent="0.2">
      <c r="A6763" s="1" t="s">
        <v>1660</v>
      </c>
    </row>
    <row r="6764" spans="1:1" x14ac:dyDescent="0.2">
      <c r="A6764" s="1" t="s">
        <v>1661</v>
      </c>
    </row>
    <row r="6765" spans="1:1" x14ac:dyDescent="0.2">
      <c r="A6765" s="1" t="s">
        <v>1662</v>
      </c>
    </row>
    <row r="6766" spans="1:1" x14ac:dyDescent="0.2">
      <c r="A6766" s="1" t="s">
        <v>1663</v>
      </c>
    </row>
    <row r="6767" spans="1:1" x14ac:dyDescent="0.2">
      <c r="A6767" s="1" t="s">
        <v>1664</v>
      </c>
    </row>
    <row r="6768" spans="1:1" x14ac:dyDescent="0.2">
      <c r="A6768" s="1" t="s">
        <v>1665</v>
      </c>
    </row>
    <row r="6769" spans="1:1" x14ac:dyDescent="0.2">
      <c r="A6769" s="1" t="s">
        <v>1666</v>
      </c>
    </row>
    <row r="6770" spans="1:1" x14ac:dyDescent="0.2">
      <c r="A6770" s="1" t="s">
        <v>1657</v>
      </c>
    </row>
    <row r="6771" spans="1:1" x14ac:dyDescent="0.2">
      <c r="A6771" s="1" t="s">
        <v>1658</v>
      </c>
    </row>
    <row r="6772" spans="1:1" x14ac:dyDescent="0.2">
      <c r="A6772" s="1" t="s">
        <v>1657</v>
      </c>
    </row>
    <row r="6773" spans="1:1" x14ac:dyDescent="0.2">
      <c r="A6773" s="1" t="s">
        <v>1658</v>
      </c>
    </row>
    <row r="6774" spans="1:1" x14ac:dyDescent="0.2">
      <c r="A6774" s="1" t="s">
        <v>1657</v>
      </c>
    </row>
    <row r="6775" spans="1:1" x14ac:dyDescent="0.2">
      <c r="A6775" s="1" t="s">
        <v>1658</v>
      </c>
    </row>
    <row r="6776" spans="1:1" x14ac:dyDescent="0.2">
      <c r="A6776" s="1" t="s">
        <v>1659</v>
      </c>
    </row>
    <row r="6777" spans="1:1" x14ac:dyDescent="0.2">
      <c r="A6777" s="1" t="s">
        <v>1660</v>
      </c>
    </row>
    <row r="6778" spans="1:1" x14ac:dyDescent="0.2">
      <c r="A6778" s="1" t="s">
        <v>1661</v>
      </c>
    </row>
    <row r="6779" spans="1:1" x14ac:dyDescent="0.2">
      <c r="A6779" s="1" t="s">
        <v>1662</v>
      </c>
    </row>
    <row r="6780" spans="1:1" x14ac:dyDescent="0.2">
      <c r="A6780" s="1" t="s">
        <v>1663</v>
      </c>
    </row>
    <row r="6781" spans="1:1" x14ac:dyDescent="0.2">
      <c r="A6781" s="1" t="s">
        <v>1664</v>
      </c>
    </row>
    <row r="6782" spans="1:1" x14ac:dyDescent="0.2">
      <c r="A6782" s="1" t="s">
        <v>1665</v>
      </c>
    </row>
    <row r="6783" spans="1:1" x14ac:dyDescent="0.2">
      <c r="A6783" s="1" t="s">
        <v>1666</v>
      </c>
    </row>
    <row r="6784" spans="1:1" x14ac:dyDescent="0.2">
      <c r="A6784" s="1" t="s">
        <v>1657</v>
      </c>
    </row>
    <row r="6785" spans="1:1" x14ac:dyDescent="0.2">
      <c r="A6785" s="1" t="s">
        <v>1658</v>
      </c>
    </row>
    <row r="6786" spans="1:1" x14ac:dyDescent="0.2">
      <c r="A6786" s="1" t="s">
        <v>1657</v>
      </c>
    </row>
    <row r="6787" spans="1:1" x14ac:dyDescent="0.2">
      <c r="A6787" s="1" t="s">
        <v>1658</v>
      </c>
    </row>
    <row r="6788" spans="1:1" x14ac:dyDescent="0.2">
      <c r="A6788" s="1" t="s">
        <v>1657</v>
      </c>
    </row>
    <row r="6789" spans="1:1" x14ac:dyDescent="0.2">
      <c r="A6789" s="1" t="s">
        <v>1658</v>
      </c>
    </row>
    <row r="6790" spans="1:1" x14ac:dyDescent="0.2">
      <c r="A6790" s="1" t="s">
        <v>1659</v>
      </c>
    </row>
    <row r="6791" spans="1:1" x14ac:dyDescent="0.2">
      <c r="A6791" s="1" t="s">
        <v>1660</v>
      </c>
    </row>
    <row r="6792" spans="1:1" x14ac:dyDescent="0.2">
      <c r="A6792" s="1" t="s">
        <v>1661</v>
      </c>
    </row>
    <row r="6793" spans="1:1" x14ac:dyDescent="0.2">
      <c r="A6793" s="1" t="s">
        <v>1662</v>
      </c>
    </row>
    <row r="6794" spans="1:1" x14ac:dyDescent="0.2">
      <c r="A6794" s="1" t="s">
        <v>1663</v>
      </c>
    </row>
    <row r="6795" spans="1:1" x14ac:dyDescent="0.2">
      <c r="A6795" s="1" t="s">
        <v>1664</v>
      </c>
    </row>
    <row r="6796" spans="1:1" x14ac:dyDescent="0.2">
      <c r="A6796" s="1" t="s">
        <v>1665</v>
      </c>
    </row>
    <row r="6797" spans="1:1" x14ac:dyDescent="0.2">
      <c r="A6797" s="1" t="s">
        <v>1666</v>
      </c>
    </row>
    <row r="6798" spans="1:1" x14ac:dyDescent="0.2">
      <c r="A6798" s="1" t="s">
        <v>1657</v>
      </c>
    </row>
    <row r="6799" spans="1:1" x14ac:dyDescent="0.2">
      <c r="A6799" s="1" t="s">
        <v>1658</v>
      </c>
    </row>
    <row r="6800" spans="1:1" x14ac:dyDescent="0.2">
      <c r="A6800" s="1" t="s">
        <v>1657</v>
      </c>
    </row>
    <row r="6801" spans="1:1" x14ac:dyDescent="0.2">
      <c r="A6801" s="1" t="s">
        <v>1658</v>
      </c>
    </row>
    <row r="6802" spans="1:1" x14ac:dyDescent="0.2">
      <c r="A6802" s="1" t="s">
        <v>1657</v>
      </c>
    </row>
    <row r="6803" spans="1:1" x14ac:dyDescent="0.2">
      <c r="A6803" s="1" t="s">
        <v>1658</v>
      </c>
    </row>
    <row r="6804" spans="1:1" x14ac:dyDescent="0.2">
      <c r="A6804" s="1" t="s">
        <v>1659</v>
      </c>
    </row>
    <row r="6805" spans="1:1" x14ac:dyDescent="0.2">
      <c r="A6805" s="1" t="s">
        <v>1660</v>
      </c>
    </row>
    <row r="6806" spans="1:1" x14ac:dyDescent="0.2">
      <c r="A6806" s="1" t="s">
        <v>1661</v>
      </c>
    </row>
    <row r="6807" spans="1:1" x14ac:dyDescent="0.2">
      <c r="A6807" s="1" t="s">
        <v>1662</v>
      </c>
    </row>
    <row r="6808" spans="1:1" x14ac:dyDescent="0.2">
      <c r="A6808" s="1" t="s">
        <v>1663</v>
      </c>
    </row>
    <row r="6809" spans="1:1" x14ac:dyDescent="0.2">
      <c r="A6809" s="1" t="s">
        <v>1664</v>
      </c>
    </row>
    <row r="6810" spans="1:1" x14ac:dyDescent="0.2">
      <c r="A6810" s="1" t="s">
        <v>1665</v>
      </c>
    </row>
    <row r="6811" spans="1:1" x14ac:dyDescent="0.2">
      <c r="A6811" s="1" t="s">
        <v>1667</v>
      </c>
    </row>
    <row r="6812" spans="1:1" x14ac:dyDescent="0.2">
      <c r="A6812" s="1" t="s">
        <v>1668</v>
      </c>
    </row>
    <row r="6813" spans="1:1" x14ac:dyDescent="0.2">
      <c r="A6813" s="1" t="s">
        <v>1669</v>
      </c>
    </row>
    <row r="6814" spans="1:1" x14ac:dyDescent="0.2">
      <c r="A6814" s="1" t="s">
        <v>1668</v>
      </c>
    </row>
    <row r="6815" spans="1:1" x14ac:dyDescent="0.2">
      <c r="A6815" s="1" t="s">
        <v>1669</v>
      </c>
    </row>
    <row r="6816" spans="1:1" x14ac:dyDescent="0.2">
      <c r="A6816" s="1" t="s">
        <v>1668</v>
      </c>
    </row>
    <row r="6817" spans="1:1" x14ac:dyDescent="0.2">
      <c r="A6817" s="1" t="s">
        <v>1669</v>
      </c>
    </row>
    <row r="6818" spans="1:1" x14ac:dyDescent="0.2">
      <c r="A6818" s="1" t="s">
        <v>1670</v>
      </c>
    </row>
    <row r="6819" spans="1:1" x14ac:dyDescent="0.2">
      <c r="A6819" s="1" t="s">
        <v>1671</v>
      </c>
    </row>
    <row r="6820" spans="1:1" x14ac:dyDescent="0.2">
      <c r="A6820" s="1" t="s">
        <v>1672</v>
      </c>
    </row>
    <row r="6821" spans="1:1" x14ac:dyDescent="0.2">
      <c r="A6821" s="1" t="s">
        <v>1673</v>
      </c>
    </row>
    <row r="6822" spans="1:1" x14ac:dyDescent="0.2">
      <c r="A6822" s="1" t="s">
        <v>1674</v>
      </c>
    </row>
    <row r="6823" spans="1:1" x14ac:dyDescent="0.2">
      <c r="A6823" s="1" t="s">
        <v>1675</v>
      </c>
    </row>
    <row r="6824" spans="1:1" x14ac:dyDescent="0.2">
      <c r="A6824" s="1" t="s">
        <v>1676</v>
      </c>
    </row>
    <row r="6825" spans="1:1" x14ac:dyDescent="0.2">
      <c r="A6825" s="1" t="s">
        <v>1667</v>
      </c>
    </row>
    <row r="6826" spans="1:1" x14ac:dyDescent="0.2">
      <c r="A6826" s="1" t="s">
        <v>1668</v>
      </c>
    </row>
    <row r="6827" spans="1:1" x14ac:dyDescent="0.2">
      <c r="A6827" s="1" t="s">
        <v>1669</v>
      </c>
    </row>
    <row r="6828" spans="1:1" x14ac:dyDescent="0.2">
      <c r="A6828" s="1" t="s">
        <v>1677</v>
      </c>
    </row>
    <row r="6829" spans="1:1" x14ac:dyDescent="0.2">
      <c r="A6829" s="1" t="s">
        <v>1678</v>
      </c>
    </row>
    <row r="6830" spans="1:1" x14ac:dyDescent="0.2">
      <c r="A6830" s="1" t="s">
        <v>1679</v>
      </c>
    </row>
    <row r="6831" spans="1:1" x14ac:dyDescent="0.2">
      <c r="A6831" s="1" t="s">
        <v>1680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CONFIGURAÇÕES</vt:lpstr>
      <vt:lpstr>2-CUSTOS REALIZADOS</vt:lpstr>
      <vt:lpstr>2-CUSTOS REALIZADOS - LOTE</vt:lpstr>
      <vt:lpstr>APOIO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Lincoln Lopes da (BR - Sao Paulo)</dc:creator>
  <cp:lastModifiedBy>Silva, Lincoln Lopes da (BR - Sao Paulo)</cp:lastModifiedBy>
  <dcterms:created xsi:type="dcterms:W3CDTF">2016-08-26T13:47:46Z</dcterms:created>
  <dcterms:modified xsi:type="dcterms:W3CDTF">2019-06-25T22:46:17Z</dcterms:modified>
</cp:coreProperties>
</file>